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JESSE\Documents\"/>
    </mc:Choice>
  </mc:AlternateContent>
  <xr:revisionPtr revIDLastSave="0" documentId="13_ncr:1_{1A5A7445-2FE8-49A2-AC0C-AFBF40F573B0}" xr6:coauthVersionLast="47" xr6:coauthVersionMax="47" xr10:uidLastSave="{00000000-0000-0000-0000-000000000000}"/>
  <bookViews>
    <workbookView xWindow="-120" yWindow="-120" windowWidth="20730" windowHeight="11040" firstSheet="4" activeTab="7" xr2:uid="{00000000-000D-0000-FFFF-FFFF00000000}"/>
  </bookViews>
  <sheets>
    <sheet name="market_pipe_thickness_loss_data" sheetId="1" r:id="rId1"/>
    <sheet name="Cleaned_Data" sheetId="2" r:id="rId2"/>
    <sheet name="Derived  Data " sheetId="3" r:id="rId3"/>
    <sheet name="PT_Pipe_Condition_Overview" sheetId="7" r:id="rId4"/>
    <sheet name="PT_Thickness_by_material" sheetId="5" r:id="rId5"/>
    <sheet name="PT_LossRate_by_Material" sheetId="6" r:id="rId6"/>
    <sheet name="PT_Average_Risk_Score" sheetId="12" r:id="rId7"/>
    <sheet name="DASHBOARD" sheetId="16" r:id="rId8"/>
  </sheets>
  <definedNames>
    <definedName name="_xlnm._FilterDatabase" localSheetId="1" hidden="1">Cleaned_Data!$A$1:$P$1002</definedName>
    <definedName name="_xlnm.Print_Area" localSheetId="7">DASHBOARD!$A$1:$H$35</definedName>
    <definedName name="Slicer_Condition">#N/A</definedName>
    <definedName name="Slicer_Grade2">#N/A</definedName>
    <definedName name="Slicer_Material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001" i="2"/>
  <c r="N1000" i="2"/>
  <c r="N999" i="2"/>
  <c r="N998" i="2"/>
  <c r="N997" i="2"/>
  <c r="N996" i="2"/>
  <c r="N995" i="2"/>
  <c r="N994" i="2"/>
  <c r="N992" i="2"/>
  <c r="N991" i="2"/>
  <c r="N990" i="2"/>
  <c r="N988" i="2"/>
  <c r="N987" i="2"/>
  <c r="N986" i="2"/>
  <c r="N985" i="2"/>
  <c r="N984" i="2"/>
  <c r="N982" i="2"/>
  <c r="N981" i="2"/>
  <c r="N980" i="2"/>
  <c r="N979" i="2"/>
  <c r="N978" i="2"/>
  <c r="N977" i="2"/>
  <c r="N976" i="2"/>
  <c r="N974" i="2"/>
  <c r="N973" i="2"/>
  <c r="N972" i="2"/>
  <c r="N971" i="2"/>
  <c r="N970"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0" i="2"/>
  <c r="N929" i="2"/>
  <c r="N927" i="2"/>
  <c r="N926" i="2"/>
  <c r="N925" i="2"/>
  <c r="N923" i="2"/>
  <c r="N922" i="2"/>
  <c r="N921" i="2"/>
  <c r="N920" i="2"/>
  <c r="N919" i="2"/>
  <c r="N918" i="2"/>
  <c r="N917" i="2"/>
  <c r="N916" i="2"/>
  <c r="N915" i="2"/>
  <c r="N914" i="2"/>
  <c r="N913" i="2"/>
  <c r="N912" i="2"/>
  <c r="N911" i="2"/>
  <c r="N910" i="2"/>
  <c r="N909" i="2"/>
  <c r="N906" i="2"/>
  <c r="N905" i="2"/>
  <c r="N904" i="2"/>
  <c r="N903" i="2"/>
  <c r="N902" i="2"/>
  <c r="N901" i="2"/>
  <c r="N900" i="2"/>
  <c r="N899" i="2"/>
  <c r="N898" i="2"/>
  <c r="N897" i="2"/>
  <c r="N896" i="2"/>
  <c r="N895" i="2"/>
  <c r="N894" i="2"/>
  <c r="N893" i="2"/>
  <c r="N892" i="2"/>
  <c r="N891" i="2"/>
  <c r="N890" i="2"/>
  <c r="N889" i="2"/>
  <c r="N888" i="2"/>
  <c r="N887" i="2"/>
  <c r="N886" i="2"/>
  <c r="N884" i="2"/>
  <c r="N883" i="2"/>
  <c r="N882" i="2"/>
  <c r="N881" i="2"/>
  <c r="N880" i="2"/>
  <c r="N879" i="2"/>
  <c r="N878" i="2"/>
  <c r="N877" i="2"/>
  <c r="N876" i="2"/>
  <c r="N875" i="2"/>
  <c r="N873" i="2"/>
  <c r="N872" i="2"/>
  <c r="N871" i="2"/>
  <c r="N870" i="2"/>
  <c r="N869" i="2"/>
  <c r="N868" i="2"/>
  <c r="N867" i="2"/>
  <c r="N866" i="2"/>
  <c r="N865" i="2"/>
  <c r="N864" i="2"/>
  <c r="N863" i="2"/>
  <c r="N862" i="2"/>
  <c r="N860" i="2"/>
  <c r="N858" i="2"/>
  <c r="N857" i="2"/>
  <c r="N855" i="2"/>
  <c r="N854" i="2"/>
  <c r="N853" i="2"/>
  <c r="N852" i="2"/>
  <c r="N851" i="2"/>
  <c r="N850" i="2"/>
  <c r="N849" i="2"/>
  <c r="N848" i="2"/>
  <c r="N847" i="2"/>
  <c r="N846" i="2"/>
  <c r="N845" i="2"/>
  <c r="N844" i="2"/>
  <c r="N841" i="2"/>
  <c r="N840" i="2"/>
  <c r="N839" i="2"/>
  <c r="N837" i="2"/>
  <c r="N836" i="2"/>
  <c r="N835" i="2"/>
  <c r="N834" i="2"/>
  <c r="N833" i="2"/>
  <c r="N832" i="2"/>
  <c r="N831" i="2"/>
  <c r="N830" i="2"/>
  <c r="N829" i="2"/>
  <c r="N828" i="2"/>
  <c r="N827" i="2"/>
  <c r="N826" i="2"/>
  <c r="N825" i="2"/>
  <c r="N824" i="2"/>
  <c r="N823" i="2"/>
  <c r="N822" i="2"/>
  <c r="N821" i="2"/>
  <c r="N820" i="2"/>
  <c r="N819" i="2"/>
  <c r="N818" i="2"/>
  <c r="N817" i="2"/>
  <c r="N815" i="2"/>
  <c r="N813" i="2"/>
  <c r="N812" i="2"/>
  <c r="N811" i="2"/>
  <c r="N810" i="2"/>
  <c r="N809" i="2"/>
  <c r="N808" i="2"/>
  <c r="N807" i="2"/>
  <c r="N806" i="2"/>
  <c r="N805" i="2"/>
  <c r="N804" i="2"/>
  <c r="N803" i="2"/>
  <c r="N802" i="2"/>
  <c r="N801" i="2"/>
  <c r="N800" i="2"/>
  <c r="N799" i="2"/>
  <c r="N798" i="2"/>
  <c r="N797" i="2"/>
  <c r="N796" i="2"/>
  <c r="N795" i="2"/>
  <c r="N792" i="2"/>
  <c r="N791" i="2"/>
  <c r="N790" i="2"/>
  <c r="N789" i="2"/>
  <c r="N788" i="2"/>
  <c r="N787" i="2"/>
  <c r="N786" i="2"/>
  <c r="N785" i="2"/>
  <c r="N784" i="2"/>
  <c r="N783" i="2"/>
  <c r="N782" i="2"/>
  <c r="N781" i="2"/>
  <c r="N780" i="2"/>
  <c r="N779" i="2"/>
  <c r="N778" i="2"/>
  <c r="N777" i="2"/>
  <c r="N776" i="2"/>
  <c r="N774" i="2"/>
  <c r="N772" i="2"/>
  <c r="N771" i="2"/>
  <c r="N770" i="2"/>
  <c r="N769" i="2"/>
  <c r="N768" i="2"/>
  <c r="N767" i="2"/>
  <c r="N766" i="2"/>
  <c r="N765" i="2"/>
  <c r="N764" i="2"/>
  <c r="N763" i="2"/>
  <c r="N762" i="2"/>
  <c r="N761" i="2"/>
  <c r="N760" i="2"/>
  <c r="N759" i="2"/>
  <c r="N758" i="2"/>
  <c r="N757" i="2"/>
  <c r="N755" i="2"/>
  <c r="N754" i="2"/>
  <c r="N753" i="2"/>
  <c r="N752" i="2"/>
  <c r="N750" i="2"/>
  <c r="N749" i="2"/>
  <c r="N747" i="2"/>
  <c r="N746" i="2"/>
  <c r="N745" i="2"/>
  <c r="N744" i="2"/>
  <c r="N743" i="2"/>
  <c r="N742" i="2"/>
  <c r="N741" i="2"/>
  <c r="N740" i="2"/>
  <c r="N739" i="2"/>
  <c r="N737" i="2"/>
  <c r="N736" i="2"/>
  <c r="N735" i="2"/>
  <c r="N734" i="2"/>
  <c r="N733" i="2"/>
  <c r="N732" i="2"/>
  <c r="N731" i="2"/>
  <c r="N730" i="2"/>
  <c r="N729" i="2"/>
  <c r="N728" i="2"/>
  <c r="N727" i="2"/>
  <c r="N725"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7" i="2"/>
  <c r="N696" i="2"/>
  <c r="N695" i="2"/>
  <c r="N694" i="2"/>
  <c r="N693" i="2"/>
  <c r="N692" i="2"/>
  <c r="N691" i="2"/>
  <c r="N690" i="2"/>
  <c r="N689" i="2"/>
  <c r="N688" i="2"/>
  <c r="N687" i="2"/>
  <c r="N686" i="2"/>
  <c r="N685" i="2"/>
  <c r="N683" i="2"/>
  <c r="N682" i="2"/>
  <c r="N681" i="2"/>
  <c r="N680" i="2"/>
  <c r="N679" i="2"/>
  <c r="N678" i="2"/>
  <c r="N677" i="2"/>
  <c r="N676" i="2"/>
  <c r="N675" i="2"/>
  <c r="N673" i="2"/>
  <c r="N672" i="2"/>
  <c r="N671" i="2"/>
  <c r="N670" i="2"/>
  <c r="N669" i="2"/>
  <c r="N668" i="2"/>
  <c r="N667" i="2"/>
  <c r="N665" i="2"/>
  <c r="N664" i="2"/>
  <c r="N663" i="2"/>
  <c r="N662" i="2"/>
  <c r="N661" i="2"/>
  <c r="N660" i="2"/>
  <c r="N659" i="2"/>
  <c r="N658" i="2"/>
  <c r="N657" i="2"/>
  <c r="N656" i="2"/>
  <c r="N655" i="2"/>
  <c r="N654" i="2"/>
  <c r="N653" i="2"/>
  <c r="N652" i="2"/>
  <c r="N651" i="2"/>
  <c r="N650" i="2"/>
  <c r="N649" i="2"/>
  <c r="N648" i="2"/>
  <c r="N647" i="2"/>
  <c r="N646" i="2"/>
  <c r="N645" i="2"/>
  <c r="N644" i="2"/>
  <c r="N643" i="2"/>
  <c r="N641" i="2"/>
  <c r="N640" i="2"/>
  <c r="N639" i="2"/>
  <c r="N638" i="2"/>
  <c r="N637" i="2"/>
  <c r="N636" i="2"/>
  <c r="N635" i="2"/>
  <c r="N634" i="2"/>
  <c r="N633" i="2"/>
  <c r="N632" i="2"/>
  <c r="N631" i="2"/>
  <c r="N630" i="2"/>
  <c r="N628" i="2"/>
  <c r="N627" i="2"/>
  <c r="N626" i="2"/>
  <c r="N625" i="2"/>
  <c r="N624" i="2"/>
  <c r="N623" i="2"/>
  <c r="N622" i="2"/>
  <c r="N620" i="2"/>
  <c r="N618" i="2"/>
  <c r="N617" i="2"/>
  <c r="N616" i="2"/>
  <c r="N615" i="2"/>
  <c r="N614" i="2"/>
  <c r="N613" i="2"/>
  <c r="N612" i="2"/>
  <c r="N611" i="2"/>
  <c r="N610" i="2"/>
  <c r="N609" i="2"/>
  <c r="N608" i="2"/>
  <c r="N607" i="2"/>
  <c r="N606" i="2"/>
  <c r="N605" i="2"/>
  <c r="N604" i="2"/>
  <c r="N603" i="2"/>
  <c r="N602" i="2"/>
  <c r="N601" i="2"/>
  <c r="N600" i="2"/>
  <c r="N598" i="2"/>
  <c r="N597" i="2"/>
  <c r="N596" i="2"/>
  <c r="N595" i="2"/>
  <c r="N594" i="2"/>
  <c r="N593" i="2"/>
  <c r="N592" i="2"/>
  <c r="N591" i="2"/>
  <c r="N590" i="2"/>
  <c r="N589" i="2"/>
  <c r="N588" i="2"/>
  <c r="N587" i="2"/>
  <c r="N586" i="2"/>
  <c r="N585" i="2"/>
  <c r="N583" i="2"/>
  <c r="N582" i="2"/>
  <c r="N581" i="2"/>
  <c r="N580" i="2"/>
  <c r="N579" i="2"/>
  <c r="N578" i="2"/>
  <c r="N576" i="2"/>
  <c r="N575" i="2"/>
  <c r="N574" i="2"/>
  <c r="N573" i="2"/>
  <c r="N572" i="2"/>
  <c r="N571" i="2"/>
  <c r="N570" i="2"/>
  <c r="N569" i="2"/>
  <c r="N568" i="2"/>
  <c r="N567" i="2"/>
  <c r="N566" i="2"/>
  <c r="N565" i="2"/>
  <c r="N564" i="2"/>
  <c r="N563" i="2"/>
  <c r="N562" i="2"/>
  <c r="N561" i="2"/>
  <c r="N560" i="2"/>
  <c r="N558" i="2"/>
  <c r="N557" i="2"/>
  <c r="N556" i="2"/>
  <c r="N555" i="2"/>
  <c r="N554" i="2"/>
  <c r="N553" i="2"/>
  <c r="N552" i="2"/>
  <c r="N551" i="2"/>
  <c r="N550" i="2"/>
  <c r="N549" i="2"/>
  <c r="N548" i="2"/>
  <c r="N547" i="2"/>
  <c r="N546" i="2"/>
  <c r="N544" i="2"/>
  <c r="N543" i="2"/>
  <c r="N542" i="2"/>
  <c r="N541" i="2"/>
  <c r="N540" i="2"/>
  <c r="N539" i="2"/>
  <c r="N538" i="2"/>
  <c r="N537" i="2"/>
  <c r="N536" i="2"/>
  <c r="N535" i="2"/>
  <c r="N532" i="2"/>
  <c r="N531" i="2"/>
  <c r="N530" i="2"/>
  <c r="N529" i="2"/>
  <c r="N528" i="2"/>
  <c r="N527" i="2"/>
  <c r="N525" i="2"/>
  <c r="N523" i="2"/>
  <c r="N522" i="2"/>
  <c r="N521" i="2"/>
  <c r="N520" i="2"/>
  <c r="N519" i="2"/>
  <c r="N518" i="2"/>
  <c r="N517" i="2"/>
  <c r="N516" i="2"/>
  <c r="N515" i="2"/>
  <c r="N514" i="2"/>
  <c r="N513" i="2"/>
  <c r="N512" i="2"/>
  <c r="N511" i="2"/>
  <c r="N510" i="2"/>
  <c r="N509" i="2"/>
  <c r="N508" i="2"/>
  <c r="N506" i="2"/>
  <c r="N505" i="2"/>
  <c r="N504" i="2"/>
  <c r="N503" i="2"/>
  <c r="N502"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2" i="2"/>
  <c r="N471" i="2"/>
  <c r="N469" i="2"/>
  <c r="N468" i="2"/>
  <c r="N467" i="2"/>
  <c r="N466" i="2"/>
  <c r="N462" i="2"/>
  <c r="N460" i="2"/>
  <c r="N459" i="2"/>
  <c r="N458" i="2"/>
  <c r="N457" i="2"/>
  <c r="N455" i="2"/>
  <c r="N454" i="2"/>
  <c r="N453" i="2"/>
  <c r="N452" i="2"/>
  <c r="N451" i="2"/>
  <c r="N450" i="2"/>
  <c r="N449" i="2"/>
  <c r="N448" i="2"/>
  <c r="N447" i="2"/>
  <c r="N446" i="2"/>
  <c r="N445" i="2"/>
  <c r="N444" i="2"/>
  <c r="N443" i="2"/>
  <c r="N442" i="2"/>
  <c r="N440" i="2"/>
  <c r="N439" i="2"/>
  <c r="N438" i="2"/>
  <c r="N436" i="2"/>
  <c r="N435" i="2"/>
  <c r="N434" i="2"/>
  <c r="N433" i="2"/>
  <c r="N432" i="2"/>
  <c r="N431" i="2"/>
  <c r="N430" i="2"/>
  <c r="N429" i="2"/>
  <c r="N427" i="2"/>
  <c r="N426" i="2"/>
  <c r="N425" i="2"/>
  <c r="N423" i="2"/>
  <c r="N422" i="2"/>
  <c r="N421" i="2"/>
  <c r="N420" i="2"/>
  <c r="N419" i="2"/>
  <c r="N418" i="2"/>
  <c r="N417" i="2"/>
  <c r="N416" i="2"/>
  <c r="N415" i="2"/>
  <c r="N413" i="2"/>
  <c r="N412" i="2"/>
  <c r="N411" i="2"/>
  <c r="N410" i="2"/>
  <c r="N409" i="2"/>
  <c r="N408" i="2"/>
  <c r="N407" i="2"/>
  <c r="N406" i="2"/>
  <c r="N404" i="2"/>
  <c r="N403" i="2"/>
  <c r="N402" i="2"/>
  <c r="N401" i="2"/>
  <c r="N400" i="2"/>
  <c r="N399" i="2"/>
  <c r="N398" i="2"/>
  <c r="N397" i="2"/>
  <c r="N396" i="2"/>
  <c r="N394" i="2"/>
  <c r="N393" i="2"/>
  <c r="N392" i="2"/>
  <c r="N391" i="2"/>
  <c r="N390" i="2"/>
  <c r="N389" i="2"/>
  <c r="N387" i="2"/>
  <c r="N386" i="2"/>
  <c r="N385" i="2"/>
  <c r="N384" i="2"/>
  <c r="N382" i="2"/>
  <c r="N381" i="2"/>
  <c r="N380" i="2"/>
  <c r="N378" i="2"/>
  <c r="N377" i="2"/>
  <c r="N376" i="2"/>
  <c r="N375" i="2"/>
  <c r="N373" i="2"/>
  <c r="N372" i="2"/>
  <c r="N371" i="2"/>
  <c r="N370" i="2"/>
  <c r="N369" i="2"/>
  <c r="N368" i="2"/>
  <c r="N367" i="2"/>
  <c r="N366" i="2"/>
  <c r="N365" i="2"/>
  <c r="N364" i="2"/>
  <c r="N363" i="2"/>
  <c r="N362" i="2"/>
  <c r="N361" i="2"/>
  <c r="N360" i="2"/>
  <c r="N359" i="2"/>
  <c r="N358" i="2"/>
  <c r="N357" i="2"/>
  <c r="N355" i="2"/>
  <c r="N354" i="2"/>
  <c r="N353" i="2"/>
  <c r="N352" i="2"/>
  <c r="N351" i="2"/>
  <c r="N350" i="2"/>
  <c r="N349" i="2"/>
  <c r="N348" i="2"/>
  <c r="N347" i="2"/>
  <c r="N346" i="2"/>
  <c r="N345" i="2"/>
  <c r="N344" i="2"/>
  <c r="N343" i="2"/>
  <c r="N342" i="2"/>
  <c r="N340" i="2"/>
  <c r="N339" i="2"/>
  <c r="N338" i="2"/>
  <c r="N336" i="2"/>
  <c r="N335" i="2"/>
  <c r="N334" i="2"/>
  <c r="N332" i="2"/>
  <c r="N331" i="2"/>
  <c r="N330" i="2"/>
  <c r="N329" i="2"/>
  <c r="N328" i="2"/>
  <c r="N327" i="2"/>
  <c r="N325" i="2"/>
  <c r="N324" i="2"/>
  <c r="N323" i="2"/>
  <c r="N322" i="2"/>
  <c r="N321" i="2"/>
  <c r="N320" i="2"/>
  <c r="N319" i="2"/>
  <c r="N318" i="2"/>
  <c r="N317" i="2"/>
  <c r="N316" i="2"/>
  <c r="N315" i="2"/>
  <c r="N314" i="2"/>
  <c r="N313" i="2"/>
  <c r="N312" i="2"/>
  <c r="N311" i="2"/>
  <c r="N310" i="2"/>
  <c r="N309" i="2"/>
  <c r="N308" i="2"/>
  <c r="N305" i="2"/>
  <c r="N304" i="2"/>
  <c r="N303" i="2"/>
  <c r="N302" i="2"/>
  <c r="N301" i="2"/>
  <c r="N300" i="2"/>
  <c r="N299" i="2"/>
  <c r="N297" i="2"/>
  <c r="N296" i="2"/>
  <c r="N295" i="2"/>
  <c r="N294" i="2"/>
  <c r="N293" i="2"/>
  <c r="N292" i="2"/>
  <c r="N291" i="2"/>
  <c r="N289" i="2"/>
  <c r="N288" i="2"/>
  <c r="N287" i="2"/>
  <c r="N286" i="2"/>
  <c r="N285" i="2"/>
  <c r="N284" i="2"/>
  <c r="N283" i="2"/>
  <c r="N282" i="2"/>
  <c r="N280" i="2"/>
  <c r="N279" i="2"/>
  <c r="N278" i="2"/>
  <c r="N277" i="2"/>
  <c r="N276" i="2"/>
  <c r="N275" i="2"/>
  <c r="N274" i="2"/>
  <c r="N272" i="2"/>
  <c r="N270" i="2"/>
  <c r="N269" i="2"/>
  <c r="N268" i="2"/>
  <c r="N267" i="2"/>
  <c r="N266" i="2"/>
  <c r="N264" i="2"/>
  <c r="N262" i="2"/>
  <c r="N261" i="2"/>
  <c r="N259" i="2"/>
  <c r="N257" i="2"/>
  <c r="N255" i="2"/>
  <c r="N254" i="2"/>
  <c r="N253" i="2"/>
  <c r="N252" i="2"/>
  <c r="N251" i="2"/>
  <c r="N250" i="2"/>
  <c r="N248" i="2"/>
  <c r="N247" i="2"/>
  <c r="N246" i="2"/>
  <c r="N245" i="2"/>
  <c r="N244" i="2"/>
  <c r="N243" i="2"/>
  <c r="N240" i="2"/>
  <c r="N239" i="2"/>
  <c r="N238" i="2"/>
  <c r="N235" i="2"/>
  <c r="N234" i="2"/>
  <c r="N233" i="2"/>
  <c r="N232" i="2"/>
  <c r="N231" i="2"/>
  <c r="N229" i="2"/>
  <c r="N228" i="2"/>
  <c r="N226" i="2"/>
  <c r="N225" i="2"/>
  <c r="N224" i="2"/>
  <c r="N222" i="2"/>
  <c r="N221" i="2"/>
  <c r="N220" i="2"/>
  <c r="N219" i="2"/>
  <c r="N218" i="2"/>
  <c r="N217" i="2"/>
  <c r="N216" i="2"/>
  <c r="N213" i="2"/>
  <c r="N212" i="2"/>
  <c r="N211" i="2"/>
  <c r="N210" i="2"/>
  <c r="N209" i="2"/>
  <c r="N208" i="2"/>
  <c r="N206" i="2"/>
  <c r="N205" i="2"/>
  <c r="N204" i="2"/>
  <c r="N203" i="2"/>
  <c r="N202" i="2"/>
  <c r="N198" i="2"/>
  <c r="N197" i="2"/>
  <c r="N196" i="2"/>
  <c r="N195" i="2"/>
  <c r="N193" i="2"/>
  <c r="N192" i="2"/>
  <c r="N191" i="2"/>
  <c r="N190" i="2"/>
  <c r="N189" i="2"/>
  <c r="N188" i="2"/>
  <c r="N187" i="2"/>
  <c r="N186" i="2"/>
  <c r="N185" i="2"/>
  <c r="N184" i="2"/>
  <c r="N183" i="2"/>
  <c r="N182" i="2"/>
  <c r="N181" i="2"/>
  <c r="N179" i="2"/>
  <c r="N178" i="2"/>
  <c r="N177" i="2"/>
  <c r="N176" i="2"/>
  <c r="N175" i="2"/>
  <c r="N174" i="2"/>
  <c r="N173" i="2"/>
  <c r="N172" i="2"/>
  <c r="N171" i="2"/>
  <c r="N169" i="2"/>
  <c r="N168" i="2"/>
  <c r="N167" i="2"/>
  <c r="N165" i="2"/>
  <c r="N164" i="2"/>
  <c r="N163" i="2"/>
  <c r="N162" i="2"/>
  <c r="N161" i="2"/>
  <c r="N160" i="2"/>
  <c r="N159" i="2"/>
  <c r="N158" i="2"/>
  <c r="N157" i="2"/>
  <c r="N156" i="2"/>
  <c r="N155" i="2"/>
  <c r="N154" i="2"/>
  <c r="N153" i="2"/>
  <c r="N152" i="2"/>
  <c r="N151" i="2"/>
  <c r="N150" i="2"/>
  <c r="N149" i="2"/>
  <c r="N148" i="2"/>
  <c r="N147" i="2"/>
  <c r="N146" i="2"/>
  <c r="N145" i="2"/>
  <c r="N144" i="2"/>
  <c r="N143" i="2"/>
  <c r="N142" i="2"/>
  <c r="N140" i="2"/>
  <c r="N139" i="2"/>
  <c r="N138" i="2"/>
  <c r="N137" i="2"/>
  <c r="N136" i="2"/>
  <c r="N135" i="2"/>
  <c r="N134" i="2"/>
  <c r="N133" i="2"/>
  <c r="N132" i="2"/>
  <c r="N131" i="2"/>
  <c r="N130" i="2"/>
  <c r="N129" i="2"/>
  <c r="N128" i="2"/>
  <c r="N127" i="2"/>
  <c r="N126" i="2"/>
  <c r="N123" i="2"/>
  <c r="N122" i="2"/>
  <c r="N121" i="2"/>
  <c r="N119" i="2"/>
  <c r="N118" i="2"/>
  <c r="N117" i="2"/>
  <c r="N116" i="2"/>
  <c r="N115" i="2"/>
  <c r="N114" i="2"/>
  <c r="N113" i="2"/>
  <c r="N112" i="2"/>
  <c r="N111" i="2"/>
  <c r="N110" i="2"/>
  <c r="N109" i="2"/>
  <c r="N108" i="2"/>
  <c r="N106" i="2"/>
  <c r="N105" i="2"/>
  <c r="N104" i="2"/>
  <c r="N103" i="2"/>
  <c r="N102" i="2"/>
  <c r="N101" i="2"/>
  <c r="N99" i="2"/>
  <c r="N98" i="2"/>
  <c r="N97" i="2"/>
  <c r="N95" i="2"/>
  <c r="N94" i="2"/>
  <c r="N93" i="2"/>
  <c r="N92" i="2"/>
  <c r="N91" i="2"/>
  <c r="N90" i="2"/>
  <c r="N89" i="2"/>
  <c r="N88" i="2"/>
  <c r="N87" i="2"/>
  <c r="N86" i="2"/>
  <c r="N85" i="2"/>
  <c r="N84" i="2"/>
  <c r="N83" i="2"/>
  <c r="N81" i="2"/>
  <c r="N80" i="2"/>
  <c r="N79" i="2"/>
  <c r="N78" i="2"/>
  <c r="N77" i="2"/>
  <c r="N76" i="2"/>
  <c r="N75" i="2"/>
  <c r="N74" i="2"/>
  <c r="N72" i="2"/>
  <c r="N70" i="2"/>
  <c r="N69" i="2"/>
  <c r="N68" i="2"/>
  <c r="N67" i="2"/>
  <c r="N66" i="2"/>
  <c r="N65" i="2"/>
  <c r="N64" i="2"/>
  <c r="N63" i="2"/>
  <c r="N62" i="2"/>
  <c r="N61" i="2"/>
  <c r="N60" i="2"/>
  <c r="N59" i="2"/>
  <c r="N58" i="2"/>
  <c r="N57" i="2"/>
  <c r="N56" i="2"/>
  <c r="N55" i="2"/>
  <c r="N54" i="2"/>
  <c r="N52" i="2"/>
  <c r="N51" i="2"/>
  <c r="N50" i="2"/>
  <c r="N49" i="2"/>
  <c r="N47" i="2"/>
  <c r="N46" i="2"/>
  <c r="N45" i="2"/>
  <c r="N44" i="2"/>
  <c r="N43" i="2"/>
  <c r="N42" i="2"/>
  <c r="N41" i="2"/>
  <c r="N40" i="2"/>
  <c r="N39" i="2"/>
  <c r="N38" i="2"/>
  <c r="N35" i="2"/>
  <c r="N34" i="2"/>
  <c r="N33" i="2"/>
  <c r="N32" i="2"/>
  <c r="N31" i="2"/>
  <c r="N30" i="2"/>
  <c r="N29" i="2"/>
  <c r="N28" i="2"/>
  <c r="N27" i="2"/>
  <c r="N26" i="2"/>
  <c r="N25" i="2"/>
  <c r="N24" i="2"/>
  <c r="N22" i="2"/>
  <c r="N21" i="2"/>
  <c r="N20" i="2"/>
  <c r="N19" i="2"/>
  <c r="N18" i="2"/>
  <c r="N16" i="2"/>
  <c r="M73" i="2"/>
  <c r="M71" i="2"/>
  <c r="M53" i="2"/>
  <c r="M48" i="2"/>
  <c r="M37" i="2"/>
  <c r="M36" i="2"/>
  <c r="M17" i="2"/>
  <c r="M16" i="2"/>
  <c r="M15" i="2"/>
  <c r="M14" i="2"/>
  <c r="M13" i="2"/>
  <c r="M12" i="2"/>
  <c r="M11" i="2"/>
  <c r="M10" i="2"/>
  <c r="M9" i="2"/>
  <c r="M8" i="2"/>
  <c r="M7" i="2"/>
  <c r="M6" i="2"/>
  <c r="M5" i="2"/>
  <c r="M4" i="2"/>
  <c r="M3" i="2"/>
  <c r="M1002" i="2"/>
  <c r="M1001" i="2"/>
  <c r="M1000" i="2"/>
  <c r="M999" i="2"/>
  <c r="M998" i="2"/>
  <c r="M997" i="2"/>
  <c r="M996" i="2"/>
  <c r="M995" i="2"/>
  <c r="M994" i="2"/>
  <c r="M992" i="2"/>
  <c r="M991" i="2"/>
  <c r="M990" i="2"/>
  <c r="M988" i="2"/>
  <c r="M987" i="2"/>
  <c r="M986" i="2"/>
  <c r="M985" i="2"/>
  <c r="M984" i="2"/>
  <c r="M982" i="2"/>
  <c r="M981" i="2"/>
  <c r="M980" i="2"/>
  <c r="M979" i="2"/>
  <c r="M978" i="2"/>
  <c r="M977" i="2"/>
  <c r="M976" i="2"/>
  <c r="M974" i="2"/>
  <c r="M973" i="2"/>
  <c r="M972" i="2"/>
  <c r="M971" i="2"/>
  <c r="M970"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0" i="2"/>
  <c r="M929" i="2"/>
  <c r="M927" i="2"/>
  <c r="M926" i="2"/>
  <c r="M925" i="2"/>
  <c r="M923" i="2"/>
  <c r="M922" i="2"/>
  <c r="M921" i="2"/>
  <c r="M920" i="2"/>
  <c r="M919" i="2"/>
  <c r="M918" i="2"/>
  <c r="M917" i="2"/>
  <c r="M916" i="2"/>
  <c r="M915" i="2"/>
  <c r="M914" i="2"/>
  <c r="M913" i="2"/>
  <c r="M912" i="2"/>
  <c r="M911" i="2"/>
  <c r="M910" i="2"/>
  <c r="M909" i="2"/>
  <c r="M906" i="2"/>
  <c r="M905" i="2"/>
  <c r="M904" i="2"/>
  <c r="M903" i="2"/>
  <c r="M902" i="2"/>
  <c r="M901" i="2"/>
  <c r="M900" i="2"/>
  <c r="M899" i="2"/>
  <c r="M898" i="2"/>
  <c r="M897" i="2"/>
  <c r="M896" i="2"/>
  <c r="M895" i="2"/>
  <c r="M894" i="2"/>
  <c r="M893" i="2"/>
  <c r="M892" i="2"/>
  <c r="M891" i="2"/>
  <c r="M890" i="2"/>
  <c r="M889" i="2"/>
  <c r="M888" i="2"/>
  <c r="M887" i="2"/>
  <c r="M886" i="2"/>
  <c r="M884" i="2"/>
  <c r="M883" i="2"/>
  <c r="M882" i="2"/>
  <c r="M881" i="2"/>
  <c r="M880" i="2"/>
  <c r="M879" i="2"/>
  <c r="M878" i="2"/>
  <c r="M877" i="2"/>
  <c r="M876" i="2"/>
  <c r="M875" i="2"/>
  <c r="M873" i="2"/>
  <c r="M872" i="2"/>
  <c r="M871" i="2"/>
  <c r="M870" i="2"/>
  <c r="M869" i="2"/>
  <c r="M868" i="2"/>
  <c r="M867" i="2"/>
  <c r="M866" i="2"/>
  <c r="M865" i="2"/>
  <c r="M864" i="2"/>
  <c r="M863" i="2"/>
  <c r="M862" i="2"/>
  <c r="M860" i="2"/>
  <c r="M858" i="2"/>
  <c r="M857" i="2"/>
  <c r="M855" i="2"/>
  <c r="M854" i="2"/>
  <c r="M853" i="2"/>
  <c r="M852" i="2"/>
  <c r="M851" i="2"/>
  <c r="M850" i="2"/>
  <c r="M849" i="2"/>
  <c r="M848" i="2"/>
  <c r="M847" i="2"/>
  <c r="M846" i="2"/>
  <c r="M845" i="2"/>
  <c r="M844" i="2"/>
  <c r="M841" i="2"/>
  <c r="M840" i="2"/>
  <c r="M839" i="2"/>
  <c r="M837" i="2"/>
  <c r="M836" i="2"/>
  <c r="M835" i="2"/>
  <c r="M834" i="2"/>
  <c r="M833" i="2"/>
  <c r="M832" i="2"/>
  <c r="M831" i="2"/>
  <c r="M830" i="2"/>
  <c r="M829" i="2"/>
  <c r="M828" i="2"/>
  <c r="M827" i="2"/>
  <c r="M826" i="2"/>
  <c r="M825" i="2"/>
  <c r="M824" i="2"/>
  <c r="M823" i="2"/>
  <c r="M822" i="2"/>
  <c r="M821" i="2"/>
  <c r="M820" i="2"/>
  <c r="M819" i="2"/>
  <c r="M818" i="2"/>
  <c r="M817" i="2"/>
  <c r="M815" i="2"/>
  <c r="M813" i="2"/>
  <c r="M812" i="2"/>
  <c r="M811" i="2"/>
  <c r="M810" i="2"/>
  <c r="M809" i="2"/>
  <c r="M808" i="2"/>
  <c r="M807" i="2"/>
  <c r="M806" i="2"/>
  <c r="M805" i="2"/>
  <c r="M804" i="2"/>
  <c r="M803" i="2"/>
  <c r="M802" i="2"/>
  <c r="M801" i="2"/>
  <c r="M800" i="2"/>
  <c r="M799" i="2"/>
  <c r="M798" i="2"/>
  <c r="M797" i="2"/>
  <c r="M796" i="2"/>
  <c r="M795" i="2"/>
  <c r="M792" i="2"/>
  <c r="M791" i="2"/>
  <c r="M790" i="2"/>
  <c r="M789" i="2"/>
  <c r="M788" i="2"/>
  <c r="M787" i="2"/>
  <c r="M786" i="2"/>
  <c r="M785" i="2"/>
  <c r="M784" i="2"/>
  <c r="M783" i="2"/>
  <c r="M782" i="2"/>
  <c r="M781" i="2"/>
  <c r="M780" i="2"/>
  <c r="M779" i="2"/>
  <c r="M778" i="2"/>
  <c r="M777" i="2"/>
  <c r="M776" i="2"/>
  <c r="M774" i="2"/>
  <c r="M772" i="2"/>
  <c r="M771" i="2"/>
  <c r="M770" i="2"/>
  <c r="M769" i="2"/>
  <c r="M768" i="2"/>
  <c r="M767" i="2"/>
  <c r="M766" i="2"/>
  <c r="M765" i="2"/>
  <c r="M764" i="2"/>
  <c r="M763" i="2"/>
  <c r="M762" i="2"/>
  <c r="M761" i="2"/>
  <c r="M760" i="2"/>
  <c r="M759" i="2"/>
  <c r="M758" i="2"/>
  <c r="M757" i="2"/>
  <c r="M755" i="2"/>
  <c r="M754" i="2"/>
  <c r="M753" i="2"/>
  <c r="M752" i="2"/>
  <c r="M750" i="2"/>
  <c r="M749" i="2"/>
  <c r="M747" i="2"/>
  <c r="M746" i="2"/>
  <c r="M745" i="2"/>
  <c r="M744" i="2"/>
  <c r="M743" i="2"/>
  <c r="M742" i="2"/>
  <c r="M741" i="2"/>
  <c r="M740" i="2"/>
  <c r="M739" i="2"/>
  <c r="M737" i="2"/>
  <c r="M736" i="2"/>
  <c r="M735" i="2"/>
  <c r="M734" i="2"/>
  <c r="M733" i="2"/>
  <c r="M732" i="2"/>
  <c r="M731" i="2"/>
  <c r="M730" i="2"/>
  <c r="M729" i="2"/>
  <c r="M728" i="2"/>
  <c r="M727" i="2"/>
  <c r="M725"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7" i="2"/>
  <c r="M696" i="2"/>
  <c r="M695" i="2"/>
  <c r="M694" i="2"/>
  <c r="M693" i="2"/>
  <c r="M692" i="2"/>
  <c r="M691" i="2"/>
  <c r="M690" i="2"/>
  <c r="M689" i="2"/>
  <c r="M688" i="2"/>
  <c r="M687" i="2"/>
  <c r="M686" i="2"/>
  <c r="M685" i="2"/>
  <c r="M683" i="2"/>
  <c r="M682" i="2"/>
  <c r="M681" i="2"/>
  <c r="M680" i="2"/>
  <c r="M679" i="2"/>
  <c r="M678" i="2"/>
  <c r="M677" i="2"/>
  <c r="M676" i="2"/>
  <c r="M675" i="2"/>
  <c r="M673" i="2"/>
  <c r="M672" i="2"/>
  <c r="M671" i="2"/>
  <c r="M670" i="2"/>
  <c r="M669" i="2"/>
  <c r="M668" i="2"/>
  <c r="M667" i="2"/>
  <c r="M665" i="2"/>
  <c r="M664" i="2"/>
  <c r="M663" i="2"/>
  <c r="M662" i="2"/>
  <c r="M661" i="2"/>
  <c r="M660" i="2"/>
  <c r="M659" i="2"/>
  <c r="M658" i="2"/>
  <c r="M657" i="2"/>
  <c r="M656" i="2"/>
  <c r="M655" i="2"/>
  <c r="M654" i="2"/>
  <c r="M653" i="2"/>
  <c r="M652" i="2"/>
  <c r="M651" i="2"/>
  <c r="M650" i="2"/>
  <c r="M649" i="2"/>
  <c r="M648" i="2"/>
  <c r="M647" i="2"/>
  <c r="M646" i="2"/>
  <c r="M645" i="2"/>
  <c r="M644" i="2"/>
  <c r="M643" i="2"/>
  <c r="M641" i="2"/>
  <c r="M640" i="2"/>
  <c r="M639" i="2"/>
  <c r="M638" i="2"/>
  <c r="M637" i="2"/>
  <c r="M636" i="2"/>
  <c r="M635" i="2"/>
  <c r="M634" i="2"/>
  <c r="M633" i="2"/>
  <c r="M632" i="2"/>
  <c r="M631" i="2"/>
  <c r="M630" i="2"/>
  <c r="M628" i="2"/>
  <c r="M627" i="2"/>
  <c r="M626" i="2"/>
  <c r="M625" i="2"/>
  <c r="M624" i="2"/>
  <c r="M623" i="2"/>
  <c r="M622" i="2"/>
  <c r="M620" i="2"/>
  <c r="M618" i="2"/>
  <c r="M617" i="2"/>
  <c r="M616" i="2"/>
  <c r="M615" i="2"/>
  <c r="M614" i="2"/>
  <c r="M613" i="2"/>
  <c r="M612" i="2"/>
  <c r="M611" i="2"/>
  <c r="M610" i="2"/>
  <c r="M609" i="2"/>
  <c r="M608" i="2"/>
  <c r="M607" i="2"/>
  <c r="M606" i="2"/>
  <c r="M605" i="2"/>
  <c r="M604" i="2"/>
  <c r="M603" i="2"/>
  <c r="M602" i="2"/>
  <c r="M601" i="2"/>
  <c r="M600" i="2"/>
  <c r="M598" i="2"/>
  <c r="M597" i="2"/>
  <c r="M596" i="2"/>
  <c r="M595" i="2"/>
  <c r="M594" i="2"/>
  <c r="M593" i="2"/>
  <c r="M592" i="2"/>
  <c r="M591" i="2"/>
  <c r="M590" i="2"/>
  <c r="M589" i="2"/>
  <c r="M588" i="2"/>
  <c r="M587" i="2"/>
  <c r="M586" i="2"/>
  <c r="M585" i="2"/>
  <c r="M583" i="2"/>
  <c r="M582" i="2"/>
  <c r="M581" i="2"/>
  <c r="M580" i="2"/>
  <c r="M579" i="2"/>
  <c r="M578" i="2"/>
  <c r="M576" i="2"/>
  <c r="M575" i="2"/>
  <c r="M574" i="2"/>
  <c r="M573" i="2"/>
  <c r="M572" i="2"/>
  <c r="M571" i="2"/>
  <c r="M570" i="2"/>
  <c r="M569" i="2"/>
  <c r="M568" i="2"/>
  <c r="M567" i="2"/>
  <c r="M566" i="2"/>
  <c r="M565" i="2"/>
  <c r="M564" i="2"/>
  <c r="M563" i="2"/>
  <c r="M562" i="2"/>
  <c r="M561" i="2"/>
  <c r="M560" i="2"/>
  <c r="M558" i="2"/>
  <c r="M557" i="2"/>
  <c r="M556" i="2"/>
  <c r="M555" i="2"/>
  <c r="M554" i="2"/>
  <c r="M553" i="2"/>
  <c r="M552" i="2"/>
  <c r="M551" i="2"/>
  <c r="M550" i="2"/>
  <c r="M549" i="2"/>
  <c r="M548" i="2"/>
  <c r="M547" i="2"/>
  <c r="M546" i="2"/>
  <c r="M544" i="2"/>
  <c r="M543" i="2"/>
  <c r="M542" i="2"/>
  <c r="M541" i="2"/>
  <c r="M540" i="2"/>
  <c r="M539" i="2"/>
  <c r="M538" i="2"/>
  <c r="M537" i="2"/>
  <c r="M536" i="2"/>
  <c r="M535" i="2"/>
  <c r="M532" i="2"/>
  <c r="M531" i="2"/>
  <c r="M530" i="2"/>
  <c r="M529" i="2"/>
  <c r="M528" i="2"/>
  <c r="M527" i="2"/>
  <c r="M525" i="2"/>
  <c r="M523" i="2"/>
  <c r="M522" i="2"/>
  <c r="M521" i="2"/>
  <c r="M520" i="2"/>
  <c r="M519" i="2"/>
  <c r="M518" i="2"/>
  <c r="M517" i="2"/>
  <c r="M516" i="2"/>
  <c r="M515" i="2"/>
  <c r="M514" i="2"/>
  <c r="M513" i="2"/>
  <c r="M512" i="2"/>
  <c r="M511" i="2"/>
  <c r="M510" i="2"/>
  <c r="M509" i="2"/>
  <c r="M508" i="2"/>
  <c r="M506" i="2"/>
  <c r="M505" i="2"/>
  <c r="M504" i="2"/>
  <c r="M503" i="2"/>
  <c r="M502"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2" i="2"/>
  <c r="M471" i="2"/>
  <c r="M469" i="2"/>
  <c r="M468" i="2"/>
  <c r="M467" i="2"/>
  <c r="M466" i="2"/>
  <c r="M462" i="2"/>
  <c r="M460" i="2"/>
  <c r="M459" i="2"/>
  <c r="M458" i="2"/>
  <c r="M457" i="2"/>
  <c r="M455" i="2"/>
  <c r="M454" i="2"/>
  <c r="M453" i="2"/>
  <c r="M452" i="2"/>
  <c r="M451" i="2"/>
  <c r="M450" i="2"/>
  <c r="M449" i="2"/>
  <c r="M448" i="2"/>
  <c r="M447" i="2"/>
  <c r="M446" i="2"/>
  <c r="M445" i="2"/>
  <c r="M444" i="2"/>
  <c r="M443" i="2"/>
  <c r="M442" i="2"/>
  <c r="M440" i="2"/>
  <c r="M439" i="2"/>
  <c r="M438" i="2"/>
  <c r="M436" i="2"/>
  <c r="M435" i="2"/>
  <c r="M434" i="2"/>
  <c r="M433" i="2"/>
  <c r="M432" i="2"/>
  <c r="M431" i="2"/>
  <c r="M430" i="2"/>
  <c r="M429" i="2"/>
  <c r="M427" i="2"/>
  <c r="M426" i="2"/>
  <c r="M425" i="2"/>
  <c r="M423" i="2"/>
  <c r="M422" i="2"/>
  <c r="M421" i="2"/>
  <c r="M420" i="2"/>
  <c r="M419" i="2"/>
  <c r="M418" i="2"/>
  <c r="M417" i="2"/>
  <c r="M416" i="2"/>
  <c r="M415" i="2"/>
  <c r="M413" i="2"/>
  <c r="M412" i="2"/>
  <c r="M411" i="2"/>
  <c r="M410" i="2"/>
  <c r="M409" i="2"/>
  <c r="M408" i="2"/>
  <c r="M407" i="2"/>
  <c r="M406" i="2"/>
  <c r="M404" i="2"/>
  <c r="M403" i="2"/>
  <c r="M402" i="2"/>
  <c r="M401" i="2"/>
  <c r="M400" i="2"/>
  <c r="M399" i="2"/>
  <c r="M398" i="2"/>
  <c r="M397" i="2"/>
  <c r="M396" i="2"/>
  <c r="M394" i="2"/>
  <c r="M393" i="2"/>
  <c r="M392" i="2"/>
  <c r="M391" i="2"/>
  <c r="M390" i="2"/>
  <c r="M389" i="2"/>
  <c r="M387" i="2"/>
  <c r="M386" i="2"/>
  <c r="M385" i="2"/>
  <c r="M384" i="2"/>
  <c r="M382" i="2"/>
  <c r="M381" i="2"/>
  <c r="M380" i="2"/>
  <c r="M378" i="2"/>
  <c r="M377" i="2"/>
  <c r="M376" i="2"/>
  <c r="M375" i="2"/>
  <c r="M373" i="2"/>
  <c r="M372" i="2"/>
  <c r="M371" i="2"/>
  <c r="M370" i="2"/>
  <c r="M369" i="2"/>
  <c r="M368" i="2"/>
  <c r="M367" i="2"/>
  <c r="M366" i="2"/>
  <c r="M365" i="2"/>
  <c r="M364" i="2"/>
  <c r="M363" i="2"/>
  <c r="M362" i="2"/>
  <c r="M361" i="2"/>
  <c r="M360" i="2"/>
  <c r="M359" i="2"/>
  <c r="M358" i="2"/>
  <c r="M357" i="2"/>
  <c r="M355" i="2"/>
  <c r="M354" i="2"/>
  <c r="M353" i="2"/>
  <c r="M352" i="2"/>
  <c r="M351" i="2"/>
  <c r="M350" i="2"/>
  <c r="M349" i="2"/>
  <c r="M348" i="2"/>
  <c r="M347" i="2"/>
  <c r="M346" i="2"/>
  <c r="M345" i="2"/>
  <c r="M344" i="2"/>
  <c r="M343" i="2"/>
  <c r="M342" i="2"/>
  <c r="M340" i="2"/>
  <c r="M339" i="2"/>
  <c r="M338" i="2"/>
  <c r="M336" i="2"/>
  <c r="M335" i="2"/>
  <c r="M334" i="2"/>
  <c r="M332" i="2"/>
  <c r="M331" i="2"/>
  <c r="M330" i="2"/>
  <c r="M329" i="2"/>
  <c r="M328" i="2"/>
  <c r="M327" i="2"/>
  <c r="M325" i="2"/>
  <c r="M324" i="2"/>
  <c r="M323" i="2"/>
  <c r="M322" i="2"/>
  <c r="M321" i="2"/>
  <c r="M320" i="2"/>
  <c r="M319" i="2"/>
  <c r="M318" i="2"/>
  <c r="M317" i="2"/>
  <c r="M316" i="2"/>
  <c r="M315" i="2"/>
  <c r="M314" i="2"/>
  <c r="M313" i="2"/>
  <c r="M312" i="2"/>
  <c r="M311" i="2"/>
  <c r="M310" i="2"/>
  <c r="M309" i="2"/>
  <c r="M308" i="2"/>
  <c r="M305" i="2"/>
  <c r="M304" i="2"/>
  <c r="M303" i="2"/>
  <c r="M302" i="2"/>
  <c r="M301" i="2"/>
  <c r="M300" i="2"/>
  <c r="M299" i="2"/>
  <c r="M297" i="2"/>
  <c r="M296" i="2"/>
  <c r="M295" i="2"/>
  <c r="M294" i="2"/>
  <c r="M293" i="2"/>
  <c r="M292" i="2"/>
  <c r="M291" i="2"/>
  <c r="M289" i="2"/>
  <c r="M288" i="2"/>
  <c r="M287" i="2"/>
  <c r="M286" i="2"/>
  <c r="M285" i="2"/>
  <c r="M284" i="2"/>
  <c r="M283" i="2"/>
  <c r="M282" i="2"/>
  <c r="M280" i="2"/>
  <c r="M279" i="2"/>
  <c r="M278" i="2"/>
  <c r="M277" i="2"/>
  <c r="M276" i="2"/>
  <c r="M275" i="2"/>
  <c r="M274" i="2"/>
  <c r="M272" i="2"/>
  <c r="M270" i="2"/>
  <c r="M269" i="2"/>
  <c r="M268" i="2"/>
  <c r="M267" i="2"/>
  <c r="M266" i="2"/>
  <c r="M264" i="2"/>
  <c r="M262" i="2"/>
  <c r="M261" i="2"/>
  <c r="M259" i="2"/>
  <c r="M257" i="2"/>
  <c r="M255" i="2"/>
  <c r="M254" i="2"/>
  <c r="M253" i="2"/>
  <c r="M252" i="2"/>
  <c r="M251" i="2"/>
  <c r="M250" i="2"/>
  <c r="M248" i="2"/>
  <c r="M247" i="2"/>
  <c r="M246" i="2"/>
  <c r="M245" i="2"/>
  <c r="M244" i="2"/>
  <c r="M243" i="2"/>
  <c r="M240" i="2"/>
  <c r="M239" i="2"/>
  <c r="M238" i="2"/>
  <c r="M235" i="2"/>
  <c r="M234" i="2"/>
  <c r="M233" i="2"/>
  <c r="M232" i="2"/>
  <c r="M231" i="2"/>
  <c r="M229" i="2"/>
  <c r="M228" i="2"/>
  <c r="M226" i="2"/>
  <c r="M225" i="2"/>
  <c r="M224" i="2"/>
  <c r="M222" i="2"/>
  <c r="M221" i="2"/>
  <c r="M220" i="2"/>
  <c r="M219" i="2"/>
  <c r="M218" i="2"/>
  <c r="M217" i="2"/>
  <c r="M216" i="2"/>
  <c r="M213" i="2"/>
  <c r="M212" i="2"/>
  <c r="M211" i="2"/>
  <c r="M210" i="2"/>
  <c r="M209" i="2"/>
  <c r="M208" i="2"/>
  <c r="M206" i="2"/>
  <c r="M205" i="2"/>
  <c r="M204" i="2"/>
  <c r="M203" i="2"/>
  <c r="M202" i="2"/>
  <c r="M198" i="2"/>
  <c r="M197" i="2"/>
  <c r="M196" i="2"/>
  <c r="M195" i="2"/>
  <c r="M193" i="2"/>
  <c r="M190" i="2"/>
  <c r="M191" i="2"/>
  <c r="M192" i="2"/>
  <c r="M189" i="2"/>
  <c r="M188" i="2"/>
  <c r="M187" i="2"/>
  <c r="M186" i="2"/>
  <c r="M185" i="2"/>
  <c r="M184" i="2"/>
  <c r="M183" i="2"/>
  <c r="M182" i="2"/>
  <c r="M181" i="2"/>
  <c r="M179" i="2"/>
  <c r="M178" i="2"/>
  <c r="M177" i="2"/>
  <c r="M176" i="2"/>
  <c r="M175" i="2"/>
  <c r="M174" i="2"/>
  <c r="M173" i="2"/>
  <c r="M172" i="2"/>
  <c r="M171" i="2"/>
  <c r="M169" i="2"/>
  <c r="M168" i="2"/>
  <c r="M167" i="2"/>
  <c r="M165" i="2"/>
  <c r="M164" i="2"/>
  <c r="M163" i="2"/>
  <c r="M162" i="2"/>
  <c r="M161" i="2"/>
  <c r="M160" i="2"/>
  <c r="M159" i="2"/>
  <c r="M158" i="2"/>
  <c r="M157" i="2"/>
  <c r="M156" i="2"/>
  <c r="M155" i="2"/>
  <c r="M154" i="2"/>
  <c r="M153" i="2"/>
  <c r="M152" i="2"/>
  <c r="M151" i="2"/>
  <c r="M150" i="2"/>
  <c r="M149" i="2"/>
  <c r="M148" i="2"/>
  <c r="M147" i="2"/>
  <c r="M146" i="2"/>
  <c r="M145" i="2"/>
  <c r="M144" i="2"/>
  <c r="M143" i="2"/>
  <c r="M142" i="2"/>
  <c r="M140" i="2"/>
  <c r="M139" i="2"/>
  <c r="M138" i="2"/>
  <c r="M137" i="2"/>
  <c r="M136" i="2"/>
  <c r="M135" i="2"/>
  <c r="M134" i="2"/>
  <c r="M133" i="2"/>
  <c r="M132" i="2"/>
  <c r="M131" i="2"/>
  <c r="M130" i="2"/>
  <c r="M129" i="2"/>
  <c r="M128" i="2"/>
  <c r="M127" i="2"/>
  <c r="M126" i="2"/>
  <c r="M123" i="2"/>
  <c r="M122" i="2"/>
  <c r="M121" i="2"/>
  <c r="M119" i="2"/>
  <c r="M118" i="2"/>
  <c r="M117" i="2"/>
  <c r="M116" i="2"/>
  <c r="M115" i="2"/>
  <c r="M114" i="2"/>
  <c r="M113" i="2"/>
  <c r="M112" i="2"/>
  <c r="M111" i="2"/>
  <c r="M110" i="2"/>
  <c r="M109" i="2"/>
  <c r="M108" i="2"/>
  <c r="M106" i="2"/>
  <c r="M105" i="2"/>
  <c r="M104" i="2"/>
  <c r="M103" i="2"/>
  <c r="M102" i="2"/>
  <c r="M101" i="2"/>
  <c r="M99" i="2"/>
  <c r="M98" i="2"/>
  <c r="M97" i="2"/>
  <c r="M95" i="2"/>
  <c r="M94" i="2"/>
  <c r="M93" i="2"/>
  <c r="M92" i="2"/>
  <c r="M91" i="2"/>
  <c r="M90" i="2"/>
  <c r="M89" i="2"/>
  <c r="M88" i="2"/>
  <c r="M87" i="2"/>
  <c r="M86" i="2"/>
  <c r="M85" i="2"/>
  <c r="M84" i="2"/>
  <c r="M83" i="2"/>
  <c r="M81" i="2"/>
  <c r="M80" i="2"/>
  <c r="M79" i="2"/>
  <c r="M78" i="2"/>
  <c r="M77" i="2"/>
  <c r="M76" i="2"/>
  <c r="M75" i="2"/>
  <c r="M74" i="2"/>
  <c r="M72" i="2"/>
  <c r="M70" i="2"/>
  <c r="M69" i="2"/>
  <c r="M68" i="2"/>
  <c r="M67" i="2"/>
  <c r="M66" i="2"/>
  <c r="M65" i="2"/>
  <c r="M64" i="2"/>
  <c r="M63" i="2"/>
  <c r="M62" i="2"/>
  <c r="M61" i="2"/>
  <c r="M60" i="2"/>
  <c r="M59" i="2"/>
  <c r="M58" i="2"/>
  <c r="M57" i="2"/>
  <c r="M56" i="2"/>
  <c r="M55" i="2"/>
  <c r="M54" i="2"/>
  <c r="M52" i="2"/>
  <c r="M51" i="2"/>
  <c r="M50" i="2"/>
  <c r="M49" i="2"/>
  <c r="M47" i="2"/>
  <c r="M46" i="2"/>
  <c r="M45" i="2"/>
  <c r="M44" i="2"/>
  <c r="M43" i="2"/>
  <c r="M42" i="2"/>
  <c r="M41" i="2"/>
  <c r="M40" i="2"/>
  <c r="M39" i="2"/>
  <c r="M38" i="2"/>
  <c r="M35" i="2"/>
  <c r="M34" i="2"/>
  <c r="M33" i="2"/>
  <c r="M32" i="2"/>
  <c r="M31" i="2"/>
  <c r="M30" i="2"/>
  <c r="M29" i="2"/>
  <c r="M28" i="2"/>
  <c r="M27" i="2"/>
  <c r="M26" i="2"/>
  <c r="M25" i="2"/>
  <c r="M24" i="2"/>
  <c r="M22" i="2"/>
  <c r="M21" i="2"/>
  <c r="M20" i="2"/>
  <c r="M19" i="2"/>
  <c r="M18" i="2"/>
  <c r="M2" i="2"/>
  <c r="O1001" i="2"/>
  <c r="P1001" i="2" s="1"/>
  <c r="O1000" i="2"/>
  <c r="P1000" i="2" s="1"/>
  <c r="O999" i="2"/>
  <c r="P999" i="2" s="1"/>
  <c r="O998" i="2"/>
  <c r="P998" i="2" s="1"/>
  <c r="O997" i="2"/>
  <c r="P997" i="2" s="1"/>
  <c r="O996" i="2"/>
  <c r="P996" i="2" s="1"/>
  <c r="O995" i="2"/>
  <c r="P995" i="2" s="1"/>
  <c r="O994" i="2"/>
  <c r="P994" i="2" s="1"/>
  <c r="O992" i="2"/>
  <c r="P992" i="2" s="1"/>
  <c r="O991" i="2"/>
  <c r="P991" i="2" s="1"/>
  <c r="O990" i="2"/>
  <c r="P990" i="2" s="1"/>
  <c r="O988" i="2"/>
  <c r="P988" i="2" s="1"/>
  <c r="O987" i="2"/>
  <c r="P987" i="2" s="1"/>
  <c r="O986" i="2"/>
  <c r="P986" i="2" s="1"/>
  <c r="O985" i="2"/>
  <c r="P985" i="2" s="1"/>
  <c r="O984" i="2"/>
  <c r="P984" i="2" s="1"/>
  <c r="O982" i="2"/>
  <c r="P982" i="2" s="1"/>
  <c r="O981" i="2"/>
  <c r="P981" i="2" s="1"/>
  <c r="O980" i="2"/>
  <c r="P980" i="2" s="1"/>
  <c r="O979" i="2"/>
  <c r="P979" i="2" s="1"/>
  <c r="O978" i="2"/>
  <c r="P978" i="2" s="1"/>
  <c r="O977" i="2"/>
  <c r="P977" i="2" s="1"/>
  <c r="O976" i="2"/>
  <c r="P976" i="2" s="1"/>
  <c r="O974" i="2"/>
  <c r="P974" i="2" s="1"/>
  <c r="O973" i="2"/>
  <c r="P973" i="2" s="1"/>
  <c r="O972" i="2"/>
  <c r="P972" i="2" s="1"/>
  <c r="O971" i="2"/>
  <c r="P971" i="2" s="1"/>
  <c r="O970" i="2"/>
  <c r="P970" i="2" s="1"/>
  <c r="O968" i="2"/>
  <c r="P968" i="2" s="1"/>
  <c r="O967" i="2"/>
  <c r="P967" i="2" s="1"/>
  <c r="O966" i="2"/>
  <c r="P966" i="2" s="1"/>
  <c r="O965" i="2"/>
  <c r="P965" i="2" s="1"/>
  <c r="O964" i="2"/>
  <c r="P964" i="2" s="1"/>
  <c r="O963" i="2"/>
  <c r="P963" i="2" s="1"/>
  <c r="O962" i="2"/>
  <c r="P962" i="2" s="1"/>
  <c r="O961" i="2"/>
  <c r="P961" i="2" s="1"/>
  <c r="O960" i="2"/>
  <c r="P960" i="2" s="1"/>
  <c r="O959" i="2"/>
  <c r="P959" i="2" s="1"/>
  <c r="O958" i="2"/>
  <c r="P958" i="2" s="1"/>
  <c r="O957" i="2"/>
  <c r="P957" i="2" s="1"/>
  <c r="O956" i="2"/>
  <c r="P956" i="2" s="1"/>
  <c r="O955" i="2"/>
  <c r="P955" i="2" s="1"/>
  <c r="O954" i="2"/>
  <c r="P954" i="2" s="1"/>
  <c r="O953" i="2"/>
  <c r="P953" i="2" s="1"/>
  <c r="O952" i="2"/>
  <c r="P952" i="2" s="1"/>
  <c r="O951" i="2"/>
  <c r="P951" i="2" s="1"/>
  <c r="O950" i="2"/>
  <c r="P950" i="2" s="1"/>
  <c r="O949" i="2"/>
  <c r="P949" i="2" s="1"/>
  <c r="O948" i="2"/>
  <c r="P948" i="2" s="1"/>
  <c r="O947" i="2"/>
  <c r="P947" i="2" s="1"/>
  <c r="O946" i="2"/>
  <c r="P946" i="2" s="1"/>
  <c r="O945" i="2"/>
  <c r="P945" i="2" s="1"/>
  <c r="O944" i="2"/>
  <c r="P944" i="2" s="1"/>
  <c r="O943" i="2"/>
  <c r="P943" i="2" s="1"/>
  <c r="O942" i="2"/>
  <c r="P942" i="2" s="1"/>
  <c r="O941" i="2"/>
  <c r="P941" i="2" s="1"/>
  <c r="O940" i="2"/>
  <c r="P940" i="2" s="1"/>
  <c r="O939" i="2"/>
  <c r="P939" i="2" s="1"/>
  <c r="O938" i="2"/>
  <c r="P938" i="2" s="1"/>
  <c r="O937" i="2"/>
  <c r="P937" i="2" s="1"/>
  <c r="O936" i="2"/>
  <c r="P936" i="2" s="1"/>
  <c r="O935" i="2"/>
  <c r="P935" i="2" s="1"/>
  <c r="O934" i="2"/>
  <c r="P934" i="2" s="1"/>
  <c r="O933" i="2"/>
  <c r="P933" i="2" s="1"/>
  <c r="O932" i="2"/>
  <c r="P932" i="2" s="1"/>
  <c r="O930" i="2"/>
  <c r="P930" i="2" s="1"/>
  <c r="O929" i="2"/>
  <c r="P929" i="2" s="1"/>
  <c r="O927" i="2"/>
  <c r="P927" i="2" s="1"/>
  <c r="O926" i="2"/>
  <c r="P926" i="2" s="1"/>
  <c r="O925" i="2"/>
  <c r="P925" i="2" s="1"/>
  <c r="O923" i="2"/>
  <c r="P923" i="2" s="1"/>
  <c r="O922" i="2"/>
  <c r="P922" i="2" s="1"/>
  <c r="O921" i="2"/>
  <c r="P921" i="2" s="1"/>
  <c r="O920" i="2"/>
  <c r="P920" i="2" s="1"/>
  <c r="O919" i="2"/>
  <c r="P919" i="2" s="1"/>
  <c r="O918" i="2"/>
  <c r="P918" i="2" s="1"/>
  <c r="O917" i="2"/>
  <c r="P917" i="2" s="1"/>
  <c r="O916" i="2"/>
  <c r="P916" i="2" s="1"/>
  <c r="O915" i="2"/>
  <c r="P915" i="2" s="1"/>
  <c r="O914" i="2"/>
  <c r="P914" i="2" s="1"/>
  <c r="O913" i="2"/>
  <c r="P913" i="2" s="1"/>
  <c r="O912" i="2"/>
  <c r="P912" i="2" s="1"/>
  <c r="O911" i="2"/>
  <c r="P911" i="2" s="1"/>
  <c r="O910" i="2"/>
  <c r="P910" i="2" s="1"/>
  <c r="O909" i="2"/>
  <c r="P909" i="2" s="1"/>
  <c r="O906" i="2"/>
  <c r="P906" i="2" s="1"/>
  <c r="O905" i="2"/>
  <c r="P905" i="2" s="1"/>
  <c r="O904" i="2"/>
  <c r="P904" i="2" s="1"/>
  <c r="O903" i="2"/>
  <c r="P903" i="2" s="1"/>
  <c r="O902" i="2"/>
  <c r="P902" i="2" s="1"/>
  <c r="O901" i="2"/>
  <c r="P901" i="2" s="1"/>
  <c r="O900" i="2"/>
  <c r="P900" i="2" s="1"/>
  <c r="O899" i="2"/>
  <c r="P899" i="2" s="1"/>
  <c r="O898" i="2"/>
  <c r="P898" i="2" s="1"/>
  <c r="O897" i="2"/>
  <c r="P897" i="2" s="1"/>
  <c r="O896" i="2"/>
  <c r="P896" i="2" s="1"/>
  <c r="O895" i="2"/>
  <c r="P895" i="2" s="1"/>
  <c r="O894" i="2"/>
  <c r="P894" i="2" s="1"/>
  <c r="O893" i="2"/>
  <c r="P893" i="2" s="1"/>
  <c r="O892" i="2"/>
  <c r="P892" i="2" s="1"/>
  <c r="O891" i="2"/>
  <c r="P891" i="2" s="1"/>
  <c r="O890" i="2"/>
  <c r="P890" i="2" s="1"/>
  <c r="O889" i="2"/>
  <c r="P889" i="2" s="1"/>
  <c r="O888" i="2"/>
  <c r="P888" i="2" s="1"/>
  <c r="O887" i="2"/>
  <c r="P887" i="2" s="1"/>
  <c r="O886" i="2"/>
  <c r="P886" i="2" s="1"/>
  <c r="O884" i="2"/>
  <c r="P884" i="2" s="1"/>
  <c r="O883" i="2"/>
  <c r="P883" i="2" s="1"/>
  <c r="O882" i="2"/>
  <c r="P882" i="2" s="1"/>
  <c r="O881" i="2"/>
  <c r="P881" i="2" s="1"/>
  <c r="O880" i="2"/>
  <c r="P880" i="2" s="1"/>
  <c r="O879" i="2"/>
  <c r="P879" i="2" s="1"/>
  <c r="O878" i="2"/>
  <c r="P878" i="2" s="1"/>
  <c r="O877" i="2"/>
  <c r="P877" i="2" s="1"/>
  <c r="O876" i="2"/>
  <c r="P876" i="2" s="1"/>
  <c r="O875" i="2"/>
  <c r="P875" i="2" s="1"/>
  <c r="O873" i="2"/>
  <c r="P873" i="2" s="1"/>
  <c r="O872" i="2"/>
  <c r="P872" i="2" s="1"/>
  <c r="O871" i="2"/>
  <c r="P871" i="2" s="1"/>
  <c r="O870" i="2"/>
  <c r="P870" i="2" s="1"/>
  <c r="O869" i="2"/>
  <c r="P869" i="2" s="1"/>
  <c r="O868" i="2"/>
  <c r="P868" i="2" s="1"/>
  <c r="O867" i="2"/>
  <c r="P867" i="2" s="1"/>
  <c r="O866" i="2"/>
  <c r="P866" i="2" s="1"/>
  <c r="O865" i="2"/>
  <c r="P865" i="2" s="1"/>
  <c r="O864" i="2"/>
  <c r="P864" i="2" s="1"/>
  <c r="O863" i="2"/>
  <c r="P863" i="2" s="1"/>
  <c r="O862" i="2"/>
  <c r="P862" i="2" s="1"/>
  <c r="O860" i="2"/>
  <c r="P860" i="2" s="1"/>
  <c r="O858" i="2"/>
  <c r="P858" i="2" s="1"/>
  <c r="O857" i="2"/>
  <c r="P857" i="2" s="1"/>
  <c r="O855" i="2"/>
  <c r="P855" i="2" s="1"/>
  <c r="O854" i="2"/>
  <c r="P854" i="2" s="1"/>
  <c r="O853" i="2"/>
  <c r="P853" i="2" s="1"/>
  <c r="O852" i="2"/>
  <c r="P852" i="2" s="1"/>
  <c r="O851" i="2"/>
  <c r="P851" i="2" s="1"/>
  <c r="O850" i="2"/>
  <c r="P850" i="2" s="1"/>
  <c r="O849" i="2"/>
  <c r="P849" i="2" s="1"/>
  <c r="O848" i="2"/>
  <c r="P848" i="2" s="1"/>
  <c r="O847" i="2"/>
  <c r="P847" i="2" s="1"/>
  <c r="O846" i="2"/>
  <c r="P846" i="2" s="1"/>
  <c r="O845" i="2"/>
  <c r="P845" i="2" s="1"/>
  <c r="O844" i="2"/>
  <c r="P844" i="2" s="1"/>
  <c r="O841" i="2"/>
  <c r="P841" i="2" s="1"/>
  <c r="O840" i="2"/>
  <c r="P840" i="2" s="1"/>
  <c r="O839" i="2"/>
  <c r="P839" i="2" s="1"/>
  <c r="O837" i="2"/>
  <c r="P837" i="2" s="1"/>
  <c r="O836" i="2"/>
  <c r="P836" i="2" s="1"/>
  <c r="O835" i="2"/>
  <c r="P835" i="2" s="1"/>
  <c r="O834" i="2"/>
  <c r="P834" i="2" s="1"/>
  <c r="O833" i="2"/>
  <c r="P833" i="2" s="1"/>
  <c r="O832" i="2"/>
  <c r="P832" i="2" s="1"/>
  <c r="O831" i="2"/>
  <c r="P831" i="2" s="1"/>
  <c r="O830" i="2"/>
  <c r="P830" i="2" s="1"/>
  <c r="O829" i="2"/>
  <c r="P829" i="2" s="1"/>
  <c r="O828" i="2"/>
  <c r="P828" i="2" s="1"/>
  <c r="O827" i="2"/>
  <c r="P827" i="2" s="1"/>
  <c r="O826" i="2"/>
  <c r="P826" i="2" s="1"/>
  <c r="O825" i="2"/>
  <c r="P825" i="2" s="1"/>
  <c r="O824" i="2"/>
  <c r="P824" i="2" s="1"/>
  <c r="O823" i="2"/>
  <c r="P823" i="2" s="1"/>
  <c r="O822" i="2"/>
  <c r="P822" i="2" s="1"/>
  <c r="O821" i="2"/>
  <c r="P821" i="2" s="1"/>
  <c r="O820" i="2"/>
  <c r="P820" i="2" s="1"/>
  <c r="O819" i="2"/>
  <c r="P819" i="2" s="1"/>
  <c r="O818" i="2"/>
  <c r="P818" i="2" s="1"/>
  <c r="O817" i="2"/>
  <c r="P817" i="2" s="1"/>
  <c r="O815" i="2"/>
  <c r="P815" i="2" s="1"/>
  <c r="O813" i="2"/>
  <c r="P813" i="2" s="1"/>
  <c r="O812" i="2"/>
  <c r="P812" i="2" s="1"/>
  <c r="O811" i="2"/>
  <c r="P811" i="2" s="1"/>
  <c r="O810" i="2"/>
  <c r="P810" i="2" s="1"/>
  <c r="O809" i="2"/>
  <c r="P809" i="2" s="1"/>
  <c r="O808" i="2"/>
  <c r="P808" i="2" s="1"/>
  <c r="O807" i="2"/>
  <c r="P807" i="2" s="1"/>
  <c r="O806" i="2"/>
  <c r="P806" i="2" s="1"/>
  <c r="O805" i="2"/>
  <c r="P805" i="2" s="1"/>
  <c r="O804" i="2"/>
  <c r="P804" i="2" s="1"/>
  <c r="O803" i="2"/>
  <c r="P803" i="2" s="1"/>
  <c r="O802" i="2"/>
  <c r="P802" i="2" s="1"/>
  <c r="O801" i="2"/>
  <c r="P801" i="2" s="1"/>
  <c r="O800" i="2"/>
  <c r="P800" i="2" s="1"/>
  <c r="O799" i="2"/>
  <c r="P799" i="2" s="1"/>
  <c r="O798" i="2"/>
  <c r="P798" i="2" s="1"/>
  <c r="O797" i="2"/>
  <c r="P797" i="2" s="1"/>
  <c r="O796" i="2"/>
  <c r="P796" i="2" s="1"/>
  <c r="O795" i="2"/>
  <c r="P795" i="2" s="1"/>
  <c r="O792" i="2"/>
  <c r="P792" i="2" s="1"/>
  <c r="O791" i="2"/>
  <c r="P791" i="2" s="1"/>
  <c r="O790" i="2"/>
  <c r="P790" i="2" s="1"/>
  <c r="O789" i="2"/>
  <c r="P789" i="2" s="1"/>
  <c r="O788" i="2"/>
  <c r="P788" i="2" s="1"/>
  <c r="O787" i="2"/>
  <c r="P787" i="2" s="1"/>
  <c r="O786" i="2"/>
  <c r="P786" i="2" s="1"/>
  <c r="O785" i="2"/>
  <c r="P785" i="2" s="1"/>
  <c r="O784" i="2"/>
  <c r="P784" i="2" s="1"/>
  <c r="O783" i="2"/>
  <c r="P783" i="2" s="1"/>
  <c r="O782" i="2"/>
  <c r="P782" i="2" s="1"/>
  <c r="O781" i="2"/>
  <c r="P781" i="2" s="1"/>
  <c r="O780" i="2"/>
  <c r="P780" i="2" s="1"/>
  <c r="O779" i="2"/>
  <c r="P779" i="2" s="1"/>
  <c r="O778" i="2"/>
  <c r="P778" i="2" s="1"/>
  <c r="O777" i="2"/>
  <c r="P777" i="2" s="1"/>
  <c r="O776" i="2"/>
  <c r="P776" i="2" s="1"/>
  <c r="O774" i="2"/>
  <c r="P774" i="2" s="1"/>
  <c r="O772" i="2"/>
  <c r="P772" i="2" s="1"/>
  <c r="O771" i="2"/>
  <c r="P771" i="2" s="1"/>
  <c r="O770" i="2"/>
  <c r="P770" i="2" s="1"/>
  <c r="O769" i="2"/>
  <c r="P769" i="2" s="1"/>
  <c r="O768" i="2"/>
  <c r="P768" i="2" s="1"/>
  <c r="O767" i="2"/>
  <c r="P767" i="2" s="1"/>
  <c r="O766" i="2"/>
  <c r="P766" i="2" s="1"/>
  <c r="O765" i="2"/>
  <c r="P765" i="2" s="1"/>
  <c r="O764" i="2"/>
  <c r="P764" i="2" s="1"/>
  <c r="O763" i="2"/>
  <c r="P763" i="2" s="1"/>
  <c r="O762" i="2"/>
  <c r="P762" i="2" s="1"/>
  <c r="O761" i="2"/>
  <c r="P761" i="2" s="1"/>
  <c r="O760" i="2"/>
  <c r="P760" i="2" s="1"/>
  <c r="O759" i="2"/>
  <c r="P759" i="2" s="1"/>
  <c r="O758" i="2"/>
  <c r="P758" i="2" s="1"/>
  <c r="O757" i="2"/>
  <c r="P757" i="2" s="1"/>
  <c r="O755" i="2"/>
  <c r="P755" i="2" s="1"/>
  <c r="O754" i="2"/>
  <c r="P754" i="2" s="1"/>
  <c r="O753" i="2"/>
  <c r="P753" i="2" s="1"/>
  <c r="O752" i="2"/>
  <c r="P752" i="2" s="1"/>
  <c r="O750" i="2"/>
  <c r="P750" i="2" s="1"/>
  <c r="O749" i="2"/>
  <c r="P749" i="2" s="1"/>
  <c r="O747" i="2"/>
  <c r="P747" i="2" s="1"/>
  <c r="O746" i="2"/>
  <c r="P746" i="2" s="1"/>
  <c r="O745" i="2"/>
  <c r="P745" i="2" s="1"/>
  <c r="O744" i="2"/>
  <c r="P744" i="2" s="1"/>
  <c r="O743" i="2"/>
  <c r="P743" i="2" s="1"/>
  <c r="O742" i="2"/>
  <c r="P742" i="2" s="1"/>
  <c r="O741" i="2"/>
  <c r="P741" i="2" s="1"/>
  <c r="O740" i="2"/>
  <c r="P740" i="2" s="1"/>
  <c r="O739" i="2"/>
  <c r="P739" i="2" s="1"/>
  <c r="O737" i="2"/>
  <c r="P737" i="2" s="1"/>
  <c r="O736" i="2"/>
  <c r="P736" i="2" s="1"/>
  <c r="O735" i="2"/>
  <c r="P735" i="2" s="1"/>
  <c r="O734" i="2"/>
  <c r="P734" i="2" s="1"/>
  <c r="O733" i="2"/>
  <c r="P733" i="2" s="1"/>
  <c r="O732" i="2"/>
  <c r="P732" i="2" s="1"/>
  <c r="O731" i="2"/>
  <c r="P731" i="2" s="1"/>
  <c r="O730" i="2"/>
  <c r="P730" i="2" s="1"/>
  <c r="O729" i="2"/>
  <c r="P729" i="2" s="1"/>
  <c r="O728" i="2"/>
  <c r="P728" i="2" s="1"/>
  <c r="O727" i="2"/>
  <c r="P727" i="2" s="1"/>
  <c r="O725" i="2"/>
  <c r="P725" i="2" s="1"/>
  <c r="O723" i="2"/>
  <c r="P723" i="2" s="1"/>
  <c r="O722" i="2"/>
  <c r="P722" i="2" s="1"/>
  <c r="O721" i="2"/>
  <c r="P721" i="2" s="1"/>
  <c r="O720" i="2"/>
  <c r="P720" i="2" s="1"/>
  <c r="O719" i="2"/>
  <c r="P719" i="2" s="1"/>
  <c r="O718" i="2"/>
  <c r="P718" i="2" s="1"/>
  <c r="O717" i="2"/>
  <c r="P717" i="2" s="1"/>
  <c r="O716" i="2"/>
  <c r="P716" i="2" s="1"/>
  <c r="O715" i="2"/>
  <c r="P715" i="2" s="1"/>
  <c r="O714" i="2"/>
  <c r="P714" i="2" s="1"/>
  <c r="O713" i="2"/>
  <c r="P713" i="2" s="1"/>
  <c r="O712" i="2"/>
  <c r="P712" i="2" s="1"/>
  <c r="O711" i="2"/>
  <c r="P711" i="2" s="1"/>
  <c r="O710" i="2"/>
  <c r="P710" i="2" s="1"/>
  <c r="O709" i="2"/>
  <c r="P709" i="2" s="1"/>
  <c r="O708" i="2"/>
  <c r="P708" i="2" s="1"/>
  <c r="O707" i="2"/>
  <c r="P707" i="2" s="1"/>
  <c r="O706" i="2"/>
  <c r="P706" i="2" s="1"/>
  <c r="O705" i="2"/>
  <c r="P705" i="2" s="1"/>
  <c r="O704" i="2"/>
  <c r="P704" i="2" s="1"/>
  <c r="O703" i="2"/>
  <c r="P703" i="2" s="1"/>
  <c r="O702" i="2"/>
  <c r="P702" i="2" s="1"/>
  <c r="O701" i="2"/>
  <c r="P701" i="2" s="1"/>
  <c r="O700" i="2"/>
  <c r="P700" i="2" s="1"/>
  <c r="O699" i="2"/>
  <c r="P699" i="2" s="1"/>
  <c r="O697" i="2"/>
  <c r="P697" i="2" s="1"/>
  <c r="O696" i="2"/>
  <c r="P696" i="2" s="1"/>
  <c r="O695" i="2"/>
  <c r="P695" i="2" s="1"/>
  <c r="O694" i="2"/>
  <c r="P694" i="2" s="1"/>
  <c r="O693" i="2"/>
  <c r="P693" i="2" s="1"/>
  <c r="O692" i="2"/>
  <c r="P692" i="2" s="1"/>
  <c r="O691" i="2"/>
  <c r="P691" i="2" s="1"/>
  <c r="O690" i="2"/>
  <c r="P690" i="2" s="1"/>
  <c r="O689" i="2"/>
  <c r="P689" i="2" s="1"/>
  <c r="O688" i="2"/>
  <c r="P688" i="2" s="1"/>
  <c r="O687" i="2"/>
  <c r="P687" i="2" s="1"/>
  <c r="O686" i="2"/>
  <c r="P686" i="2" s="1"/>
  <c r="O685" i="2"/>
  <c r="P685" i="2" s="1"/>
  <c r="O683" i="2"/>
  <c r="P683" i="2" s="1"/>
  <c r="O682" i="2"/>
  <c r="P682" i="2" s="1"/>
  <c r="O681" i="2"/>
  <c r="P681" i="2" s="1"/>
  <c r="O680" i="2"/>
  <c r="P680" i="2" s="1"/>
  <c r="O679" i="2"/>
  <c r="P679" i="2" s="1"/>
  <c r="O678" i="2"/>
  <c r="P678" i="2" s="1"/>
  <c r="O677" i="2"/>
  <c r="P677" i="2" s="1"/>
  <c r="O676" i="2"/>
  <c r="P676" i="2" s="1"/>
  <c r="O675" i="2"/>
  <c r="P675" i="2" s="1"/>
  <c r="O673" i="2"/>
  <c r="P673" i="2" s="1"/>
  <c r="O672" i="2"/>
  <c r="P672" i="2" s="1"/>
  <c r="O671" i="2"/>
  <c r="P671" i="2" s="1"/>
  <c r="O670" i="2"/>
  <c r="P670" i="2" s="1"/>
  <c r="O669" i="2"/>
  <c r="P669" i="2" s="1"/>
  <c r="O668" i="2"/>
  <c r="P668" i="2" s="1"/>
  <c r="O667" i="2"/>
  <c r="P667" i="2" s="1"/>
  <c r="O665" i="2"/>
  <c r="P665" i="2" s="1"/>
  <c r="O664" i="2"/>
  <c r="P664" i="2" s="1"/>
  <c r="O663" i="2"/>
  <c r="P663" i="2" s="1"/>
  <c r="O662" i="2"/>
  <c r="P662" i="2" s="1"/>
  <c r="O661" i="2"/>
  <c r="P661" i="2" s="1"/>
  <c r="O660" i="2"/>
  <c r="P660" i="2" s="1"/>
  <c r="O659" i="2"/>
  <c r="P659" i="2" s="1"/>
  <c r="O658" i="2"/>
  <c r="P658" i="2" s="1"/>
  <c r="O657" i="2"/>
  <c r="P657" i="2" s="1"/>
  <c r="O656" i="2"/>
  <c r="P656" i="2" s="1"/>
  <c r="O655" i="2"/>
  <c r="P655" i="2" s="1"/>
  <c r="O654" i="2"/>
  <c r="P654" i="2" s="1"/>
  <c r="O653" i="2"/>
  <c r="P653" i="2" s="1"/>
  <c r="O652" i="2"/>
  <c r="P652" i="2" s="1"/>
  <c r="O651" i="2"/>
  <c r="P651" i="2" s="1"/>
  <c r="O650" i="2"/>
  <c r="P650" i="2" s="1"/>
  <c r="O649" i="2"/>
  <c r="P649" i="2" s="1"/>
  <c r="O648" i="2"/>
  <c r="P648" i="2" s="1"/>
  <c r="O647" i="2"/>
  <c r="P647" i="2" s="1"/>
  <c r="O646" i="2"/>
  <c r="P646" i="2" s="1"/>
  <c r="O645" i="2"/>
  <c r="P645" i="2" s="1"/>
  <c r="O644" i="2"/>
  <c r="P644" i="2" s="1"/>
  <c r="O643" i="2"/>
  <c r="P643" i="2" s="1"/>
  <c r="O641" i="2"/>
  <c r="P641" i="2" s="1"/>
  <c r="O640" i="2"/>
  <c r="P640" i="2" s="1"/>
  <c r="O639" i="2"/>
  <c r="P639" i="2" s="1"/>
  <c r="O638" i="2"/>
  <c r="P638" i="2" s="1"/>
  <c r="O637" i="2"/>
  <c r="P637" i="2" s="1"/>
  <c r="O636" i="2"/>
  <c r="P636" i="2" s="1"/>
  <c r="O635" i="2"/>
  <c r="P635" i="2" s="1"/>
  <c r="O634" i="2"/>
  <c r="P634" i="2" s="1"/>
  <c r="O633" i="2"/>
  <c r="P633" i="2" s="1"/>
  <c r="O632" i="2"/>
  <c r="P632" i="2" s="1"/>
  <c r="O631" i="2"/>
  <c r="P631" i="2" s="1"/>
  <c r="O630" i="2"/>
  <c r="P630" i="2" s="1"/>
  <c r="O628" i="2"/>
  <c r="P628" i="2" s="1"/>
  <c r="O627" i="2"/>
  <c r="P627" i="2" s="1"/>
  <c r="O626" i="2"/>
  <c r="P626" i="2" s="1"/>
  <c r="O625" i="2"/>
  <c r="P625" i="2" s="1"/>
  <c r="O624" i="2"/>
  <c r="P624" i="2" s="1"/>
  <c r="O623" i="2"/>
  <c r="P623" i="2" s="1"/>
  <c r="O622" i="2"/>
  <c r="P622" i="2" s="1"/>
  <c r="O620" i="2"/>
  <c r="P620" i="2" s="1"/>
  <c r="O618" i="2"/>
  <c r="P618" i="2" s="1"/>
  <c r="O617" i="2"/>
  <c r="P617" i="2" s="1"/>
  <c r="O616" i="2"/>
  <c r="P616" i="2" s="1"/>
  <c r="O615" i="2"/>
  <c r="P615" i="2" s="1"/>
  <c r="O614" i="2"/>
  <c r="P614" i="2" s="1"/>
  <c r="O613" i="2"/>
  <c r="P613" i="2" s="1"/>
  <c r="O612" i="2"/>
  <c r="P612" i="2" s="1"/>
  <c r="O611" i="2"/>
  <c r="P611" i="2" s="1"/>
  <c r="O610" i="2"/>
  <c r="P610" i="2" s="1"/>
  <c r="O609" i="2"/>
  <c r="P609" i="2" s="1"/>
  <c r="O608" i="2"/>
  <c r="P608" i="2" s="1"/>
  <c r="O607" i="2"/>
  <c r="P607" i="2" s="1"/>
  <c r="O606" i="2"/>
  <c r="P606" i="2" s="1"/>
  <c r="O605" i="2"/>
  <c r="P605" i="2" s="1"/>
  <c r="O604" i="2"/>
  <c r="P604" i="2" s="1"/>
  <c r="O603" i="2"/>
  <c r="P603" i="2" s="1"/>
  <c r="O602" i="2"/>
  <c r="P602" i="2" s="1"/>
  <c r="O601" i="2"/>
  <c r="P601" i="2" s="1"/>
  <c r="O600" i="2"/>
  <c r="P600" i="2" s="1"/>
  <c r="O598" i="2"/>
  <c r="P598" i="2" s="1"/>
  <c r="O597" i="2"/>
  <c r="P597" i="2" s="1"/>
  <c r="O596" i="2"/>
  <c r="P596" i="2" s="1"/>
  <c r="O595" i="2"/>
  <c r="P595" i="2" s="1"/>
  <c r="O594" i="2"/>
  <c r="P594" i="2" s="1"/>
  <c r="O593" i="2"/>
  <c r="P593" i="2" s="1"/>
  <c r="O592" i="2"/>
  <c r="P592" i="2" s="1"/>
  <c r="O591" i="2"/>
  <c r="P591" i="2" s="1"/>
  <c r="O590" i="2"/>
  <c r="P590" i="2" s="1"/>
  <c r="O589" i="2"/>
  <c r="P589" i="2" s="1"/>
  <c r="O588" i="2"/>
  <c r="P588" i="2" s="1"/>
  <c r="O587" i="2"/>
  <c r="P587" i="2" s="1"/>
  <c r="O586" i="2"/>
  <c r="P586" i="2" s="1"/>
  <c r="O585" i="2"/>
  <c r="P585" i="2" s="1"/>
  <c r="O583" i="2"/>
  <c r="P583" i="2" s="1"/>
  <c r="O582" i="2"/>
  <c r="P582" i="2" s="1"/>
  <c r="O581" i="2"/>
  <c r="P581" i="2" s="1"/>
  <c r="O580" i="2"/>
  <c r="P580" i="2" s="1"/>
  <c r="O579" i="2"/>
  <c r="P579" i="2" s="1"/>
  <c r="O578" i="2"/>
  <c r="P578" i="2" s="1"/>
  <c r="O576" i="2"/>
  <c r="P576" i="2" s="1"/>
  <c r="O575" i="2"/>
  <c r="P575" i="2" s="1"/>
  <c r="O574" i="2"/>
  <c r="P574" i="2" s="1"/>
  <c r="O573" i="2"/>
  <c r="P573" i="2" s="1"/>
  <c r="O572" i="2"/>
  <c r="P572" i="2" s="1"/>
  <c r="O571" i="2"/>
  <c r="P571" i="2" s="1"/>
  <c r="O570" i="2"/>
  <c r="P570" i="2" s="1"/>
  <c r="O569" i="2"/>
  <c r="P569" i="2" s="1"/>
  <c r="O568" i="2"/>
  <c r="P568" i="2" s="1"/>
  <c r="O567" i="2"/>
  <c r="P567" i="2" s="1"/>
  <c r="O566" i="2"/>
  <c r="P566" i="2" s="1"/>
  <c r="O565" i="2"/>
  <c r="P565" i="2" s="1"/>
  <c r="O564" i="2"/>
  <c r="P564" i="2" s="1"/>
  <c r="O563" i="2"/>
  <c r="P563" i="2" s="1"/>
  <c r="O562" i="2"/>
  <c r="P562" i="2" s="1"/>
  <c r="O561" i="2"/>
  <c r="P561" i="2" s="1"/>
  <c r="O560" i="2"/>
  <c r="P560" i="2" s="1"/>
  <c r="O558" i="2"/>
  <c r="P558" i="2" s="1"/>
  <c r="O557" i="2"/>
  <c r="P557" i="2" s="1"/>
  <c r="O556" i="2"/>
  <c r="P556" i="2" s="1"/>
  <c r="O555" i="2"/>
  <c r="P555" i="2" s="1"/>
  <c r="O554" i="2"/>
  <c r="P554" i="2" s="1"/>
  <c r="O553" i="2"/>
  <c r="P553" i="2" s="1"/>
  <c r="O552" i="2"/>
  <c r="P552" i="2" s="1"/>
  <c r="O551" i="2"/>
  <c r="P551" i="2" s="1"/>
  <c r="O550" i="2"/>
  <c r="P550" i="2" s="1"/>
  <c r="O549" i="2"/>
  <c r="P549" i="2" s="1"/>
  <c r="O548" i="2"/>
  <c r="P548" i="2" s="1"/>
  <c r="O547" i="2"/>
  <c r="P547" i="2" s="1"/>
  <c r="O546" i="2"/>
  <c r="P546" i="2" s="1"/>
  <c r="O544" i="2"/>
  <c r="P544" i="2" s="1"/>
  <c r="O543" i="2"/>
  <c r="P543" i="2" s="1"/>
  <c r="O542" i="2"/>
  <c r="P542" i="2" s="1"/>
  <c r="O541" i="2"/>
  <c r="P541" i="2" s="1"/>
  <c r="O540" i="2"/>
  <c r="P540" i="2" s="1"/>
  <c r="O539" i="2"/>
  <c r="P539" i="2" s="1"/>
  <c r="O538" i="2"/>
  <c r="P538" i="2" s="1"/>
  <c r="O537" i="2"/>
  <c r="P537" i="2" s="1"/>
  <c r="O536" i="2"/>
  <c r="P536" i="2" s="1"/>
  <c r="O535" i="2"/>
  <c r="P535" i="2" s="1"/>
  <c r="O532" i="2"/>
  <c r="P532" i="2" s="1"/>
  <c r="O531" i="2"/>
  <c r="P531" i="2" s="1"/>
  <c r="O530" i="2"/>
  <c r="P530" i="2" s="1"/>
  <c r="O529" i="2"/>
  <c r="P529" i="2" s="1"/>
  <c r="O528" i="2"/>
  <c r="P528" i="2" s="1"/>
  <c r="O527" i="2"/>
  <c r="P527" i="2" s="1"/>
  <c r="O525" i="2"/>
  <c r="P525" i="2" s="1"/>
  <c r="O523" i="2"/>
  <c r="P523" i="2" s="1"/>
  <c r="O522" i="2"/>
  <c r="P522" i="2" s="1"/>
  <c r="O521" i="2"/>
  <c r="P521" i="2" s="1"/>
  <c r="O520" i="2"/>
  <c r="P520" i="2" s="1"/>
  <c r="O519" i="2"/>
  <c r="P519" i="2" s="1"/>
  <c r="O518" i="2"/>
  <c r="P518" i="2" s="1"/>
  <c r="O517" i="2"/>
  <c r="P517" i="2" s="1"/>
  <c r="O516" i="2"/>
  <c r="P516" i="2" s="1"/>
  <c r="O515" i="2"/>
  <c r="P515" i="2" s="1"/>
  <c r="O514" i="2"/>
  <c r="P514" i="2" s="1"/>
  <c r="O513" i="2"/>
  <c r="P513" i="2" s="1"/>
  <c r="O512" i="2"/>
  <c r="P512" i="2" s="1"/>
  <c r="O511" i="2"/>
  <c r="P511" i="2" s="1"/>
  <c r="O510" i="2"/>
  <c r="P510" i="2" s="1"/>
  <c r="O509" i="2"/>
  <c r="P509" i="2" s="1"/>
  <c r="O508" i="2"/>
  <c r="P508" i="2" s="1"/>
  <c r="O506" i="2"/>
  <c r="P506" i="2" s="1"/>
  <c r="O505" i="2"/>
  <c r="P505" i="2" s="1"/>
  <c r="O504" i="2"/>
  <c r="P504" i="2" s="1"/>
  <c r="O503" i="2"/>
  <c r="P503" i="2" s="1"/>
  <c r="O502" i="2"/>
  <c r="P502" i="2" s="1"/>
  <c r="O500" i="2"/>
  <c r="P500" i="2" s="1"/>
  <c r="O499" i="2"/>
  <c r="P499" i="2" s="1"/>
  <c r="O498" i="2"/>
  <c r="P498" i="2" s="1"/>
  <c r="O497" i="2"/>
  <c r="P497" i="2" s="1"/>
  <c r="O496" i="2"/>
  <c r="P496" i="2" s="1"/>
  <c r="O495" i="2"/>
  <c r="P495" i="2" s="1"/>
  <c r="O494" i="2"/>
  <c r="P494" i="2" s="1"/>
  <c r="O493" i="2"/>
  <c r="P493" i="2" s="1"/>
  <c r="O492" i="2"/>
  <c r="P492" i="2" s="1"/>
  <c r="O491" i="2"/>
  <c r="P491" i="2" s="1"/>
  <c r="O490" i="2"/>
  <c r="P490" i="2" s="1"/>
  <c r="O489" i="2"/>
  <c r="P489" i="2" s="1"/>
  <c r="O488" i="2"/>
  <c r="P488" i="2" s="1"/>
  <c r="O487" i="2"/>
  <c r="P487" i="2" s="1"/>
  <c r="O486" i="2"/>
  <c r="P486" i="2" s="1"/>
  <c r="O485" i="2"/>
  <c r="P485" i="2" s="1"/>
  <c r="O484" i="2"/>
  <c r="P484" i="2" s="1"/>
  <c r="O483" i="2"/>
  <c r="P483" i="2" s="1"/>
  <c r="O482" i="2"/>
  <c r="P482" i="2" s="1"/>
  <c r="O481" i="2"/>
  <c r="P481" i="2" s="1"/>
  <c r="O480" i="2"/>
  <c r="P480" i="2" s="1"/>
  <c r="O479" i="2"/>
  <c r="P479" i="2" s="1"/>
  <c r="O478" i="2"/>
  <c r="P478" i="2" s="1"/>
  <c r="O477" i="2"/>
  <c r="P477" i="2" s="1"/>
  <c r="O476" i="2"/>
  <c r="P476" i="2" s="1"/>
  <c r="O475" i="2"/>
  <c r="P475" i="2" s="1"/>
  <c r="O474" i="2"/>
  <c r="P474" i="2" s="1"/>
  <c r="O472" i="2"/>
  <c r="P472" i="2" s="1"/>
  <c r="O471" i="2"/>
  <c r="P471" i="2" s="1"/>
  <c r="O469" i="2"/>
  <c r="P469" i="2" s="1"/>
  <c r="O468" i="2"/>
  <c r="P468" i="2" s="1"/>
  <c r="O467" i="2"/>
  <c r="P467" i="2" s="1"/>
  <c r="O466" i="2"/>
  <c r="P466" i="2" s="1"/>
  <c r="O462" i="2"/>
  <c r="P462" i="2" s="1"/>
  <c r="O460" i="2"/>
  <c r="P460" i="2" s="1"/>
  <c r="O459" i="2"/>
  <c r="P459" i="2" s="1"/>
  <c r="O458" i="2"/>
  <c r="P458" i="2" s="1"/>
  <c r="O457" i="2"/>
  <c r="P457" i="2" s="1"/>
  <c r="O455" i="2"/>
  <c r="P455" i="2" s="1"/>
  <c r="O454" i="2"/>
  <c r="P454" i="2" s="1"/>
  <c r="O453" i="2"/>
  <c r="P453" i="2" s="1"/>
  <c r="O452" i="2"/>
  <c r="P452" i="2" s="1"/>
  <c r="O451" i="2"/>
  <c r="P451" i="2" s="1"/>
  <c r="O450" i="2"/>
  <c r="P450" i="2" s="1"/>
  <c r="O449" i="2"/>
  <c r="P449" i="2" s="1"/>
  <c r="O448" i="2"/>
  <c r="P448" i="2" s="1"/>
  <c r="O447" i="2"/>
  <c r="P447" i="2" s="1"/>
  <c r="O446" i="2"/>
  <c r="P446" i="2" s="1"/>
  <c r="O445" i="2"/>
  <c r="P445" i="2" s="1"/>
  <c r="O444" i="2"/>
  <c r="P444" i="2" s="1"/>
  <c r="O443" i="2"/>
  <c r="P443" i="2" s="1"/>
  <c r="O442" i="2"/>
  <c r="P442" i="2" s="1"/>
  <c r="O440" i="2"/>
  <c r="P440" i="2" s="1"/>
  <c r="O439" i="2"/>
  <c r="P439" i="2" s="1"/>
  <c r="O438" i="2"/>
  <c r="P438" i="2" s="1"/>
  <c r="O436" i="2"/>
  <c r="P436" i="2" s="1"/>
  <c r="O435" i="2"/>
  <c r="P435" i="2" s="1"/>
  <c r="O434" i="2"/>
  <c r="P434" i="2" s="1"/>
  <c r="O433" i="2"/>
  <c r="P433" i="2" s="1"/>
  <c r="O432" i="2"/>
  <c r="P432" i="2" s="1"/>
  <c r="O431" i="2"/>
  <c r="P431" i="2" s="1"/>
  <c r="O430" i="2"/>
  <c r="P430" i="2" s="1"/>
  <c r="O429" i="2"/>
  <c r="P429" i="2" s="1"/>
  <c r="O427" i="2"/>
  <c r="P427" i="2" s="1"/>
  <c r="O426" i="2"/>
  <c r="P426" i="2" s="1"/>
  <c r="O425" i="2"/>
  <c r="P425" i="2" s="1"/>
  <c r="O423" i="2"/>
  <c r="P423" i="2" s="1"/>
  <c r="O422" i="2"/>
  <c r="P422" i="2" s="1"/>
  <c r="O421" i="2"/>
  <c r="P421" i="2" s="1"/>
  <c r="O420" i="2"/>
  <c r="P420" i="2" s="1"/>
  <c r="O419" i="2"/>
  <c r="P419" i="2" s="1"/>
  <c r="O418" i="2"/>
  <c r="P418" i="2" s="1"/>
  <c r="O417" i="2"/>
  <c r="P417" i="2" s="1"/>
  <c r="O416" i="2"/>
  <c r="P416" i="2" s="1"/>
  <c r="O415" i="2"/>
  <c r="P415" i="2" s="1"/>
  <c r="O413" i="2"/>
  <c r="P413" i="2" s="1"/>
  <c r="O412" i="2"/>
  <c r="P412" i="2" s="1"/>
  <c r="O411" i="2"/>
  <c r="P411" i="2" s="1"/>
  <c r="O410" i="2"/>
  <c r="P410" i="2" s="1"/>
  <c r="O409" i="2"/>
  <c r="P409" i="2" s="1"/>
  <c r="O408" i="2"/>
  <c r="P408" i="2" s="1"/>
  <c r="O407" i="2"/>
  <c r="P407" i="2" s="1"/>
  <c r="O406" i="2"/>
  <c r="P406" i="2" s="1"/>
  <c r="O404" i="2"/>
  <c r="P404" i="2" s="1"/>
  <c r="O403" i="2"/>
  <c r="P403" i="2" s="1"/>
  <c r="O402" i="2"/>
  <c r="P402" i="2" s="1"/>
  <c r="O401" i="2"/>
  <c r="P401" i="2" s="1"/>
  <c r="O400" i="2"/>
  <c r="P400" i="2" s="1"/>
  <c r="O399" i="2"/>
  <c r="P399" i="2" s="1"/>
  <c r="O398" i="2"/>
  <c r="P398" i="2" s="1"/>
  <c r="O397" i="2"/>
  <c r="P397" i="2" s="1"/>
  <c r="O396" i="2"/>
  <c r="P396" i="2" s="1"/>
  <c r="O394" i="2"/>
  <c r="P394" i="2" s="1"/>
  <c r="O393" i="2"/>
  <c r="P393" i="2" s="1"/>
  <c r="O392" i="2"/>
  <c r="P392" i="2" s="1"/>
  <c r="O391" i="2"/>
  <c r="P391" i="2" s="1"/>
  <c r="O390" i="2"/>
  <c r="P390" i="2" s="1"/>
  <c r="O389" i="2"/>
  <c r="P389" i="2" s="1"/>
  <c r="O387" i="2"/>
  <c r="P387" i="2" s="1"/>
  <c r="O386" i="2"/>
  <c r="P386" i="2" s="1"/>
  <c r="O385" i="2"/>
  <c r="P385" i="2" s="1"/>
  <c r="O384" i="2"/>
  <c r="P384" i="2" s="1"/>
  <c r="O382" i="2"/>
  <c r="P382" i="2" s="1"/>
  <c r="O381" i="2"/>
  <c r="P381" i="2" s="1"/>
  <c r="O380" i="2"/>
  <c r="P380" i="2" s="1"/>
  <c r="O378" i="2"/>
  <c r="P378" i="2" s="1"/>
  <c r="O377" i="2"/>
  <c r="P377" i="2" s="1"/>
  <c r="O376" i="2"/>
  <c r="P376" i="2" s="1"/>
  <c r="O375" i="2"/>
  <c r="P375"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5" i="2"/>
  <c r="P355" i="2" s="1"/>
  <c r="O354" i="2"/>
  <c r="P354" i="2" s="1"/>
  <c r="O353" i="2"/>
  <c r="P353" i="2" s="1"/>
  <c r="O352" i="2"/>
  <c r="P352" i="2" s="1"/>
  <c r="O351" i="2"/>
  <c r="P351" i="2" s="1"/>
  <c r="O350" i="2"/>
  <c r="P350" i="2" s="1"/>
  <c r="O349" i="2"/>
  <c r="P349" i="2" s="1"/>
  <c r="O348" i="2"/>
  <c r="P348" i="2" s="1"/>
  <c r="O347" i="2"/>
  <c r="P347" i="2" s="1"/>
  <c r="O346" i="2"/>
  <c r="P346" i="2" s="1"/>
  <c r="O345" i="2"/>
  <c r="P345" i="2" s="1"/>
  <c r="O344" i="2"/>
  <c r="P344" i="2" s="1"/>
  <c r="O343" i="2"/>
  <c r="P343" i="2" s="1"/>
  <c r="O342" i="2"/>
  <c r="P342" i="2" s="1"/>
  <c r="O340" i="2"/>
  <c r="P340" i="2" s="1"/>
  <c r="O339" i="2"/>
  <c r="P339" i="2" s="1"/>
  <c r="O338" i="2"/>
  <c r="P338" i="2" s="1"/>
  <c r="O336" i="2"/>
  <c r="P336" i="2" s="1"/>
  <c r="O335" i="2"/>
  <c r="P335" i="2" s="1"/>
  <c r="O334" i="2"/>
  <c r="P334" i="2" s="1"/>
  <c r="O332" i="2"/>
  <c r="P332" i="2" s="1"/>
  <c r="O331" i="2"/>
  <c r="P331" i="2" s="1"/>
  <c r="O330" i="2"/>
  <c r="P330" i="2" s="1"/>
  <c r="O329" i="2"/>
  <c r="P329" i="2" s="1"/>
  <c r="O328" i="2"/>
  <c r="P328" i="2" s="1"/>
  <c r="O327" i="2"/>
  <c r="P327" i="2" s="1"/>
  <c r="O325" i="2"/>
  <c r="P325" i="2" s="1"/>
  <c r="O324" i="2"/>
  <c r="P324" i="2" s="1"/>
  <c r="O323" i="2"/>
  <c r="P323" i="2" s="1"/>
  <c r="O322" i="2"/>
  <c r="P322" i="2" s="1"/>
  <c r="O321" i="2"/>
  <c r="P321" i="2" s="1"/>
  <c r="O320" i="2"/>
  <c r="P320" i="2" s="1"/>
  <c r="O319" i="2"/>
  <c r="P319"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5" i="2"/>
  <c r="P305" i="2" s="1"/>
  <c r="O304" i="2"/>
  <c r="P304" i="2" s="1"/>
  <c r="O303" i="2"/>
  <c r="P303" i="2" s="1"/>
  <c r="O302" i="2"/>
  <c r="P302" i="2" s="1"/>
  <c r="O301" i="2"/>
  <c r="P301" i="2" s="1"/>
  <c r="O300" i="2"/>
  <c r="P300" i="2" s="1"/>
  <c r="O299" i="2"/>
  <c r="P299" i="2" s="1"/>
  <c r="O297" i="2"/>
  <c r="P297" i="2" s="1"/>
  <c r="O296" i="2"/>
  <c r="P296" i="2" s="1"/>
  <c r="O295" i="2"/>
  <c r="P295" i="2" s="1"/>
  <c r="O294" i="2"/>
  <c r="P294" i="2" s="1"/>
  <c r="O293" i="2"/>
  <c r="P293" i="2" s="1"/>
  <c r="O292" i="2"/>
  <c r="P292" i="2" s="1"/>
  <c r="O291" i="2"/>
  <c r="P291" i="2" s="1"/>
  <c r="O289" i="2"/>
  <c r="P289" i="2" s="1"/>
  <c r="O288" i="2"/>
  <c r="P288" i="2" s="1"/>
  <c r="O287" i="2"/>
  <c r="P287" i="2" s="1"/>
  <c r="O286" i="2"/>
  <c r="P286" i="2" s="1"/>
  <c r="O285" i="2"/>
  <c r="P285" i="2" s="1"/>
  <c r="O284" i="2"/>
  <c r="P284" i="2" s="1"/>
  <c r="O283" i="2"/>
  <c r="P283" i="2" s="1"/>
  <c r="O282" i="2"/>
  <c r="P282" i="2" s="1"/>
  <c r="O280" i="2"/>
  <c r="P280" i="2" s="1"/>
  <c r="O279" i="2"/>
  <c r="P279" i="2" s="1"/>
  <c r="O278" i="2"/>
  <c r="P278" i="2" s="1"/>
  <c r="O277" i="2"/>
  <c r="P277" i="2" s="1"/>
  <c r="O276" i="2"/>
  <c r="P276" i="2" s="1"/>
  <c r="O275" i="2"/>
  <c r="P275" i="2" s="1"/>
  <c r="O274" i="2"/>
  <c r="P274" i="2" s="1"/>
  <c r="O272" i="2"/>
  <c r="P272" i="2" s="1"/>
  <c r="O270" i="2"/>
  <c r="P270" i="2" s="1"/>
  <c r="O269" i="2"/>
  <c r="P269" i="2" s="1"/>
  <c r="O268" i="2"/>
  <c r="P268" i="2" s="1"/>
  <c r="O267" i="2"/>
  <c r="P267" i="2" s="1"/>
  <c r="O266" i="2"/>
  <c r="P266" i="2" s="1"/>
  <c r="O264" i="2"/>
  <c r="P264" i="2" s="1"/>
  <c r="O262" i="2"/>
  <c r="P262" i="2" s="1"/>
  <c r="O261" i="2"/>
  <c r="P261" i="2" s="1"/>
  <c r="O259" i="2"/>
  <c r="P259" i="2" s="1"/>
  <c r="O257" i="2"/>
  <c r="P257" i="2" s="1"/>
  <c r="O255" i="2"/>
  <c r="P255" i="2" s="1"/>
  <c r="O254" i="2"/>
  <c r="P254" i="2" s="1"/>
  <c r="O253" i="2"/>
  <c r="P253" i="2" s="1"/>
  <c r="O252" i="2"/>
  <c r="P252" i="2" s="1"/>
  <c r="O251" i="2"/>
  <c r="P251" i="2" s="1"/>
  <c r="O250" i="2"/>
  <c r="P250" i="2" s="1"/>
  <c r="O248" i="2"/>
  <c r="P248" i="2" s="1"/>
  <c r="O247" i="2"/>
  <c r="P247" i="2" s="1"/>
  <c r="O246" i="2"/>
  <c r="P246" i="2" s="1"/>
  <c r="O245" i="2"/>
  <c r="P245" i="2" s="1"/>
  <c r="O244" i="2"/>
  <c r="P244" i="2" s="1"/>
  <c r="O243" i="2"/>
  <c r="P243" i="2" s="1"/>
  <c r="O240" i="2"/>
  <c r="P240" i="2" s="1"/>
  <c r="O239" i="2"/>
  <c r="P239" i="2" s="1"/>
  <c r="O238" i="2"/>
  <c r="P238" i="2" s="1"/>
  <c r="O235" i="2"/>
  <c r="P235" i="2" s="1"/>
  <c r="O234" i="2"/>
  <c r="P234" i="2" s="1"/>
  <c r="O233" i="2"/>
  <c r="P233" i="2" s="1"/>
  <c r="O232" i="2"/>
  <c r="P232" i="2" s="1"/>
  <c r="O231" i="2"/>
  <c r="P231" i="2" s="1"/>
  <c r="O229" i="2"/>
  <c r="P229" i="2" s="1"/>
  <c r="O228" i="2"/>
  <c r="P228" i="2" s="1"/>
  <c r="O226" i="2"/>
  <c r="P226" i="2" s="1"/>
  <c r="O225" i="2"/>
  <c r="P225" i="2" s="1"/>
  <c r="O224" i="2"/>
  <c r="P224" i="2" s="1"/>
  <c r="O222" i="2"/>
  <c r="P222" i="2" s="1"/>
  <c r="O221" i="2"/>
  <c r="P221" i="2" s="1"/>
  <c r="O220" i="2"/>
  <c r="P220" i="2" s="1"/>
  <c r="O219" i="2"/>
  <c r="P219" i="2" s="1"/>
  <c r="O218" i="2"/>
  <c r="P218" i="2" s="1"/>
  <c r="O217" i="2"/>
  <c r="P217" i="2" s="1"/>
  <c r="O216" i="2"/>
  <c r="P216" i="2" s="1"/>
  <c r="O213" i="2"/>
  <c r="P213" i="2" s="1"/>
  <c r="O212" i="2"/>
  <c r="P212" i="2" s="1"/>
  <c r="O211" i="2"/>
  <c r="P211" i="2" s="1"/>
  <c r="O210" i="2"/>
  <c r="P210" i="2" s="1"/>
  <c r="O209" i="2"/>
  <c r="P209" i="2" s="1"/>
  <c r="O208" i="2"/>
  <c r="P208" i="2" s="1"/>
  <c r="O206" i="2"/>
  <c r="P206" i="2" s="1"/>
  <c r="O205" i="2"/>
  <c r="P205" i="2" s="1"/>
  <c r="O204" i="2"/>
  <c r="P204" i="2" s="1"/>
  <c r="O203" i="2"/>
  <c r="P203" i="2" s="1"/>
  <c r="O202" i="2"/>
  <c r="P202" i="2" s="1"/>
  <c r="O198" i="2"/>
  <c r="P198" i="2" s="1"/>
  <c r="O197" i="2"/>
  <c r="P197" i="2" s="1"/>
  <c r="O196" i="2"/>
  <c r="P196" i="2" s="1"/>
  <c r="O195" i="2"/>
  <c r="P195" i="2" s="1"/>
  <c r="O193" i="2"/>
  <c r="P193" i="2" s="1"/>
  <c r="O192" i="2"/>
  <c r="P192" i="2" s="1"/>
  <c r="O191" i="2"/>
  <c r="P191" i="2" s="1"/>
  <c r="O190" i="2"/>
  <c r="P190" i="2" s="1"/>
  <c r="O189" i="2"/>
  <c r="P189" i="2" s="1"/>
  <c r="O188" i="2"/>
  <c r="P188" i="2" s="1"/>
  <c r="O187" i="2"/>
  <c r="P187" i="2" s="1"/>
  <c r="O186" i="2"/>
  <c r="P186" i="2" s="1"/>
  <c r="O185" i="2"/>
  <c r="P185" i="2" s="1"/>
  <c r="O184" i="2"/>
  <c r="P184" i="2" s="1"/>
  <c r="O183" i="2"/>
  <c r="P183" i="2" s="1"/>
  <c r="O182" i="2"/>
  <c r="P182" i="2" s="1"/>
  <c r="O181" i="2"/>
  <c r="P181" i="2" s="1"/>
  <c r="O179" i="2"/>
  <c r="P179" i="2" s="1"/>
  <c r="O178" i="2"/>
  <c r="P178" i="2" s="1"/>
  <c r="O177" i="2"/>
  <c r="P177" i="2" s="1"/>
  <c r="O176" i="2"/>
  <c r="P176" i="2" s="1"/>
  <c r="O175" i="2"/>
  <c r="P175" i="2" s="1"/>
  <c r="O174" i="2"/>
  <c r="P174" i="2" s="1"/>
  <c r="O173" i="2"/>
  <c r="P173" i="2" s="1"/>
  <c r="O172" i="2"/>
  <c r="P172" i="2" s="1"/>
  <c r="O171" i="2"/>
  <c r="P171" i="2" s="1"/>
  <c r="O169" i="2"/>
  <c r="P169" i="2" s="1"/>
  <c r="O168" i="2"/>
  <c r="P168" i="2" s="1"/>
  <c r="O167" i="2"/>
  <c r="P167" i="2" s="1"/>
  <c r="O165" i="2"/>
  <c r="P165" i="2" s="1"/>
  <c r="O164" i="2"/>
  <c r="P164" i="2" s="1"/>
  <c r="O163" i="2"/>
  <c r="P163" i="2" s="1"/>
  <c r="O162" i="2"/>
  <c r="P162" i="2" s="1"/>
  <c r="O161" i="2"/>
  <c r="P161" i="2" s="1"/>
  <c r="O160" i="2"/>
  <c r="P160" i="2" s="1"/>
  <c r="O159" i="2"/>
  <c r="P159" i="2" s="1"/>
  <c r="O158" i="2"/>
  <c r="P158" i="2" s="1"/>
  <c r="O157" i="2"/>
  <c r="P157" i="2" s="1"/>
  <c r="O156" i="2"/>
  <c r="P156" i="2" s="1"/>
  <c r="O155" i="2"/>
  <c r="P155" i="2" s="1"/>
  <c r="O154" i="2"/>
  <c r="P154" i="2" s="1"/>
  <c r="O153" i="2"/>
  <c r="P153" i="2" s="1"/>
  <c r="O152" i="2"/>
  <c r="P152" i="2" s="1"/>
  <c r="O151" i="2"/>
  <c r="P151" i="2" s="1"/>
  <c r="O150" i="2"/>
  <c r="P150" i="2" s="1"/>
  <c r="O149" i="2"/>
  <c r="P149" i="2" s="1"/>
  <c r="O148" i="2"/>
  <c r="P148" i="2" s="1"/>
  <c r="O147" i="2"/>
  <c r="P147" i="2" s="1"/>
  <c r="O146" i="2"/>
  <c r="P146" i="2" s="1"/>
  <c r="O145" i="2"/>
  <c r="P145" i="2" s="1"/>
  <c r="O144" i="2"/>
  <c r="P144" i="2" s="1"/>
  <c r="O143" i="2"/>
  <c r="P143" i="2" s="1"/>
  <c r="O142" i="2"/>
  <c r="P142" i="2" s="1"/>
  <c r="O140" i="2"/>
  <c r="P140" i="2" s="1"/>
  <c r="O139" i="2"/>
  <c r="P139" i="2" s="1"/>
  <c r="O138" i="2"/>
  <c r="P138" i="2" s="1"/>
  <c r="O137" i="2"/>
  <c r="P137" i="2" s="1"/>
  <c r="O136" i="2"/>
  <c r="P136" i="2" s="1"/>
  <c r="O135" i="2"/>
  <c r="P135" i="2" s="1"/>
  <c r="O134" i="2"/>
  <c r="P134" i="2" s="1"/>
  <c r="O133" i="2"/>
  <c r="P133" i="2" s="1"/>
  <c r="O132" i="2"/>
  <c r="P132" i="2" s="1"/>
  <c r="O131" i="2"/>
  <c r="P131" i="2" s="1"/>
  <c r="O130" i="2"/>
  <c r="P130" i="2" s="1"/>
  <c r="O129" i="2"/>
  <c r="P129" i="2" s="1"/>
  <c r="O128" i="2"/>
  <c r="P128" i="2" s="1"/>
  <c r="O127" i="2"/>
  <c r="P127" i="2" s="1"/>
  <c r="O126" i="2"/>
  <c r="P126" i="2" s="1"/>
  <c r="O123" i="2"/>
  <c r="P123" i="2" s="1"/>
  <c r="O122" i="2"/>
  <c r="P122" i="2" s="1"/>
  <c r="O121" i="2"/>
  <c r="P121" i="2" s="1"/>
  <c r="O119" i="2"/>
  <c r="P119" i="2" s="1"/>
  <c r="O118" i="2"/>
  <c r="P118" i="2" s="1"/>
  <c r="O117" i="2"/>
  <c r="P117" i="2" s="1"/>
  <c r="O116" i="2"/>
  <c r="P116" i="2" s="1"/>
  <c r="O115" i="2"/>
  <c r="P115" i="2" s="1"/>
  <c r="O114" i="2"/>
  <c r="P114" i="2" s="1"/>
  <c r="O113" i="2"/>
  <c r="P113" i="2" s="1"/>
  <c r="O112" i="2"/>
  <c r="P112" i="2" s="1"/>
  <c r="O111" i="2"/>
  <c r="P111" i="2" s="1"/>
  <c r="O110" i="2"/>
  <c r="P110" i="2" s="1"/>
  <c r="O109" i="2"/>
  <c r="P109" i="2" s="1"/>
  <c r="O108" i="2"/>
  <c r="P108" i="2" s="1"/>
  <c r="O106" i="2"/>
  <c r="P106" i="2" s="1"/>
  <c r="O105" i="2"/>
  <c r="P105" i="2" s="1"/>
  <c r="O104" i="2"/>
  <c r="P104" i="2" s="1"/>
  <c r="O103" i="2"/>
  <c r="P103" i="2" s="1"/>
  <c r="O102" i="2"/>
  <c r="P102" i="2" s="1"/>
  <c r="O101" i="2"/>
  <c r="P101" i="2" s="1"/>
  <c r="O99" i="2"/>
  <c r="P99" i="2" s="1"/>
  <c r="O98" i="2"/>
  <c r="P98" i="2" s="1"/>
  <c r="O97" i="2"/>
  <c r="P97" i="2" s="1"/>
  <c r="O95" i="2"/>
  <c r="P95" i="2" s="1"/>
  <c r="O94" i="2"/>
  <c r="P94" i="2" s="1"/>
  <c r="O93" i="2"/>
  <c r="P93" i="2" s="1"/>
  <c r="O92" i="2"/>
  <c r="P92" i="2" s="1"/>
  <c r="O91" i="2"/>
  <c r="P91" i="2" s="1"/>
  <c r="O90" i="2"/>
  <c r="P90" i="2" s="1"/>
  <c r="O89" i="2"/>
  <c r="P89" i="2" s="1"/>
  <c r="O88" i="2"/>
  <c r="P88" i="2" s="1"/>
  <c r="O87" i="2"/>
  <c r="P87" i="2" s="1"/>
  <c r="O86" i="2"/>
  <c r="P86" i="2" s="1"/>
  <c r="O85" i="2"/>
  <c r="P85" i="2" s="1"/>
  <c r="O84" i="2"/>
  <c r="P84" i="2" s="1"/>
  <c r="O83" i="2"/>
  <c r="P83" i="2" s="1"/>
  <c r="O81" i="2"/>
  <c r="P81" i="2" s="1"/>
  <c r="O80" i="2"/>
  <c r="P80" i="2" s="1"/>
  <c r="O79" i="2"/>
  <c r="P79" i="2" s="1"/>
  <c r="O78" i="2"/>
  <c r="P78" i="2" s="1"/>
  <c r="O77" i="2"/>
  <c r="P77" i="2" s="1"/>
  <c r="O76" i="2"/>
  <c r="P76" i="2" s="1"/>
  <c r="O75" i="2"/>
  <c r="P75" i="2" s="1"/>
  <c r="O74" i="2"/>
  <c r="P74" i="2" s="1"/>
  <c r="O72" i="2"/>
  <c r="P72" i="2" s="1"/>
  <c r="O70" i="2"/>
  <c r="P70" i="2" s="1"/>
  <c r="O69" i="2"/>
  <c r="P69" i="2" s="1"/>
  <c r="O68" i="2"/>
  <c r="P68" i="2" s="1"/>
  <c r="O67" i="2"/>
  <c r="P67" i="2" s="1"/>
  <c r="O66" i="2"/>
  <c r="P66" i="2" s="1"/>
  <c r="O65" i="2"/>
  <c r="P65" i="2" s="1"/>
  <c r="O64" i="2"/>
  <c r="P64" i="2" s="1"/>
  <c r="O63" i="2"/>
  <c r="P63" i="2" s="1"/>
  <c r="O62" i="2"/>
  <c r="P62" i="2" s="1"/>
  <c r="O61" i="2"/>
  <c r="P61" i="2" s="1"/>
  <c r="O60" i="2"/>
  <c r="P60" i="2" s="1"/>
  <c r="O59" i="2"/>
  <c r="P59" i="2" s="1"/>
  <c r="O58" i="2"/>
  <c r="P58" i="2" s="1"/>
  <c r="O57" i="2"/>
  <c r="P57" i="2" s="1"/>
  <c r="O56" i="2"/>
  <c r="P56" i="2" s="1"/>
  <c r="O55" i="2"/>
  <c r="P55" i="2" s="1"/>
  <c r="O54" i="2"/>
  <c r="P54" i="2" s="1"/>
  <c r="O52" i="2"/>
  <c r="P52" i="2" s="1"/>
  <c r="O51" i="2"/>
  <c r="P51" i="2" s="1"/>
  <c r="O50" i="2"/>
  <c r="P50" i="2" s="1"/>
  <c r="O49" i="2"/>
  <c r="P49" i="2" s="1"/>
  <c r="O47" i="2"/>
  <c r="P47" i="2" s="1"/>
  <c r="O46" i="2"/>
  <c r="P46" i="2" s="1"/>
  <c r="O45" i="2"/>
  <c r="P45" i="2" s="1"/>
  <c r="O44" i="2"/>
  <c r="P44" i="2" s="1"/>
  <c r="O43" i="2"/>
  <c r="P43" i="2" s="1"/>
  <c r="O42" i="2"/>
  <c r="P42" i="2" s="1"/>
  <c r="O41" i="2"/>
  <c r="P41" i="2" s="1"/>
  <c r="O40" i="2"/>
  <c r="P40" i="2" s="1"/>
  <c r="O39" i="2"/>
  <c r="P39" i="2" s="1"/>
  <c r="O38" i="2"/>
  <c r="P38" i="2" s="1"/>
  <c r="O35" i="2"/>
  <c r="P35" i="2" s="1"/>
  <c r="O34" i="2"/>
  <c r="P34" i="2" s="1"/>
  <c r="O33" i="2"/>
  <c r="P33" i="2" s="1"/>
  <c r="O32" i="2"/>
  <c r="P32" i="2" s="1"/>
  <c r="O31" i="2"/>
  <c r="P31" i="2" s="1"/>
  <c r="O30" i="2"/>
  <c r="P30" i="2" s="1"/>
  <c r="O29" i="2"/>
  <c r="P29" i="2" s="1"/>
  <c r="O28" i="2"/>
  <c r="P28" i="2" s="1"/>
  <c r="O27" i="2"/>
  <c r="P27" i="2" s="1"/>
  <c r="O26" i="2"/>
  <c r="P26" i="2" s="1"/>
  <c r="O25" i="2"/>
  <c r="P25" i="2" s="1"/>
  <c r="O24" i="2"/>
  <c r="P24" i="2" s="1"/>
  <c r="O22" i="2"/>
  <c r="P22" i="2" s="1"/>
  <c r="O21" i="2"/>
  <c r="P21" i="2" s="1"/>
  <c r="O20" i="2"/>
  <c r="P20" i="2" s="1"/>
  <c r="O19" i="2"/>
  <c r="P19" i="2" s="1"/>
  <c r="O18" i="2"/>
  <c r="P18" i="2" s="1"/>
  <c r="O16" i="2"/>
  <c r="P16" i="2" s="1"/>
  <c r="O14" i="2"/>
  <c r="P14" i="2" s="1"/>
  <c r="O13" i="2"/>
  <c r="P13" i="2" s="1"/>
  <c r="O12" i="2"/>
  <c r="P12" i="2" s="1"/>
  <c r="O11" i="2"/>
  <c r="P11" i="2" s="1"/>
  <c r="O10" i="2"/>
  <c r="P10" i="2" s="1"/>
  <c r="O9" i="2"/>
  <c r="P9" i="2" s="1"/>
  <c r="O8" i="2"/>
  <c r="P8" i="2" s="1"/>
  <c r="O7" i="2"/>
  <c r="P7" i="2" s="1"/>
  <c r="O6" i="2"/>
  <c r="P6" i="2" s="1"/>
  <c r="O5" i="2"/>
  <c r="P5" i="2" s="1"/>
  <c r="O4" i="2"/>
  <c r="P4" i="2" s="1"/>
  <c r="O3" i="2"/>
  <c r="P3" i="2" s="1"/>
  <c r="O2" i="2"/>
  <c r="P2" i="2"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<sst xmlns="http://schemas.openxmlformats.org/spreadsheetml/2006/main" count="8711" uniqueCount="54">
  <si>
    <t>Pipe_Size_mm</t>
  </si>
  <si>
    <t>Thickness_mm</t>
  </si>
  <si>
    <t>Material</t>
  </si>
  <si>
    <t>Grade</t>
  </si>
  <si>
    <t>Max_Pressure_psi</t>
  </si>
  <si>
    <t>Temperature_C</t>
  </si>
  <si>
    <t>Corrosion_Impact_Percent</t>
  </si>
  <si>
    <t>Thickness_Loss_mm</t>
  </si>
  <si>
    <t>Material_Loss_Percent</t>
  </si>
  <si>
    <t>Time_Years</t>
  </si>
  <si>
    <t>Condition</t>
  </si>
  <si>
    <t>Carbon Steel</t>
  </si>
  <si>
    <t>ASTM A333 Grade 6</t>
  </si>
  <si>
    <t>Moderate</t>
  </si>
  <si>
    <t>PVC</t>
  </si>
  <si>
    <t>ASTM A106 Grade B</t>
  </si>
  <si>
    <t>Critical</t>
  </si>
  <si>
    <t>API 5L X52</t>
  </si>
  <si>
    <t>API 5L X42</t>
  </si>
  <si>
    <t>HDPE</t>
  </si>
  <si>
    <t>API 5L X65</t>
  </si>
  <si>
    <t>Fiberglass</t>
  </si>
  <si>
    <t>Stainless Steel</t>
  </si>
  <si>
    <t>Normal</t>
  </si>
  <si>
    <t>Corrosion_Impact_Pct</t>
  </si>
  <si>
    <t>Material_Loss_Pct</t>
  </si>
  <si>
    <t>Thickness Check</t>
  </si>
  <si>
    <t>Pressure category</t>
  </si>
  <si>
    <t>Risk Score</t>
  </si>
  <si>
    <t>Thickness loss rate mm per year</t>
  </si>
  <si>
    <t>Degredation severity</t>
  </si>
  <si>
    <t>VALID</t>
  </si>
  <si>
    <t>Medium</t>
  </si>
  <si>
    <t>Low</t>
  </si>
  <si>
    <t>Pipe Size</t>
  </si>
  <si>
    <t>Thickness_loss_rate_mm_per_year</t>
  </si>
  <si>
    <t>Thickness_Check</t>
  </si>
  <si>
    <t>Pressure_category</t>
  </si>
  <si>
    <t>Degredation_severity</t>
  </si>
  <si>
    <t>Risk_Score</t>
  </si>
  <si>
    <t>Row Labels</t>
  </si>
  <si>
    <t>Grand Total</t>
  </si>
  <si>
    <t>Count of Pipe Size</t>
  </si>
  <si>
    <t>Average of Thickness_Loss_mm</t>
  </si>
  <si>
    <t>Average of Thickness_loss_rate_mm_per_year</t>
  </si>
  <si>
    <t>Average of Risk_Score</t>
  </si>
  <si>
    <t>Highest Risk Material</t>
  </si>
  <si>
    <t>PIPE INTEGRITY RISK ANALYSIS DASHBOARD</t>
  </si>
  <si>
    <t>Avg Thickness Loss(mm)</t>
  </si>
  <si>
    <t>Avg Loss Rate(mm/year)</t>
  </si>
  <si>
    <t>0.71mm/year</t>
  </si>
  <si>
    <t>4.86mm</t>
  </si>
  <si>
    <t>%Pipes In Critical Condition</t>
  </si>
  <si>
    <t>This dashboard analyes pipeline integrity data to assess material performance,thickness degradation and overall pipe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</si>
</sst>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rgb="FFFF0000"/>
        <bgColor indexed="64"/>
      </patternFill>
    </fill>
    <fill>
      <patternFill patternType="solid">
        <fgColor theme="2"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5" borderId="0" xfId="0" applyFill="1"/>
    <xf numFmtId="0" fontId="20" fillId="35" borderId="0" xfId="0" applyFont="1" applyFill="1" applyAlignment="1">
      <alignment horizontal="center"/>
    </xf>
    <xf numFmtId="0" fontId="18" fillId="35" borderId="0" xfId="0" applyFont="1" applyFill="1"/>
    <xf numFmtId="0" fontId="22" fillId="35" borderId="0" xfId="0" applyFont="1" applyFill="1" applyAlignment="1">
      <alignment horizontal="center"/>
    </xf>
    <xf numFmtId="0" fontId="19" fillId="36" borderId="0" xfId="0" applyFont="1" applyFill="1" applyAlignment="1">
      <alignment horizontal="center"/>
    </xf>
    <xf numFmtId="0" fontId="20" fillId="34" borderId="10" xfId="0" applyFont="1" applyFill="1" applyBorder="1" applyAlignment="1">
      <alignment horizontal="center"/>
    </xf>
    <xf numFmtId="0" fontId="20" fillId="34" borderId="11" xfId="0" applyFont="1" applyFill="1" applyBorder="1" applyAlignment="1">
      <alignment horizontal="center"/>
    </xf>
    <xf numFmtId="9" fontId="22" fillId="37" borderId="10" xfId="0" applyNumberFormat="1" applyFont="1" applyFill="1" applyBorder="1" applyAlignment="1">
      <alignment horizontal="center"/>
    </xf>
    <xf numFmtId="9" fontId="22" fillId="37" borderId="11" xfId="0" applyNumberFormat="1" applyFont="1" applyFill="1" applyBorder="1" applyAlignment="1">
      <alignment horizontal="center"/>
    </xf>
    <xf numFmtId="0" fontId="21" fillId="33" borderId="10" xfId="0" applyFont="1" applyFill="1" applyBorder="1" applyAlignment="1">
      <alignment horizontal="center"/>
    </xf>
    <xf numFmtId="0" fontId="21" fillId="33" borderId="11" xfId="0" applyFont="1" applyFill="1" applyBorder="1" applyAlignment="1">
      <alignment horizontal="center"/>
    </xf>
    <xf numFmtId="0" fontId="22" fillId="33" borderId="10" xfId="0" applyFont="1" applyFill="1" applyBorder="1" applyAlignment="1">
      <alignment horizontal="center"/>
    </xf>
    <xf numFmtId="0" fontId="22" fillId="33" borderId="11" xfId="0" applyFont="1" applyFill="1" applyBorder="1" applyAlignment="1">
      <alignment horizontal="center"/>
    </xf>
    <xf numFmtId="0" fontId="21" fillId="35" borderId="0" xfId="0" applyFont="1" applyFill="1" applyAlignment="1">
      <alignment horizontal="center"/>
    </xf>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[pipeline project.xlsx]PT_Pipe_Condition_Overview!PivotTable5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r>
              <a:rPr lang="en-US" b="1">
                <a:solidFill>
                  <a:schemeClr val="tx1"/>
                </a:solidFill>
              </a:rPr>
              <a:t>Pipe Condition Distribution(Valid Records Only)</a:t>
            </a:r>
          </a:p>
        </c:rich>
      </c:tx>
      <c:layout>
        <c:manualLayout>
          <c:xMode val="edge"/>
          <c:yMode val="edge"/>
          <c:x val="0.11011111111111112"/>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pieChart>
        <c:varyColors val="1"/>
        <c:ser>
          <c:idx val="0"/>
          <c:order val="0"/>
          <c:tx>
            <c:strRef>
              <c:f>PT_Pipe_Condition_Overview!$B$2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8E1-4BA2-B8BD-C4042A3A287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8E1-4BA2-B8BD-C4042A3A287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8E1-4BA2-B8BD-C4042A3A28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PT_Pipe_Condition_Overview!$A$3:$A$6</c:f>
              <c:strCache>
                <c:ptCount val="3"/>
                <c:pt idx="0">
                  <c:v>Critical</c:v>
                </c:pt>
                <c:pt idx="1">
                  <c:v>Moderate</c:v>
                </c:pt>
                <c:pt idx="2">
                  <c:v>Normal</c:v>
                </c:pt>
              </c:strCache>
            </c:strRef>
          </c:cat>
          <c:val>
            <c:numRef>
              <c:f>PT_Pipe_Condition_Overview!$B$3:$B$6</c:f>
              <c:numCache>
                <c:formatCode>General</c:formatCode>
                <c:ptCount val="3"/>
                <c:pt idx="0">
                  <c:v>487</c:v>
                </c:pt>
                <c:pt idx="1">
                  <c:v>299</c:v>
                </c:pt>
                <c:pt idx="2">
                  <c:v>214</c:v>
                </c:pt>
              </c:numCache>
            </c:numRef>
          </c:val>
          <c:extLst>
            <c:ext xmlns:c16="http://schemas.microsoft.com/office/drawing/2014/chart" uri="{C3380CC4-5D6E-409C-BE32-E72D297353CC}">
              <c16:uniqueId val="{00000006-F8E1-4BA2-B8BD-C4042A3A287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[pipeline project.xlsx]PT_Thickness_by_material!PivotTable3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Average</a:t>
            </a:r>
            <a:r>
              <a:rPr lang="en-GB" b="1" baseline="0">
                <a:solidFill>
                  <a:schemeClr val="tx1"/>
                </a:solidFill>
              </a:rPr>
              <a:t> Thickness Loss By Material(mm</a:t>
            </a:r>
            <a:r>
              <a:rPr lang="en-GB" baseline="0"/>
              <a:t>)</a:t>
            </a:r>
            <a:endParaRPr lang="en-GB"/>
          </a:p>
        </c:rich>
      </c:tx>
      <c:layout>
        <c:manualLayout>
          <c:xMode val="edge"/>
          <c:yMode val="edge"/>
          <c:x val="0.1579166666666666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PT_Thickness_by_material!$B$1</c:f>
              <c:strCache>
                <c:ptCount val="1"/>
                <c:pt idx="0">
                  <c:v>Total</c:v>
                </c:pt>
              </c:strCache>
            </c:strRef>
          </c:tx>
          <c:spPr>
            <a:solidFill>
              <a:schemeClr val="accent1"/>
            </a:solidFill>
            <a:ln>
              <a:noFill/>
            </a:ln>
            <a:effectLst/>
          </c:spPr>
          <c:invertIfNegative val="0"/>
          <c:cat>
            <c:strRef>
              <c:f>PT_Thickness_by_material!$A$2:$A$7</c:f>
              <c:strCache>
                <c:ptCount val="5"/>
                <c:pt idx="0">
                  <c:v>PVC</c:v>
                </c:pt>
                <c:pt idx="1">
                  <c:v>Fiberglass</c:v>
                </c:pt>
                <c:pt idx="2">
                  <c:v>Stainless Steel</c:v>
                </c:pt>
                <c:pt idx="3">
                  <c:v>HDPE</c:v>
                </c:pt>
                <c:pt idx="4">
                  <c:v>Carbon Steel</c:v>
                </c:pt>
              </c:strCache>
            </c:strRef>
          </c:cat>
          <c:val>
            <c:numRef>
              <c:f>PT_Thickness_by_material!$B$2:$B$7</c:f>
              <c:numCache>
                <c:formatCode>General</c:formatCode>
                <c:ptCount val="5"/>
                <c:pt idx="0">
                  <c:v>5.2742473118279571</c:v>
                </c:pt>
                <c:pt idx="1">
                  <c:v>4.9007305936073067</c:v>
                </c:pt>
                <c:pt idx="2">
                  <c:v>4.8451243781094524</c:v>
                </c:pt>
                <c:pt idx="3">
                  <c:v>4.8439130434782616</c:v>
                </c:pt>
                <c:pt idx="4">
                  <c:v>4.6041904761904764</c:v>
                </c:pt>
              </c:numCache>
            </c:numRef>
          </c:val>
          <c:extLst>
            <c:ext xmlns:c16="http://schemas.microsoft.com/office/drawing/2014/chart" uri="{C3380CC4-5D6E-409C-BE32-E72D297353CC}">
              <c16:uniqueId val="{00000000-12B0-4F74-9A76-B1622074A72B}"/>
            </c:ext>
          </c:extLst>
        </c:ser>
        <c:dLbls>
          <c:showLegendKey val="0"/>
          <c:showVal val="0"/>
          <c:showCatName val="0"/>
          <c:showSerName val="0"/>
          <c:showPercent val="0"/>
          <c:showBubbleSize val="0"/>
        </c:dLbls>
        <c:gapWidth val="219"/>
        <c:overlap val="-27"/>
        <c:axId val="1337009039"/>
        <c:axId val="1280892191"/>
      </c:barChart>
      <c:catAx>
        <c:axId val="1337009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Material</a:t>
                </a:r>
              </a:p>
            </c:rich>
          </c:tx>
          <c:layout>
            <c:manualLayout>
              <c:xMode val="edge"/>
              <c:yMode val="edge"/>
              <c:x val="0.42778805774278217"/>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80892191"/>
        <c:crosses val="autoZero"/>
        <c:auto val="1"/>
        <c:lblAlgn val="ctr"/>
        <c:lblOffset val="100"/>
        <c:noMultiLvlLbl val="0"/>
      </c:catAx>
      <c:valAx>
        <c:axId val="1280892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Average</a:t>
                </a:r>
                <a:r>
                  <a:rPr lang="en-GB" b="1" baseline="0">
                    <a:solidFill>
                      <a:schemeClr val="tx1"/>
                    </a:solidFill>
                  </a:rPr>
                  <a:t> Thickness Loss</a:t>
                </a:r>
                <a:endParaRPr lang="en-GB"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700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[pipeline project.xlsx]PT_LossRate_by_Material!PivotTable4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Thickness Loss Rate By Material(mm/year)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PT_LossRate_by_Material!$B$1</c:f>
              <c:strCache>
                <c:ptCount val="1"/>
                <c:pt idx="0">
                  <c:v>Total</c:v>
                </c:pt>
              </c:strCache>
            </c:strRef>
          </c:tx>
          <c:spPr>
            <a:solidFill>
              <a:schemeClr val="accent1"/>
            </a:solidFill>
            <a:ln>
              <a:noFill/>
            </a:ln>
            <a:effectLst/>
          </c:spPr>
          <c:invertIfNegative val="0"/>
          <c:cat>
            <c:strRef>
              <c:f>PT_LossRate_by_Material!$A$2:$A$7</c:f>
              <c:strCache>
                <c:ptCount val="5"/>
                <c:pt idx="0">
                  <c:v>PVC</c:v>
                </c:pt>
                <c:pt idx="1">
                  <c:v>Fiberglass</c:v>
                </c:pt>
                <c:pt idx="2">
                  <c:v>Stainless Steel</c:v>
                </c:pt>
                <c:pt idx="3">
                  <c:v>HDPE</c:v>
                </c:pt>
                <c:pt idx="4">
                  <c:v>Carbon Steel</c:v>
                </c:pt>
              </c:strCache>
            </c:strRef>
          </c:cat>
          <c:val>
            <c:numRef>
              <c:f>PT_LossRate_by_Material!$B$2:$B$7</c:f>
              <c:numCache>
                <c:formatCode>General</c:formatCode>
                <c:ptCount val="5"/>
                <c:pt idx="0">
                  <c:v>0.80477795300531019</c:v>
                </c:pt>
                <c:pt idx="1">
                  <c:v>0.77539909248841321</c:v>
                </c:pt>
                <c:pt idx="2">
                  <c:v>0.7182327131295978</c:v>
                </c:pt>
                <c:pt idx="3">
                  <c:v>0.66526784839076036</c:v>
                </c:pt>
                <c:pt idx="4">
                  <c:v>0.59032333044462471</c:v>
                </c:pt>
              </c:numCache>
            </c:numRef>
          </c:val>
          <c:extLst>
            <c:ext xmlns:c16="http://schemas.microsoft.com/office/drawing/2014/chart" uri="{C3380CC4-5D6E-409C-BE32-E72D297353CC}">
              <c16:uniqueId val="{00000000-01D5-405C-A843-5CF12A7888D8}"/>
            </c:ext>
          </c:extLst>
        </c:ser>
        <c:dLbls>
          <c:showLegendKey val="0"/>
          <c:showVal val="0"/>
          <c:showCatName val="0"/>
          <c:showSerName val="0"/>
          <c:showPercent val="0"/>
          <c:showBubbleSize val="0"/>
        </c:dLbls>
        <c:gapWidth val="219"/>
        <c:overlap val="-27"/>
        <c:axId val="1330219583"/>
        <c:axId val="1330219999"/>
      </c:barChart>
      <c:catAx>
        <c:axId val="133021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0219999"/>
        <c:crosses val="autoZero"/>
        <c:auto val="1"/>
        <c:lblAlgn val="ctr"/>
        <c:lblOffset val="100"/>
        <c:noMultiLvlLbl val="0"/>
      </c:catAx>
      <c:valAx>
        <c:axId val="1330219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021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[pipeline project.xlsx]PT_Average_Risk_Score!PivotTable10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Risk Score By Pressure Category</a:t>
            </a:r>
            <a:endParaRPr lang="en-US" b="1">
              <a:solidFill>
                <a:schemeClr val="tx1"/>
              </a:solidFill>
            </a:endParaRPr>
          </a:p>
        </c:rich>
      </c:tx>
      <c:layout>
        <c:manualLayout>
          <c:xMode val="edge"/>
          <c:yMode val="edge"/>
          <c:x val="0.1668123359580052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PT_Average_Risk_Score!$B$1</c:f>
              <c:strCache>
                <c:ptCount val="1"/>
                <c:pt idx="0">
                  <c:v>Total</c:v>
                </c:pt>
              </c:strCache>
            </c:strRef>
          </c:tx>
          <c:spPr>
            <a:solidFill>
              <a:schemeClr val="accent1"/>
            </a:solidFill>
            <a:ln>
              <a:noFill/>
            </a:ln>
            <a:effectLst/>
          </c:spPr>
          <c:invertIfNegative val="0"/>
          <c:cat>
            <c:strRef>
              <c:f>PT_Average_Risk_Score!$A$2:$A$4</c:f>
              <c:strCache>
                <c:ptCount val="2"/>
                <c:pt idx="0">
                  <c:v>Low</c:v>
                </c:pt>
                <c:pt idx="1">
                  <c:v>Medium</c:v>
                </c:pt>
              </c:strCache>
            </c:strRef>
          </c:cat>
          <c:val>
            <c:numRef>
              <c:f>PT_Average_Risk_Score!$B$2:$B$4</c:f>
              <c:numCache>
                <c:formatCode>General</c:formatCode>
                <c:ptCount val="2"/>
                <c:pt idx="0">
                  <c:v>21.669554794520565</c:v>
                </c:pt>
                <c:pt idx="1">
                  <c:v>20.714242424242414</c:v>
                </c:pt>
              </c:numCache>
            </c:numRef>
          </c:val>
          <c:extLst>
            <c:ext xmlns:c16="http://schemas.microsoft.com/office/drawing/2014/chart" uri="{C3380CC4-5D6E-409C-BE32-E72D297353CC}">
              <c16:uniqueId val="{00000000-AFA6-41DD-9FE8-D9743CCEBB01}"/>
            </c:ext>
          </c:extLst>
        </c:ser>
        <c:dLbls>
          <c:showLegendKey val="0"/>
          <c:showVal val="0"/>
          <c:showCatName val="0"/>
          <c:showSerName val="0"/>
          <c:showPercent val="0"/>
          <c:showBubbleSize val="0"/>
        </c:dLbls>
        <c:gapWidth val="219"/>
        <c:overlap val="-27"/>
        <c:axId val="1330213343"/>
        <c:axId val="1330215007"/>
      </c:barChart>
      <c:catAx>
        <c:axId val="1330213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Pressure</a:t>
                </a:r>
                <a:r>
                  <a:rPr lang="en-GB" b="1" baseline="0">
                    <a:solidFill>
                      <a:schemeClr val="tx1"/>
                    </a:solidFill>
                  </a:rPr>
                  <a:t> Categories</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0215007"/>
        <c:crosses val="autoZero"/>
        <c:auto val="1"/>
        <c:lblAlgn val="ctr"/>
        <c:lblOffset val="100"/>
        <c:noMultiLvlLbl val="0"/>
      </c:catAx>
      <c:valAx>
        <c:axId val="1330215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Average</a:t>
                </a:r>
                <a:r>
                  <a:rPr lang="en-GB" b="1" baseline="0">
                    <a:solidFill>
                      <a:schemeClr val="tx1"/>
                    </a:solidFill>
                  </a:rPr>
                  <a:t> Risk Score</a:t>
                </a:r>
                <a:endParaRPr lang="en-GB"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021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94204</xdr:colOff>
      <xdr:row>7</xdr:row>
      <xdr:rowOff>31401</xdr:rowOff>
    </xdr:from>
    <xdr:to>
      <xdr:col>3</xdr:col>
      <xdr:colOff>931566</xdr:colOff>
      <xdr:row>14</xdr:row>
      <xdr:rowOff>52336</xdr:rowOff>
    </xdr:to>
    <xdr:graphicFrame macro="">
      <xdr:nvGraphicFramePr>
        <xdr:cNvPr id="7" name="Chart 6">
          <a:extLst>
            <a:ext uri="{FF2B5EF4-FFF2-40B4-BE49-F238E27FC236}">
              <a16:creationId xmlns:a16="http://schemas.microsoft.com/office/drawing/2014/main" id="{EB6E834C-B79A-4DFC-B4A9-BD25B3538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7</xdr:row>
      <xdr:rowOff>0</xdr:rowOff>
    </xdr:from>
    <xdr:to>
      <xdr:col>7</xdr:col>
      <xdr:colOff>835270</xdr:colOff>
      <xdr:row>14</xdr:row>
      <xdr:rowOff>105508</xdr:rowOff>
    </xdr:to>
    <xdr:graphicFrame macro="">
      <xdr:nvGraphicFramePr>
        <xdr:cNvPr id="9" name="Chart 8">
          <a:extLst>
            <a:ext uri="{FF2B5EF4-FFF2-40B4-BE49-F238E27FC236}">
              <a16:creationId xmlns:a16="http://schemas.microsoft.com/office/drawing/2014/main" id="{B29F1C28-2825-47EF-B503-42C93A3BF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125605</xdr:colOff>
      <xdr:row>15</xdr:row>
      <xdr:rowOff>10467</xdr:rowOff>
    </xdr:from>
    <xdr:to>
      <xdr:col>3</xdr:col>
      <xdr:colOff>960874</xdr:colOff>
      <xdr:row>22</xdr:row>
      <xdr:rowOff>115975</xdr:rowOff>
    </xdr:to>
    <xdr:graphicFrame macro="">
      <xdr:nvGraphicFramePr>
        <xdr:cNvPr id="11" name="Chart 10">
          <a:extLst>
            <a:ext uri="{FF2B5EF4-FFF2-40B4-BE49-F238E27FC236}">
              <a16:creationId xmlns:a16="http://schemas.microsoft.com/office/drawing/2014/main" id="{CF6B834F-1B51-46EF-9621-C1ACC0CDB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15</xdr:row>
      <xdr:rowOff>0</xdr:rowOff>
    </xdr:from>
    <xdr:to>
      <xdr:col>7</xdr:col>
      <xdr:colOff>835270</xdr:colOff>
      <xdr:row>22</xdr:row>
      <xdr:rowOff>105508</xdr:rowOff>
    </xdr:to>
    <xdr:graphicFrame macro="">
      <xdr:nvGraphicFramePr>
        <xdr:cNvPr id="13" name="Chart 12">
          <a:extLst>
            <a:ext uri="{FF2B5EF4-FFF2-40B4-BE49-F238E27FC236}">
              <a16:creationId xmlns:a16="http://schemas.microsoft.com/office/drawing/2014/main" id="{FA4759DB-1DAA-4E7C-9568-0F7CAE79D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228063</xdr:colOff>
      <xdr:row>24</xdr:row>
      <xdr:rowOff>0</xdr:rowOff>
    </xdr:from>
    <xdr:to>
      <xdr:col>1</xdr:col>
      <xdr:colOff>811286</xdr:colOff>
      <xdr:row>31</xdr:row>
      <xdr:rowOff>13416</xdr:rowOff>
    </xdr:to>
    <mc:AlternateContent xmlns:mc="http://schemas.openxmlformats.org/markup-compatibility/2006">
      <mc:Choice xmlns:a14="http://schemas.microsoft.com/office/drawing/2010/main" Requires="a14">
        <xdr:graphicFrame macro="">
          <xdr:nvGraphicFramePr>
            <xdr:cNvPr id="15" name="Condition">
              <a:extLst>
                <a:ext uri="{FF2B5EF4-FFF2-40B4-BE49-F238E27FC236}">
                  <a16:creationId xmlns:a16="http://schemas.microsoft.com/office/drawing/2014/main" id="{C1BEEF89-D910-418B-BA00-A9412E5EB068}"/>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228063" y="9130862"/>
              <a:ext cx="1831326" cy="131626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24</xdr:row>
      <xdr:rowOff>1</xdr:rowOff>
    </xdr:from>
    <xdr:to>
      <xdr:col>3</xdr:col>
      <xdr:colOff>581159</xdr:colOff>
      <xdr:row>33</xdr:row>
      <xdr:rowOff>1</xdr:rowOff>
    </xdr:to>
    <mc:AlternateContent xmlns:mc="http://schemas.openxmlformats.org/markup-compatibility/2006">
      <mc:Choice xmlns:a14="http://schemas.microsoft.com/office/drawing/2010/main" Requires="a14">
        <xdr:graphicFrame macro="">
          <xdr:nvGraphicFramePr>
            <xdr:cNvPr id="17" name="Grade 2">
              <a:extLst>
                <a:ext uri="{FF2B5EF4-FFF2-40B4-BE49-F238E27FC236}">
                  <a16:creationId xmlns:a16="http://schemas.microsoft.com/office/drawing/2014/main" id="{51D699AA-06ED-4EBA-8AD1-0EBDCA9FB0CA}"/>
                </a:ext>
              </a:extLst>
            </xdr:cNvPr>
            <xdr:cNvGraphicFramePr/>
          </xdr:nvGraphicFramePr>
          <xdr:xfrm>
            <a:off x="0" y="0"/>
            <a:ext cx="0" cy="0"/>
          </xdr:xfrm>
          <a:graphic>
            <a:graphicData uri="http://schemas.microsoft.com/office/drawing/2010/slicer">
              <sle:slicer xmlns:sle="http://schemas.microsoft.com/office/drawing/2010/slicer" name="Grade 2"/>
            </a:graphicData>
          </a:graphic>
        </xdr:graphicFrame>
      </mc:Choice>
      <mc:Fallback>
        <xdr:sp macro="" textlink="">
          <xdr:nvSpPr>
            <xdr:cNvPr id="0" name=""/>
            <xdr:cNvSpPr>
              <a:spLocks noTextEdit="1"/>
            </xdr:cNvSpPr>
          </xdr:nvSpPr>
          <xdr:spPr>
            <a:xfrm>
              <a:off x="2496207" y="9130863"/>
              <a:ext cx="1829262" cy="167508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24</xdr:row>
      <xdr:rowOff>1</xdr:rowOff>
    </xdr:from>
    <xdr:to>
      <xdr:col>5</xdr:col>
      <xdr:colOff>581159</xdr:colOff>
      <xdr:row>33</xdr:row>
      <xdr:rowOff>1</xdr:rowOff>
    </xdr:to>
    <mc:AlternateContent xmlns:mc="http://schemas.openxmlformats.org/markup-compatibility/2006">
      <mc:Choice xmlns:a14="http://schemas.microsoft.com/office/drawing/2010/main" Requires="a14">
        <xdr:graphicFrame macro="">
          <xdr:nvGraphicFramePr>
            <xdr:cNvPr id="20" name="Material 1">
              <a:extLst>
                <a:ext uri="{FF2B5EF4-FFF2-40B4-BE49-F238E27FC236}">
                  <a16:creationId xmlns:a16="http://schemas.microsoft.com/office/drawing/2014/main" id="{F690184F-8173-49EF-8E25-D62EEC030475}"/>
                </a:ext>
              </a:extLst>
            </xdr:cNvPr>
            <xdr:cNvGraphicFramePr/>
          </xdr:nvGraphicFramePr>
          <xdr:xfrm>
            <a:off x="0" y="0"/>
            <a:ext cx="0" cy="0"/>
          </xdr:xfrm>
          <a:graphic>
            <a:graphicData uri="http://schemas.microsoft.com/office/drawing/2010/slicer">
              <sle:slicer xmlns:sle="http://schemas.microsoft.com/office/drawing/2010/slicer" name="Material 1"/>
            </a:graphicData>
          </a:graphic>
        </xdr:graphicFrame>
      </mc:Choice>
      <mc:Fallback>
        <xdr:sp macro="" textlink="">
          <xdr:nvSpPr>
            <xdr:cNvPr id="0" name=""/>
            <xdr:cNvSpPr>
              <a:spLocks noTextEdit="1"/>
            </xdr:cNvSpPr>
          </xdr:nvSpPr>
          <xdr:spPr>
            <a:xfrm>
              <a:off x="4992414" y="9130863"/>
              <a:ext cx="1829262" cy="167508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963706</xdr:colOff>
      <xdr:row>2</xdr:row>
      <xdr:rowOff>22412</xdr:rowOff>
    </xdr:from>
    <xdr:ext cx="8337176" cy="749821"/>
    <xdr:sp macro="" textlink="">
      <xdr:nvSpPr>
        <xdr:cNvPr id="21" name="TextBox 20">
          <a:extLst>
            <a:ext uri="{FF2B5EF4-FFF2-40B4-BE49-F238E27FC236}">
              <a16:creationId xmlns:a16="http://schemas.microsoft.com/office/drawing/2014/main" id="{92B9C913-5091-B1FC-8DD1-7EC36246622F}"/>
            </a:ext>
          </a:extLst>
        </xdr:cNvPr>
        <xdr:cNvSpPr txBox="1"/>
      </xdr:nvSpPr>
      <xdr:spPr>
        <a:xfrm>
          <a:off x="963706" y="896471"/>
          <a:ext cx="8337176"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a:t>*Certain</a:t>
          </a:r>
          <a:r>
            <a:rPr lang="en-GB" sz="1400" baseline="0"/>
            <a:t> materials show </a:t>
          </a:r>
          <a:r>
            <a:rPr lang="en-GB" sz="1400" b="1" baseline="0"/>
            <a:t>faster thickness loss rate </a:t>
          </a:r>
          <a:r>
            <a:rPr lang="en-GB" sz="1400" baseline="0"/>
            <a:t>indicating higher maintenance priority.</a:t>
          </a:r>
        </a:p>
        <a:p>
          <a:r>
            <a:rPr lang="en-GB" sz="1400" baseline="0"/>
            <a:t>*Higher operating pressure is associated with higher risk scores.</a:t>
          </a:r>
        </a:p>
        <a:p>
          <a:r>
            <a:rPr lang="en-GB" sz="1400" baseline="0"/>
            <a:t>*A considerable amount of pipes are not in operating conditions hence the need for maintenance</a:t>
          </a:r>
          <a:r>
            <a:rPr lang="en-GB" sz="1100" baseline="0"/>
            <a:t>.</a:t>
          </a:r>
          <a:endParaRPr lang="en-NG"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E" refreshedDate="46051.578468055559" createdVersion="8" refreshedVersion="8" minRefreshableVersion="3" recordCount="1000" xr:uid="{BDEA2635-2B17-4EDA-B408-FC88ED0E7BF8}">
  <cacheSource type="worksheet">
    <worksheetSource ref="A1:P1001" sheet="Cleaned_Data"/>
  </cacheSource>
  <cacheFields count="16">
    <cacheField name="Pipe Size" numFmtId="0">
      <sharedItems containsSemiMixedTypes="0" containsString="0" containsNumber="1" containsInteger="1" minValue="50" maxValue="1500"/>
    </cacheField>
    <cacheField name="Thickness_mm" numFmtId="0">
      <sharedItems containsSemiMixedTypes="0" containsString="0" containsNumber="1" minValue="3" maxValue="49.53"/>
    </cacheField>
    <cacheField name="Material" numFmtId="0">
      <sharedItems count="5">
        <s v="Carbon Steel"/>
        <s v="PVC"/>
        <s v="HDPE"/>
        <s v="Fiberglass"/>
        <s v="Stainless Steel"/>
      </sharedItems>
    </cacheField>
    <cacheField name="Grade" numFmtId="0">
      <sharedItems count="5">
        <s v="ASTM A333 Grade 6"/>
        <s v="ASTM A106 Grade B"/>
        <s v="API 5L X52"/>
        <s v="API 5L X42"/>
        <s v="API 5L X65"/>
      </sharedItems>
    </cacheField>
    <cacheField name="Max_Pressure_psi" numFmtId="0">
      <sharedItems containsSemiMixedTypes="0" containsString="0" containsNumber="1" containsInteger="1" minValue="150" maxValue="2500"/>
    </cacheField>
    <cacheField name="Temperature_C" numFmtId="0">
      <sharedItems containsSemiMixedTypes="0" containsString="0" containsNumber="1" minValue="-50" maxValue="149.69999999999999"/>
    </cacheField>
    <cacheField name="Corrosion_Impact_Pct" numFmtId="0">
      <sharedItems containsSemiMixedTypes="0" containsString="0" containsNumber="1" minValue="0" maxValue="20"/>
    </cacheField>
    <cacheField name="Thickness_Loss_mm" numFmtId="0">
      <sharedItems containsSemiMixedTypes="0" containsString="0" containsNumber="1" minValue="0.01" maxValue="9.99"/>
    </cacheField>
    <cacheField name="Material_Loss_Pct" numFmtId="0">
      <sharedItems containsSemiMixedTypes="0" containsString="0" containsNumber="1" minValue="0.08" maxValue="318.75"/>
    </cacheField>
    <cacheField name="Time_Years" numFmtId="0">
      <sharedItems containsSemiMixedTypes="0" containsString="0" containsNumber="1" containsInteger="1" minValue="1" maxValue="25"/>
    </cacheField>
    <cacheField name="Condition" numFmtId="0">
      <sharedItems count="3">
        <s v="Moderate"/>
        <s v="Critical"/>
        <s v="Normal"/>
      </sharedItems>
    </cacheField>
    <cacheField name="Thickness_Check" numFmtId="0">
      <sharedItems/>
    </cacheField>
    <cacheField name="Thickness_loss_rate_mm_per_year" numFmtId="0">
      <sharedItems containsString="0" containsBlank="1" containsNumber="1" minValue="4.7619047619047619E-4" maxValue="9.75"/>
    </cacheField>
    <cacheField name="Pressure_category" numFmtId="0">
      <sharedItems containsBlank="1" count="3">
        <s v="Medium"/>
        <s v="Low"/>
        <m/>
      </sharedItems>
    </cacheField>
    <cacheField name="Risk_Score" numFmtId="0">
      <sharedItems containsString="0" containsBlank="1" containsNumber="1" minValue="0.82499999999999996" maxValue="59.084999999999994"/>
    </cacheField>
    <cacheField name="Degredation_severity" numFmtId="0">
      <sharedItems containsBlank="1"/>
    </cacheField>
  </cacheFields>
  <extLst>
    <ext xmlns:x14="http://schemas.microsoft.com/office/spreadsheetml/2009/9/main" uri="{725AE2AE-9491-48be-B2B4-4EB974FC3084}">
      <x14:pivotCacheDefinition pivotCacheId="11638510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E" refreshedDate="46051.578468402775" createdVersion="8" refreshedVersion="8" minRefreshableVersion="3" recordCount="1001" xr:uid="{00000000-000A-0000-FFFF-FFFF07000000}">
  <cacheSource type="worksheet">
    <worksheetSource ref="A1:P1002" sheet="Cleaned_Data"/>
  </cacheSource>
  <cacheFields count="16">
    <cacheField name="Pipe Size" numFmtId="0">
      <sharedItems containsString="0" containsBlank="1" containsNumber="1" containsInteger="1" minValue="50" maxValue="1500"/>
    </cacheField>
    <cacheField name="Thickness_mm" numFmtId="0">
      <sharedItems containsString="0" containsBlank="1" containsNumber="1" minValue="3" maxValue="49.53"/>
    </cacheField>
    <cacheField name="Material" numFmtId="0">
      <sharedItems containsBlank="1" count="6">
        <s v="Carbon Steel"/>
        <s v="PVC"/>
        <s v="HDPE"/>
        <s v="Fiberglass"/>
        <s v="Stainless Steel"/>
        <m/>
      </sharedItems>
    </cacheField>
    <cacheField name="Grade" numFmtId="0">
      <sharedItems containsBlank="1" count="6">
        <s v="ASTM A333 Grade 6"/>
        <s v="ASTM A106 Grade B"/>
        <s v="API 5L X52"/>
        <s v="API 5L X42"/>
        <s v="API 5L X65"/>
        <m/>
      </sharedItems>
    </cacheField>
    <cacheField name="Max_Pressure_psi" numFmtId="0">
      <sharedItems containsString="0" containsBlank="1" containsNumber="1" containsInteger="1" minValue="150" maxValue="2500"/>
    </cacheField>
    <cacheField name="Temperature_C" numFmtId="0">
      <sharedItems containsString="0" containsBlank="1" containsNumber="1" minValue="-50" maxValue="149.69999999999999"/>
    </cacheField>
    <cacheField name="Corrosion_Impact_Pct" numFmtId="0">
      <sharedItems containsString="0" containsBlank="1" containsNumber="1" minValue="0" maxValue="20"/>
    </cacheField>
    <cacheField name="Thickness_Loss_mm" numFmtId="0">
      <sharedItems containsString="0" containsBlank="1" containsNumber="1" minValue="0.01" maxValue="9.99"/>
    </cacheField>
    <cacheField name="Material_Loss_Pct" numFmtId="0">
      <sharedItems containsString="0" containsBlank="1" containsNumber="1" minValue="0.08" maxValue="318.75"/>
    </cacheField>
    <cacheField name="Time_Years" numFmtId="0">
      <sharedItems containsString="0" containsBlank="1" containsNumber="1" containsInteger="1" minValue="1" maxValue="25"/>
    </cacheField>
    <cacheField name="Condition" numFmtId="0">
      <sharedItems containsBlank="1"/>
    </cacheField>
    <cacheField name="Thickness_Check" numFmtId="0">
      <sharedItems containsBlank="1"/>
    </cacheField>
    <cacheField name="Thickness_loss_rate_mm_per_year" numFmtId="0">
      <sharedItems containsBlank="1" containsMixedTypes="1" containsNumber="1" minValue="4.7619047619047619E-4" maxValue="9.75"/>
    </cacheField>
    <cacheField name="Pressure_category" numFmtId="0">
      <sharedItems containsBlank="1"/>
    </cacheField>
    <cacheField name="Risk_Score" numFmtId="0">
      <sharedItems containsString="0" containsBlank="1" containsNumber="1" minValue="0.82499999999999996" maxValue="59.084999999999994"/>
    </cacheField>
    <cacheField name="Degredation_severity" numFmtId="0">
      <sharedItems containsBlank="1"/>
    </cacheField>
  </cacheFields>
  <extLst>
    <ext xmlns:x14="http://schemas.microsoft.com/office/spreadsheetml/2009/9/main" uri="{725AE2AE-9491-48be-B2B4-4EB974FC3084}">
      <x14:pivotCacheDefinition pivotCacheId="262794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800"/>
    <n v="15.48"/>
    <x v="0"/>
    <x v="0"/>
    <n v="300"/>
    <n v="84.9"/>
    <n v="16.04"/>
    <n v="4.91"/>
    <n v="31.72"/>
    <n v="2"/>
    <x v="0"/>
    <s v="VALID"/>
    <n v="2.4550000000000001"/>
    <x v="0"/>
    <n v="23.88"/>
    <s v="Low"/>
  </r>
  <r>
    <n v="800"/>
    <n v="22"/>
    <x v="1"/>
    <x v="1"/>
    <n v="150"/>
    <n v="14.1"/>
    <n v="7.38"/>
    <n v="7.32"/>
    <n v="33.270000000000003"/>
    <n v="4"/>
    <x v="1"/>
    <s v="VALID"/>
    <n v="1.83"/>
    <x v="1"/>
    <n v="20.325000000000003"/>
    <s v="Low"/>
  </r>
  <r>
    <n v="400"/>
    <n v="12.05"/>
    <x v="0"/>
    <x v="2"/>
    <n v="2500"/>
    <n v="0.6"/>
    <n v="2.12"/>
    <n v="6.32"/>
    <n v="52.45"/>
    <n v="7"/>
    <x v="1"/>
    <s v="VALID"/>
    <n v="0.90285714285714291"/>
    <x v="1"/>
    <n v="27.285"/>
    <s v="Low"/>
  </r>
  <r>
    <n v="1500"/>
    <n v="38.72"/>
    <x v="0"/>
    <x v="3"/>
    <n v="1500"/>
    <n v="52.7"/>
    <n v="5.58"/>
    <n v="6.2"/>
    <n v="16.010000000000002"/>
    <n v="19"/>
    <x v="1"/>
    <s v="VALID"/>
    <n v="0.32631578947368423"/>
    <x v="0"/>
    <n v="10.795000000000002"/>
    <s v="Low"/>
  </r>
  <r>
    <n v="1500"/>
    <n v="24.32"/>
    <x v="2"/>
    <x v="4"/>
    <n v="1500"/>
    <n v="11.7"/>
    <n v="12.29"/>
    <n v="8.58"/>
    <n v="35.28"/>
    <n v="20"/>
    <x v="1"/>
    <s v="VALID"/>
    <n v="0.42899999999999999"/>
    <x v="0"/>
    <n v="23.785"/>
    <s v="Low"/>
  </r>
  <r>
    <n v="600"/>
    <n v="16.75"/>
    <x v="3"/>
    <x v="2"/>
    <n v="600"/>
    <n v="67.3"/>
    <n v="2.06"/>
    <n v="5.21"/>
    <n v="31.1"/>
    <n v="11"/>
    <x v="1"/>
    <s v="VALID"/>
    <n v="0.47363636363636363"/>
    <x v="0"/>
    <n v="16.580000000000002"/>
    <s v="Low"/>
  </r>
  <r>
    <n v="200"/>
    <n v="9.94"/>
    <x v="0"/>
    <x v="1"/>
    <n v="1500"/>
    <n v="89.6"/>
    <n v="1.34"/>
    <n v="5.86"/>
    <n v="58.95"/>
    <n v="6"/>
    <x v="1"/>
    <s v="VALID"/>
    <n v="0.97666666666666668"/>
    <x v="1"/>
    <n v="30.145000000000003"/>
    <s v="Medium"/>
  </r>
  <r>
    <n v="300"/>
    <n v="13.87"/>
    <x v="0"/>
    <x v="1"/>
    <n v="900"/>
    <n v="40.799999999999997"/>
    <n v="5.57"/>
    <n v="3.02"/>
    <n v="21.77"/>
    <n v="21"/>
    <x v="0"/>
    <s v="VALID"/>
    <n v="0.1438095238095238"/>
    <x v="0"/>
    <n v="13.67"/>
    <s v="Low"/>
  </r>
  <r>
    <n v="150"/>
    <n v="8.86"/>
    <x v="3"/>
    <x v="4"/>
    <n v="300"/>
    <n v="3.2"/>
    <n v="13.84"/>
    <n v="2.4700000000000002"/>
    <n v="27.88"/>
    <n v="19"/>
    <x v="0"/>
    <s v="VALID"/>
    <n v="0.13"/>
    <x v="1"/>
    <n v="20.86"/>
    <s v="Low"/>
  </r>
  <r>
    <n v="800"/>
    <n v="25.78"/>
    <x v="4"/>
    <x v="0"/>
    <n v="150"/>
    <n v="11.6"/>
    <n v="18.68"/>
    <n v="0.53"/>
    <n v="2.06"/>
    <n v="1"/>
    <x v="2"/>
    <s v="VALID"/>
    <n v="0.53"/>
    <x v="1"/>
    <n v="10.37"/>
    <s v="Low"/>
  </r>
  <r>
    <n v="300"/>
    <n v="11.52"/>
    <x v="4"/>
    <x v="0"/>
    <n v="900"/>
    <n v="100.4"/>
    <n v="12.23"/>
    <n v="8.8000000000000007"/>
    <n v="76.39"/>
    <n v="13"/>
    <x v="1"/>
    <s v="VALID"/>
    <n v="0.67692307692307696"/>
    <x v="1"/>
    <n v="44.31"/>
    <s v="Medium"/>
  </r>
  <r>
    <n v="1000"/>
    <n v="20.58"/>
    <x v="1"/>
    <x v="4"/>
    <n v="900"/>
    <n v="67.5"/>
    <n v="14.33"/>
    <n v="7.32"/>
    <n v="35.57"/>
    <n v="6"/>
    <x v="1"/>
    <s v="VALID"/>
    <n v="1.22"/>
    <x v="1"/>
    <n v="24.95"/>
    <s v="Low"/>
  </r>
  <r>
    <n v="300"/>
    <n v="13.03"/>
    <x v="4"/>
    <x v="1"/>
    <n v="600"/>
    <n v="9.6999999999999993"/>
    <n v="14.93"/>
    <n v="0.85"/>
    <n v="6.52"/>
    <n v="6"/>
    <x v="2"/>
    <s v="VALID"/>
    <n v="0.14166666666666666"/>
    <x v="1"/>
    <n v="10.725"/>
    <s v="Low"/>
  </r>
  <r>
    <n v="150"/>
    <n v="5.19"/>
    <x v="2"/>
    <x v="0"/>
    <n v="300"/>
    <n v="43.6"/>
    <n v="16.02"/>
    <n v="6.12"/>
    <n v="117.92"/>
    <n v="13"/>
    <x v="1"/>
    <s v="INVALID"/>
    <n v="0.47076923076923077"/>
    <x v="2"/>
    <m/>
    <m/>
  </r>
  <r>
    <n v="300"/>
    <n v="15.48"/>
    <x v="0"/>
    <x v="3"/>
    <n v="600"/>
    <n v="63.4"/>
    <n v="13.65"/>
    <n v="9.2100000000000009"/>
    <n v="59.5"/>
    <n v="7"/>
    <x v="1"/>
    <s v="VALID"/>
    <n v="1.3157142857142858"/>
    <x v="1"/>
    <n v="36.575000000000003"/>
    <s v="Medium"/>
  </r>
  <r>
    <n v="100"/>
    <n v="6"/>
    <x v="3"/>
    <x v="4"/>
    <n v="1500"/>
    <n v="60.1"/>
    <n v="18.79"/>
    <n v="7.01"/>
    <n v="116.83"/>
    <n v="21"/>
    <x v="1"/>
    <s v="INVALID"/>
    <n v="0.33380952380952378"/>
    <x v="2"/>
    <m/>
    <m/>
  </r>
  <r>
    <n v="600"/>
    <n v="10.56"/>
    <x v="4"/>
    <x v="1"/>
    <n v="1500"/>
    <n v="145.1"/>
    <n v="11.2"/>
    <n v="1.61"/>
    <n v="15.25"/>
    <n v="8"/>
    <x v="2"/>
    <s v="VALID"/>
    <n v="0.20125000000000001"/>
    <x v="0"/>
    <n v="13.225"/>
    <s v="Low"/>
  </r>
  <r>
    <n v="300"/>
    <n v="10.87"/>
    <x v="1"/>
    <x v="0"/>
    <n v="900"/>
    <n v="63.9"/>
    <n v="10.99"/>
    <n v="0.04"/>
    <n v="0.37"/>
    <n v="18"/>
    <x v="2"/>
    <s v="VALID"/>
    <n v="2.2222222222222222E-3"/>
    <x v="0"/>
    <n v="5.68"/>
    <s v="Low"/>
  </r>
  <r>
    <n v="100"/>
    <n v="7.21"/>
    <x v="1"/>
    <x v="1"/>
    <n v="600"/>
    <n v="13.6"/>
    <n v="4.51"/>
    <n v="3.16"/>
    <n v="43.83"/>
    <n v="22"/>
    <x v="0"/>
    <s v="VALID"/>
    <n v="0.14363636363636365"/>
    <x v="1"/>
    <n v="24.169999999999998"/>
    <s v="Low"/>
  </r>
  <r>
    <n v="100"/>
    <n v="5.49"/>
    <x v="0"/>
    <x v="3"/>
    <n v="900"/>
    <n v="52.6"/>
    <n v="16.25"/>
    <n v="4.2300000000000004"/>
    <n v="77.05"/>
    <n v="13"/>
    <x v="0"/>
    <s v="VALID"/>
    <n v="0.32538461538461544"/>
    <x v="1"/>
    <n v="46.65"/>
    <s v="Medium"/>
  </r>
  <r>
    <n v="300"/>
    <n v="11.14"/>
    <x v="4"/>
    <x v="1"/>
    <n v="900"/>
    <n v="33"/>
    <n v="16.23"/>
    <n v="9.67"/>
    <n v="86.8"/>
    <n v="24"/>
    <x v="1"/>
    <s v="VALID"/>
    <n v="0.40291666666666665"/>
    <x v="1"/>
    <n v="51.515000000000001"/>
    <s v="Medium"/>
  </r>
  <r>
    <n v="100"/>
    <n v="5.68"/>
    <x v="0"/>
    <x v="1"/>
    <n v="1500"/>
    <n v="45.3"/>
    <n v="12.17"/>
    <n v="7.59"/>
    <n v="133.63"/>
    <n v="10"/>
    <x v="1"/>
    <s v="INVALID"/>
    <m/>
    <x v="2"/>
    <m/>
    <m/>
  </r>
  <r>
    <n v="1000"/>
    <n v="32.89"/>
    <x v="4"/>
    <x v="0"/>
    <n v="600"/>
    <n v="56.9"/>
    <n v="4.01"/>
    <n v="0.84"/>
    <n v="2.5499999999999998"/>
    <n v="7"/>
    <x v="2"/>
    <s v="VALID"/>
    <n v="0.12"/>
    <x v="0"/>
    <n v="3.28"/>
    <s v="Low"/>
  </r>
  <r>
    <n v="250"/>
    <n v="12.89"/>
    <x v="0"/>
    <x v="1"/>
    <n v="300"/>
    <n v="145.6"/>
    <n v="2.4500000000000002"/>
    <n v="4.1900000000000004"/>
    <n v="32.51"/>
    <n v="16"/>
    <x v="0"/>
    <s v="VALID"/>
    <n v="0.26187500000000002"/>
    <x v="1"/>
    <n v="17.48"/>
    <s v="Low"/>
  </r>
  <r>
    <n v="1000"/>
    <n v="32.869999999999997"/>
    <x v="4"/>
    <x v="0"/>
    <n v="600"/>
    <n v="21.6"/>
    <n v="17.260000000000002"/>
    <n v="8.39"/>
    <n v="25.52"/>
    <n v="3"/>
    <x v="1"/>
    <s v="VALID"/>
    <n v="2.7966666666666669"/>
    <x v="1"/>
    <n v="21.39"/>
    <s v="Low"/>
  </r>
  <r>
    <n v="1500"/>
    <n v="28.73"/>
    <x v="2"/>
    <x v="1"/>
    <n v="300"/>
    <n v="117.3"/>
    <n v="4.55"/>
    <n v="1.97"/>
    <n v="6.86"/>
    <n v="12"/>
    <x v="2"/>
    <s v="VALID"/>
    <n v="0.16416666666666666"/>
    <x v="1"/>
    <n v="5.7050000000000001"/>
    <s v="Low"/>
  </r>
  <r>
    <n v="100"/>
    <n v="4.62"/>
    <x v="2"/>
    <x v="3"/>
    <n v="1500"/>
    <n v="52.5"/>
    <n v="16.62"/>
    <n v="1.79"/>
    <n v="38.74"/>
    <n v="3"/>
    <x v="2"/>
    <s v="VALID"/>
    <n v="0.59666666666666668"/>
    <x v="1"/>
    <n v="27.68"/>
    <s v="Low"/>
  </r>
  <r>
    <n v="150"/>
    <n v="6.81"/>
    <x v="3"/>
    <x v="4"/>
    <n v="1500"/>
    <n v="62.4"/>
    <n v="16.100000000000001"/>
    <n v="5.52"/>
    <n v="81.06"/>
    <n v="4"/>
    <x v="1"/>
    <s v="VALID"/>
    <n v="1.38"/>
    <x v="0"/>
    <n v="48.58"/>
    <s v="Medium"/>
  </r>
  <r>
    <n v="1500"/>
    <n v="30.19"/>
    <x v="4"/>
    <x v="1"/>
    <n v="150"/>
    <n v="109"/>
    <n v="13"/>
    <n v="0.22"/>
    <n v="0.73"/>
    <n v="14"/>
    <x v="2"/>
    <s v="VALID"/>
    <n v="1.5714285714285715E-2"/>
    <x v="0"/>
    <n v="6.8650000000000002"/>
    <s v="Low"/>
  </r>
  <r>
    <n v="1000"/>
    <n v="24.79"/>
    <x v="2"/>
    <x v="0"/>
    <n v="1500"/>
    <n v="4.7"/>
    <n v="4.6500000000000004"/>
    <n v="4.76"/>
    <n v="19.2"/>
    <n v="17"/>
    <x v="0"/>
    <s v="VALID"/>
    <n v="0.27999999999999997"/>
    <x v="1"/>
    <n v="11.925000000000001"/>
    <s v="Low"/>
  </r>
  <r>
    <n v="250"/>
    <n v="7.16"/>
    <x v="2"/>
    <x v="3"/>
    <n v="2500"/>
    <n v="-23.1"/>
    <n v="10.24"/>
    <n v="4.96"/>
    <n v="69.27"/>
    <n v="14"/>
    <x v="0"/>
    <s v="VALID"/>
    <n v="0.35428571428571426"/>
    <x v="0"/>
    <n v="39.754999999999995"/>
    <s v="Medium"/>
  </r>
  <r>
    <n v="150"/>
    <n v="5.97"/>
    <x v="1"/>
    <x v="1"/>
    <n v="150"/>
    <n v="35.4"/>
    <n v="14.28"/>
    <n v="0.2"/>
    <n v="3.35"/>
    <n v="24"/>
    <x v="2"/>
    <s v="VALID"/>
    <n v="8.3333333333333332E-3"/>
    <x v="0"/>
    <n v="8.8149999999999995"/>
    <s v="Low"/>
  </r>
  <r>
    <n v="250"/>
    <n v="13.7"/>
    <x v="0"/>
    <x v="4"/>
    <n v="2500"/>
    <n v="18.3"/>
    <n v="0.28000000000000003"/>
    <n v="5.94"/>
    <n v="43.36"/>
    <n v="13"/>
    <x v="1"/>
    <s v="VALID"/>
    <n v="0.45692307692307693"/>
    <x v="1"/>
    <n v="21.82"/>
    <s v="Low"/>
  </r>
  <r>
    <n v="300"/>
    <n v="9.65"/>
    <x v="0"/>
    <x v="3"/>
    <n v="900"/>
    <n v="58.2"/>
    <n v="16.16"/>
    <n v="5.04"/>
    <n v="52.23"/>
    <n v="19"/>
    <x v="1"/>
    <s v="VALID"/>
    <n v="0.26526315789473687"/>
    <x v="0"/>
    <n v="34.195"/>
    <s v="Medium"/>
  </r>
  <r>
    <n v="50"/>
    <n v="4.55"/>
    <x v="1"/>
    <x v="0"/>
    <n v="600"/>
    <n v="51.7"/>
    <n v="14.89"/>
    <n v="8.91"/>
    <n v="195.82"/>
    <n v="1"/>
    <x v="1"/>
    <s v="INVALID"/>
    <n v="8.91"/>
    <x v="2"/>
    <m/>
    <m/>
  </r>
  <r>
    <n v="50"/>
    <n v="4.05"/>
    <x v="1"/>
    <x v="0"/>
    <n v="150"/>
    <n v="63"/>
    <n v="16.940000000000001"/>
    <n v="9.5299999999999994"/>
    <n v="235.31"/>
    <n v="1"/>
    <x v="1"/>
    <s v="INVALID"/>
    <n v="9.5299999999999994"/>
    <x v="2"/>
    <m/>
    <m/>
  </r>
  <r>
    <n v="50"/>
    <n v="4.1100000000000003"/>
    <x v="3"/>
    <x v="4"/>
    <n v="150"/>
    <n v="44.5"/>
    <n v="7.24"/>
    <n v="3.39"/>
    <n v="82.48"/>
    <n v="15"/>
    <x v="0"/>
    <s v="VALID"/>
    <n v="0.22600000000000001"/>
    <x v="1"/>
    <n v="44.86"/>
    <s v="Medium"/>
  </r>
  <r>
    <n v="150"/>
    <n v="8.15"/>
    <x v="1"/>
    <x v="1"/>
    <n v="150"/>
    <n v="-23.9"/>
    <n v="2.62"/>
    <n v="0.2"/>
    <n v="2.4500000000000002"/>
    <n v="5"/>
    <x v="2"/>
    <s v="VALID"/>
    <n v="0.04"/>
    <x v="1"/>
    <n v="2.5350000000000001"/>
    <s v="Low"/>
  </r>
  <r>
    <n v="1000"/>
    <n v="17.260000000000002"/>
    <x v="3"/>
    <x v="0"/>
    <n v="1500"/>
    <n v="-8"/>
    <n v="1.79"/>
    <n v="5.56"/>
    <n v="32.21"/>
    <n v="9"/>
    <x v="1"/>
    <s v="VALID"/>
    <n v="0.61777777777777776"/>
    <x v="1"/>
    <n v="17"/>
    <s v="Low"/>
  </r>
  <r>
    <n v="250"/>
    <n v="7.17"/>
    <x v="3"/>
    <x v="0"/>
    <n v="150"/>
    <n v="84.7"/>
    <n v="16.86"/>
    <n v="2.91"/>
    <n v="40.590000000000003"/>
    <n v="14"/>
    <x v="0"/>
    <s v="VALID"/>
    <n v="0.20785714285714288"/>
    <x v="0"/>
    <n v="28.725000000000001"/>
    <s v="Low"/>
  </r>
  <r>
    <n v="1200"/>
    <n v="24.53"/>
    <x v="3"/>
    <x v="0"/>
    <n v="600"/>
    <n v="62.4"/>
    <n v="16.22"/>
    <n v="4.93"/>
    <n v="20.100000000000001"/>
    <n v="10"/>
    <x v="0"/>
    <s v="VALID"/>
    <n v="0.49299999999999999"/>
    <x v="1"/>
    <n v="18.16"/>
    <s v="Low"/>
  </r>
  <r>
    <n v="600"/>
    <n v="17.32"/>
    <x v="0"/>
    <x v="4"/>
    <n v="150"/>
    <n v="59.8"/>
    <n v="0.84"/>
    <n v="7.74"/>
    <n v="44.69"/>
    <n v="1"/>
    <x v="1"/>
    <s v="VALID"/>
    <n v="7.74"/>
    <x v="1"/>
    <n v="22.765000000000001"/>
    <s v="Low"/>
  </r>
  <r>
    <n v="1000"/>
    <n v="30.64"/>
    <x v="0"/>
    <x v="1"/>
    <n v="2500"/>
    <n v="148.69999999999999"/>
    <n v="3.25"/>
    <n v="1.06"/>
    <n v="3.46"/>
    <n v="11"/>
    <x v="2"/>
    <s v="VALID"/>
    <n v="9.6363636363636374E-2"/>
    <x v="1"/>
    <n v="3.355"/>
    <s v="Low"/>
  </r>
  <r>
    <n v="100"/>
    <n v="5.96"/>
    <x v="4"/>
    <x v="1"/>
    <n v="150"/>
    <n v="116.7"/>
    <n v="2.42"/>
    <n v="0.45"/>
    <n v="7.55"/>
    <n v="23"/>
    <x v="2"/>
    <s v="VALID"/>
    <n v="1.9565217391304349E-2"/>
    <x v="0"/>
    <n v="4.9849999999999994"/>
    <s v="Low"/>
  </r>
  <r>
    <n v="400"/>
    <n v="12.67"/>
    <x v="0"/>
    <x v="3"/>
    <n v="150"/>
    <n v="0.1"/>
    <n v="17.04"/>
    <n v="0.37"/>
    <n v="2.92"/>
    <n v="5"/>
    <x v="2"/>
    <s v="VALID"/>
    <n v="7.3999999999999996E-2"/>
    <x v="1"/>
    <n v="9.98"/>
    <s v="Low"/>
  </r>
  <r>
    <n v="800"/>
    <n v="21.57"/>
    <x v="0"/>
    <x v="0"/>
    <n v="150"/>
    <n v="-4.3"/>
    <n v="10.97"/>
    <n v="6.17"/>
    <n v="28.6"/>
    <n v="9"/>
    <x v="1"/>
    <s v="VALID"/>
    <n v="0.68555555555555558"/>
    <x v="1"/>
    <n v="19.785"/>
    <s v="Low"/>
  </r>
  <r>
    <n v="50"/>
    <n v="3.6"/>
    <x v="3"/>
    <x v="3"/>
    <n v="2500"/>
    <n v="20.2"/>
    <n v="15.29"/>
    <n v="7.69"/>
    <n v="213.61"/>
    <n v="2"/>
    <x v="1"/>
    <s v="INVALID"/>
    <n v="3.8450000000000002"/>
    <x v="2"/>
    <m/>
    <m/>
  </r>
  <r>
    <n v="1500"/>
    <n v="21.15"/>
    <x v="1"/>
    <x v="4"/>
    <n v="600"/>
    <n v="109.7"/>
    <n v="18.84"/>
    <n v="0.93"/>
    <n v="4.4000000000000004"/>
    <n v="1"/>
    <x v="2"/>
    <s v="VALID"/>
    <n v="0.93"/>
    <x v="0"/>
    <n v="11.620000000000001"/>
    <s v="Low"/>
  </r>
  <r>
    <n v="800"/>
    <n v="29.98"/>
    <x v="1"/>
    <x v="2"/>
    <n v="1500"/>
    <n v="9.8000000000000007"/>
    <n v="14.24"/>
    <n v="1.84"/>
    <n v="6.14"/>
    <n v="5"/>
    <x v="2"/>
    <s v="VALID"/>
    <n v="0.36799999999999999"/>
    <x v="1"/>
    <n v="10.19"/>
    <s v="Low"/>
  </r>
  <r>
    <n v="800"/>
    <n v="28.85"/>
    <x v="4"/>
    <x v="4"/>
    <n v="2500"/>
    <n v="57.3"/>
    <n v="6.62"/>
    <n v="9.51"/>
    <n v="32.96"/>
    <n v="19"/>
    <x v="1"/>
    <s v="VALID"/>
    <n v="0.50052631578947371"/>
    <x v="0"/>
    <n v="19.79"/>
    <s v="Low"/>
  </r>
  <r>
    <n v="600"/>
    <n v="12.82"/>
    <x v="2"/>
    <x v="0"/>
    <n v="300"/>
    <n v="54.9"/>
    <n v="2.95"/>
    <n v="9.19"/>
    <n v="71.680000000000007"/>
    <n v="15"/>
    <x v="1"/>
    <s v="VALID"/>
    <n v="0.61266666666666658"/>
    <x v="0"/>
    <n v="37.315000000000005"/>
    <s v="Medium"/>
  </r>
  <r>
    <n v="150"/>
    <n v="6.12"/>
    <x v="0"/>
    <x v="2"/>
    <n v="1500"/>
    <n v="42.6"/>
    <n v="12.29"/>
    <n v="6.31"/>
    <n v="103.1"/>
    <n v="17"/>
    <x v="1"/>
    <s v="INVALID"/>
    <n v="0.37117647058823527"/>
    <x v="2"/>
    <m/>
    <m/>
  </r>
  <r>
    <n v="1500"/>
    <n v="34.369999999999997"/>
    <x v="0"/>
    <x v="3"/>
    <n v="900"/>
    <n v="64.900000000000006"/>
    <n v="17.54"/>
    <n v="0.83"/>
    <n v="2.41"/>
    <n v="25"/>
    <x v="2"/>
    <s v="VALID"/>
    <n v="3.32E-2"/>
    <x v="0"/>
    <n v="9.9749999999999996"/>
    <s v="Low"/>
  </r>
  <r>
    <n v="100"/>
    <n v="6.71"/>
    <x v="3"/>
    <x v="4"/>
    <n v="300"/>
    <n v="28.6"/>
    <n v="12.61"/>
    <n v="0.59"/>
    <n v="8.7899999999999991"/>
    <n v="19"/>
    <x v="2"/>
    <s v="VALID"/>
    <n v="3.1052631578947366E-2"/>
    <x v="1"/>
    <n v="10.7"/>
    <s v="Low"/>
  </r>
  <r>
    <n v="800"/>
    <n v="18.86"/>
    <x v="3"/>
    <x v="3"/>
    <n v="900"/>
    <n v="16.899999999999999"/>
    <n v="12.16"/>
    <n v="3.96"/>
    <n v="21"/>
    <n v="11"/>
    <x v="0"/>
    <s v="VALID"/>
    <n v="0.36"/>
    <x v="1"/>
    <n v="16.579999999999998"/>
    <s v="Low"/>
  </r>
  <r>
    <n v="250"/>
    <n v="12.79"/>
    <x v="3"/>
    <x v="1"/>
    <n v="2500"/>
    <n v="16.8"/>
    <n v="18.350000000000001"/>
    <n v="0.02"/>
    <n v="0.16"/>
    <n v="21"/>
    <x v="2"/>
    <s v="VALID"/>
    <n v="9.5238095238095238E-4"/>
    <x v="1"/>
    <n v="9.2550000000000008"/>
    <s v="Low"/>
  </r>
  <r>
    <n v="1200"/>
    <n v="24.48"/>
    <x v="2"/>
    <x v="0"/>
    <n v="900"/>
    <n v="30.8"/>
    <n v="4.34"/>
    <n v="6.35"/>
    <n v="25.94"/>
    <n v="1"/>
    <x v="1"/>
    <s v="VALID"/>
    <n v="6.35"/>
    <x v="0"/>
    <n v="15.14"/>
    <s v="Low"/>
  </r>
  <r>
    <n v="50"/>
    <n v="5.73"/>
    <x v="2"/>
    <x v="0"/>
    <n v="1500"/>
    <n v="136.80000000000001"/>
    <n v="16.739999999999998"/>
    <n v="3.89"/>
    <n v="67.89"/>
    <n v="4"/>
    <x v="0"/>
    <s v="VALID"/>
    <n v="0.97250000000000003"/>
    <x v="1"/>
    <n v="42.314999999999998"/>
    <s v="Medium"/>
  </r>
  <r>
    <n v="600"/>
    <n v="28.18"/>
    <x v="0"/>
    <x v="2"/>
    <n v="1500"/>
    <n v="-28.3"/>
    <n v="0.69"/>
    <n v="1.67"/>
    <n v="5.93"/>
    <n v="1"/>
    <x v="2"/>
    <s v="VALID"/>
    <n v="1.67"/>
    <x v="0"/>
    <n v="3.3099999999999996"/>
    <s v="Low"/>
  </r>
  <r>
    <n v="1500"/>
    <n v="36.909999999999997"/>
    <x v="1"/>
    <x v="4"/>
    <n v="2500"/>
    <n v="77.7"/>
    <n v="18.28"/>
    <n v="9.5299999999999994"/>
    <n v="25.82"/>
    <n v="9"/>
    <x v="1"/>
    <s v="VALID"/>
    <n v="1.0588888888888888"/>
    <x v="0"/>
    <n v="22.05"/>
    <s v="Low"/>
  </r>
  <r>
    <n v="600"/>
    <n v="10.56"/>
    <x v="2"/>
    <x v="2"/>
    <n v="150"/>
    <n v="58.6"/>
    <n v="0.2"/>
    <n v="6.37"/>
    <n v="60.32"/>
    <n v="13"/>
    <x v="1"/>
    <s v="VALID"/>
    <n v="0.49"/>
    <x v="0"/>
    <n v="30.26"/>
    <s v="Medium"/>
  </r>
  <r>
    <n v="500"/>
    <n v="24.81"/>
    <x v="1"/>
    <x v="0"/>
    <n v="300"/>
    <n v="8.8000000000000007"/>
    <n v="5.78"/>
    <n v="0.87"/>
    <n v="3.51"/>
    <n v="19"/>
    <x v="2"/>
    <s v="VALID"/>
    <n v="4.5789473684210526E-2"/>
    <x v="1"/>
    <n v="4.6449999999999996"/>
    <s v="Low"/>
  </r>
  <r>
    <n v="800"/>
    <n v="19.87"/>
    <x v="4"/>
    <x v="1"/>
    <n v="600"/>
    <n v="20.3"/>
    <n v="7.6"/>
    <n v="4.6500000000000004"/>
    <n v="23.4"/>
    <n v="7"/>
    <x v="0"/>
    <s v="VALID"/>
    <n v="0.66428571428571437"/>
    <x v="1"/>
    <n v="15.5"/>
    <s v="Low"/>
  </r>
  <r>
    <n v="1000"/>
    <n v="31.7"/>
    <x v="0"/>
    <x v="2"/>
    <n v="600"/>
    <n v="38.799999999999997"/>
    <n v="0.09"/>
    <n v="4.0999999999999996"/>
    <n v="12.93"/>
    <n v="11"/>
    <x v="0"/>
    <s v="VALID"/>
    <n v="0.37272727272727268"/>
    <x v="1"/>
    <n v="6.51"/>
    <s v="Low"/>
  </r>
  <r>
    <n v="300"/>
    <n v="14.23"/>
    <x v="2"/>
    <x v="1"/>
    <n v="900"/>
    <n v="77.8"/>
    <n v="16.27"/>
    <n v="1.51"/>
    <n v="10.61"/>
    <n v="14"/>
    <x v="2"/>
    <s v="VALID"/>
    <n v="0.10785714285714286"/>
    <x v="1"/>
    <n v="13.44"/>
    <s v="Low"/>
  </r>
  <r>
    <n v="600"/>
    <n v="28.35"/>
    <x v="4"/>
    <x v="1"/>
    <n v="150"/>
    <n v="37.4"/>
    <n v="14.36"/>
    <n v="9.06"/>
    <n v="31.96"/>
    <n v="2"/>
    <x v="1"/>
    <s v="VALID"/>
    <n v="4.53"/>
    <x v="1"/>
    <n v="23.16"/>
    <s v="Low"/>
  </r>
  <r>
    <n v="1000"/>
    <n v="33.18"/>
    <x v="1"/>
    <x v="2"/>
    <n v="2500"/>
    <n v="51.3"/>
    <n v="9.27"/>
    <n v="3.64"/>
    <n v="10.97"/>
    <n v="25"/>
    <x v="0"/>
    <s v="VALID"/>
    <n v="0.14560000000000001"/>
    <x v="1"/>
    <n v="10.120000000000001"/>
    <s v="Low"/>
  </r>
  <r>
    <n v="400"/>
    <n v="13.52"/>
    <x v="2"/>
    <x v="4"/>
    <n v="900"/>
    <n v="87.1"/>
    <n v="4.63"/>
    <n v="0.36"/>
    <n v="2.66"/>
    <n v="5"/>
    <x v="2"/>
    <s v="VALID"/>
    <n v="7.1999999999999995E-2"/>
    <x v="0"/>
    <n v="3.645"/>
    <s v="Low"/>
  </r>
  <r>
    <n v="300"/>
    <n v="17.13"/>
    <x v="1"/>
    <x v="4"/>
    <n v="150"/>
    <n v="77.400000000000006"/>
    <n v="5.6"/>
    <n v="6.28"/>
    <n v="36.659999999999997"/>
    <n v="9"/>
    <x v="1"/>
    <s v="VALID"/>
    <n v="0.69777777777777783"/>
    <x v="1"/>
    <n v="21.13"/>
    <s v="Low"/>
  </r>
  <r>
    <n v="100"/>
    <n v="4.43"/>
    <x v="3"/>
    <x v="3"/>
    <n v="150"/>
    <n v="-38.9"/>
    <n v="17.62"/>
    <n v="5.55"/>
    <n v="125.28"/>
    <n v="5"/>
    <x v="1"/>
    <s v="INVALID"/>
    <n v="1.1099999999999999"/>
    <x v="2"/>
    <m/>
    <m/>
  </r>
  <r>
    <n v="500"/>
    <n v="22"/>
    <x v="3"/>
    <x v="4"/>
    <n v="900"/>
    <n v="28.7"/>
    <n v="10.3"/>
    <n v="0.18"/>
    <n v="0.82"/>
    <n v="16"/>
    <x v="2"/>
    <s v="VALID"/>
    <n v="1.125E-2"/>
    <x v="1"/>
    <n v="5.5600000000000005"/>
    <s v="Low"/>
  </r>
  <r>
    <n v="50"/>
    <n v="4.71"/>
    <x v="3"/>
    <x v="1"/>
    <n v="300"/>
    <n v="29.2"/>
    <n v="2.9"/>
    <n v="9.9700000000000006"/>
    <n v="211.68"/>
    <n v="13"/>
    <x v="1"/>
    <s v="INVALID"/>
    <n v="0.76692307692307693"/>
    <x v="2"/>
    <m/>
    <m/>
  </r>
  <r>
    <n v="50"/>
    <n v="5.89"/>
    <x v="0"/>
    <x v="0"/>
    <n v="1500"/>
    <n v="-12.3"/>
    <n v="12.98"/>
    <n v="4.68"/>
    <n v="79.459999999999994"/>
    <n v="21"/>
    <x v="0"/>
    <s v="VALID"/>
    <n v="0.22285714285714284"/>
    <x v="1"/>
    <n v="46.22"/>
    <s v="Medium"/>
  </r>
  <r>
    <n v="150"/>
    <n v="6.26"/>
    <x v="1"/>
    <x v="0"/>
    <n v="150"/>
    <n v="61.2"/>
    <n v="4.6500000000000004"/>
    <n v="5.72"/>
    <n v="91.37"/>
    <n v="23"/>
    <x v="1"/>
    <s v="VALID"/>
    <n v="0.24869565217391304"/>
    <x v="0"/>
    <n v="48.010000000000005"/>
    <s v="Medium"/>
  </r>
  <r>
    <n v="300"/>
    <n v="8.07"/>
    <x v="3"/>
    <x v="2"/>
    <n v="600"/>
    <n v="-19"/>
    <n v="4.41"/>
    <n v="3.18"/>
    <n v="39.409999999999997"/>
    <n v="6"/>
    <x v="0"/>
    <s v="VALID"/>
    <n v="0.53"/>
    <x v="1"/>
    <n v="21.909999999999997"/>
    <s v="Low"/>
  </r>
  <r>
    <n v="300"/>
    <n v="16.309999999999999"/>
    <x v="0"/>
    <x v="0"/>
    <n v="2500"/>
    <n v="-37.4"/>
    <n v="4.32"/>
    <n v="5.54"/>
    <n v="33.97"/>
    <n v="25"/>
    <x v="1"/>
    <s v="VALID"/>
    <n v="0.22159999999999999"/>
    <x v="1"/>
    <n v="19.145"/>
    <s v="Low"/>
  </r>
  <r>
    <n v="300"/>
    <n v="14.96"/>
    <x v="0"/>
    <x v="2"/>
    <n v="2500"/>
    <n v="27.6"/>
    <n v="14.19"/>
    <n v="0.63"/>
    <n v="4.21"/>
    <n v="2"/>
    <x v="2"/>
    <s v="VALID"/>
    <n v="0.315"/>
    <x v="0"/>
    <n v="9.1999999999999993"/>
    <s v="Low"/>
  </r>
  <r>
    <n v="300"/>
    <n v="9.27"/>
    <x v="2"/>
    <x v="0"/>
    <n v="1500"/>
    <n v="30.6"/>
    <n v="16.91"/>
    <n v="0.33"/>
    <n v="3.56"/>
    <n v="12"/>
    <x v="2"/>
    <s v="VALID"/>
    <n v="2.75E-2"/>
    <x v="0"/>
    <n v="10.234999999999999"/>
    <s v="Low"/>
  </r>
  <r>
    <n v="500"/>
    <n v="14.33"/>
    <x v="2"/>
    <x v="0"/>
    <n v="300"/>
    <n v="39.9"/>
    <n v="10.63"/>
    <n v="0.23"/>
    <n v="1.61"/>
    <n v="9"/>
    <x v="2"/>
    <s v="VALID"/>
    <n v="2.5555555555555557E-2"/>
    <x v="0"/>
    <n v="6.12"/>
    <s v="Low"/>
  </r>
  <r>
    <n v="250"/>
    <n v="6.79"/>
    <x v="4"/>
    <x v="1"/>
    <n v="1500"/>
    <n v="79.5"/>
    <n v="3.85"/>
    <n v="3.79"/>
    <n v="55.82"/>
    <n v="22"/>
    <x v="0"/>
    <s v="VALID"/>
    <n v="0.17227272727272727"/>
    <x v="1"/>
    <n v="29.835000000000001"/>
    <s v="Low"/>
  </r>
  <r>
    <n v="50"/>
    <n v="4.96"/>
    <x v="2"/>
    <x v="3"/>
    <n v="2500"/>
    <n v="35.6"/>
    <n v="13.87"/>
    <n v="7.04"/>
    <n v="141.94"/>
    <n v="2"/>
    <x v="1"/>
    <s v="INVALID"/>
    <m/>
    <x v="2"/>
    <m/>
    <m/>
  </r>
  <r>
    <n v="250"/>
    <n v="12.43"/>
    <x v="3"/>
    <x v="0"/>
    <n v="1500"/>
    <n v="-31.1"/>
    <n v="4.2300000000000004"/>
    <n v="2.92"/>
    <n v="23.49"/>
    <n v="14"/>
    <x v="0"/>
    <s v="VALID"/>
    <n v="0.20857142857142857"/>
    <x v="0"/>
    <n v="13.86"/>
    <s v="Low"/>
  </r>
  <r>
    <n v="500"/>
    <n v="13.73"/>
    <x v="3"/>
    <x v="1"/>
    <n v="2500"/>
    <n v="72.900000000000006"/>
    <n v="13.47"/>
    <n v="8.6"/>
    <n v="62.64"/>
    <n v="9"/>
    <x v="1"/>
    <s v="VALID"/>
    <n v="0.95555555555555549"/>
    <x v="0"/>
    <n v="38.055"/>
    <s v="Medium"/>
  </r>
  <r>
    <n v="100"/>
    <n v="4.03"/>
    <x v="1"/>
    <x v="1"/>
    <n v="2500"/>
    <n v="70"/>
    <n v="3.71"/>
    <n v="0.59"/>
    <n v="14.64"/>
    <n v="8"/>
    <x v="2"/>
    <s v="VALID"/>
    <n v="7.3749999999999996E-2"/>
    <x v="0"/>
    <n v="9.1750000000000007"/>
    <s v="Low"/>
  </r>
  <r>
    <n v="500"/>
    <n v="24.1"/>
    <x v="3"/>
    <x v="0"/>
    <n v="900"/>
    <n v="2.1"/>
    <n v="18.059999999999999"/>
    <n v="0.47"/>
    <n v="1.95"/>
    <n v="22"/>
    <x v="2"/>
    <s v="VALID"/>
    <n v="2.1363636363636362E-2"/>
    <x v="0"/>
    <n v="10.004999999999999"/>
    <s v="Low"/>
  </r>
  <r>
    <n v="100"/>
    <n v="7.55"/>
    <x v="3"/>
    <x v="1"/>
    <n v="1500"/>
    <n v="109.9"/>
    <n v="7.63"/>
    <n v="7.12"/>
    <n v="94.3"/>
    <n v="10"/>
    <x v="1"/>
    <s v="VALID"/>
    <n v="0.71199999999999997"/>
    <x v="1"/>
    <n v="50.964999999999996"/>
    <s v="Medium"/>
  </r>
  <r>
    <n v="1200"/>
    <n v="31.11"/>
    <x v="0"/>
    <x v="0"/>
    <n v="2500"/>
    <n v="22.7"/>
    <n v="15.45"/>
    <n v="8.01"/>
    <n v="25.75"/>
    <n v="10"/>
    <x v="1"/>
    <s v="VALID"/>
    <n v="0.80099999999999993"/>
    <x v="0"/>
    <n v="20.6"/>
    <s v="Low"/>
  </r>
  <r>
    <n v="400"/>
    <n v="14.91"/>
    <x v="4"/>
    <x v="3"/>
    <n v="2500"/>
    <n v="0.1"/>
    <n v="10.44"/>
    <n v="8.8000000000000007"/>
    <n v="59.02"/>
    <n v="22"/>
    <x v="1"/>
    <s v="VALID"/>
    <n v="0.4"/>
    <x v="0"/>
    <n v="34.730000000000004"/>
    <s v="Medium"/>
  </r>
  <r>
    <n v="1200"/>
    <n v="27.92"/>
    <x v="2"/>
    <x v="0"/>
    <n v="1500"/>
    <n v="60.3"/>
    <n v="10"/>
    <n v="8.0399999999999991"/>
    <n v="28.8"/>
    <n v="7"/>
    <x v="1"/>
    <s v="VALID"/>
    <n v="1.1485714285714284"/>
    <x v="0"/>
    <n v="19.399999999999999"/>
    <s v="Low"/>
  </r>
  <r>
    <n v="1000"/>
    <n v="20.11"/>
    <x v="0"/>
    <x v="0"/>
    <n v="900"/>
    <n v="53.7"/>
    <n v="10.5"/>
    <n v="3.18"/>
    <n v="15.81"/>
    <n v="13"/>
    <x v="0"/>
    <s v="VALID"/>
    <n v="0.24461538461538462"/>
    <x v="0"/>
    <n v="13.155000000000001"/>
    <s v="Low"/>
  </r>
  <r>
    <n v="200"/>
    <n v="6.69"/>
    <x v="0"/>
    <x v="3"/>
    <n v="2500"/>
    <n v="129.80000000000001"/>
    <n v="9.16"/>
    <n v="6.56"/>
    <n v="98.06"/>
    <n v="7"/>
    <x v="1"/>
    <s v="VALID"/>
    <n v="0.93714285714285706"/>
    <x v="1"/>
    <n v="53.61"/>
    <s v="Medium"/>
  </r>
  <r>
    <n v="300"/>
    <n v="11.47"/>
    <x v="3"/>
    <x v="0"/>
    <n v="900"/>
    <n v="137.9"/>
    <n v="6.96"/>
    <n v="5.22"/>
    <n v="45.51"/>
    <n v="14"/>
    <x v="1"/>
    <s v="VALID"/>
    <n v="0.37285714285714283"/>
    <x v="0"/>
    <n v="26.234999999999999"/>
    <s v="Low"/>
  </r>
  <r>
    <n v="1500"/>
    <n v="28.64"/>
    <x v="4"/>
    <x v="2"/>
    <n v="2500"/>
    <n v="-24.8"/>
    <n v="2.35"/>
    <n v="2.39"/>
    <n v="8.34"/>
    <n v="10"/>
    <x v="0"/>
    <s v="VALID"/>
    <n v="0.23900000000000002"/>
    <x v="1"/>
    <n v="5.3449999999999998"/>
    <s v="Low"/>
  </r>
  <r>
    <n v="800"/>
    <n v="19.010000000000002"/>
    <x v="1"/>
    <x v="4"/>
    <n v="1500"/>
    <n v="41.1"/>
    <n v="8.52"/>
    <n v="5.25"/>
    <n v="27.62"/>
    <n v="17"/>
    <x v="1"/>
    <s v="VALID"/>
    <n v="0.30882352941176472"/>
    <x v="0"/>
    <n v="18.07"/>
    <s v="Low"/>
  </r>
  <r>
    <n v="150"/>
    <n v="5.34"/>
    <x v="2"/>
    <x v="4"/>
    <n v="300"/>
    <n v="7.6"/>
    <n v="8.19"/>
    <n v="6.94"/>
    <n v="129.96"/>
    <n v="25"/>
    <x v="1"/>
    <s v="INVALID"/>
    <m/>
    <x v="2"/>
    <m/>
    <m/>
  </r>
  <r>
    <n v="600"/>
    <n v="23.37"/>
    <x v="4"/>
    <x v="0"/>
    <n v="900"/>
    <n v="68.5"/>
    <n v="2.5299999999999998"/>
    <n v="8.4499999999999993"/>
    <n v="36.159999999999997"/>
    <n v="22"/>
    <x v="1"/>
    <s v="VALID"/>
    <n v="0.38409090909090904"/>
    <x v="1"/>
    <n v="19.344999999999999"/>
    <s v="Low"/>
  </r>
  <r>
    <n v="600"/>
    <n v="14.07"/>
    <x v="0"/>
    <x v="3"/>
    <n v="600"/>
    <n v="3.7"/>
    <n v="5.98"/>
    <n v="6"/>
    <n v="42.64"/>
    <n v="2"/>
    <x v="1"/>
    <s v="VALID"/>
    <n v="3"/>
    <x v="1"/>
    <n v="24.310000000000002"/>
    <s v="Low"/>
  </r>
  <r>
    <n v="200"/>
    <n v="10.46"/>
    <x v="0"/>
    <x v="4"/>
    <n v="1500"/>
    <n v="5"/>
    <n v="7.88"/>
    <n v="6.02"/>
    <n v="57.55"/>
    <n v="3"/>
    <x v="1"/>
    <s v="VALID"/>
    <n v="2.0066666666666664"/>
    <x v="1"/>
    <n v="32.714999999999996"/>
    <s v="Medium"/>
  </r>
  <r>
    <n v="50"/>
    <n v="4.7699999999999996"/>
    <x v="0"/>
    <x v="0"/>
    <n v="1500"/>
    <n v="65.900000000000006"/>
    <n v="6.41"/>
    <n v="8.5"/>
    <n v="178.2"/>
    <n v="21"/>
    <x v="1"/>
    <s v="INVALID"/>
    <m/>
    <x v="2"/>
    <m/>
    <m/>
  </r>
  <r>
    <n v="1500"/>
    <n v="32.08"/>
    <x v="1"/>
    <x v="1"/>
    <n v="2500"/>
    <n v="39.5"/>
    <n v="9.5399999999999991"/>
    <n v="9.73"/>
    <n v="30.33"/>
    <n v="13"/>
    <x v="1"/>
    <s v="VALID"/>
    <n v="0.74846153846153851"/>
    <x v="0"/>
    <n v="19.934999999999999"/>
    <s v="Low"/>
  </r>
  <r>
    <n v="1000"/>
    <n v="26.09"/>
    <x v="2"/>
    <x v="3"/>
    <n v="2500"/>
    <n v="59.5"/>
    <n v="14.82"/>
    <n v="2.64"/>
    <n v="10.119999999999999"/>
    <n v="23"/>
    <x v="0"/>
    <s v="VALID"/>
    <n v="0.11478260869565218"/>
    <x v="0"/>
    <n v="12.469999999999999"/>
    <s v="Low"/>
  </r>
  <r>
    <n v="200"/>
    <n v="8.99"/>
    <x v="1"/>
    <x v="2"/>
    <n v="300"/>
    <n v="37.700000000000003"/>
    <n v="19.399999999999999"/>
    <n v="8.4700000000000006"/>
    <n v="94.22"/>
    <n v="11"/>
    <x v="1"/>
    <s v="VALID"/>
    <n v="0.77"/>
    <x v="0"/>
    <n v="56.81"/>
    <s v="Medium"/>
  </r>
  <r>
    <n v="200"/>
    <n v="10.29"/>
    <x v="4"/>
    <x v="3"/>
    <n v="300"/>
    <n v="127.4"/>
    <n v="14.07"/>
    <n v="2.59"/>
    <n v="25.17"/>
    <n v="12"/>
    <x v="0"/>
    <s v="VALID"/>
    <n v="0.21583333333333332"/>
    <x v="1"/>
    <n v="19.62"/>
    <s v="Low"/>
  </r>
  <r>
    <n v="1200"/>
    <n v="31.05"/>
    <x v="0"/>
    <x v="1"/>
    <n v="1500"/>
    <n v="32.9"/>
    <n v="8.93"/>
    <n v="1.23"/>
    <n v="3.96"/>
    <n v="1"/>
    <x v="2"/>
    <s v="VALID"/>
    <n v="1.23"/>
    <x v="1"/>
    <n v="6.4450000000000003"/>
    <s v="Low"/>
  </r>
  <r>
    <n v="500"/>
    <n v="18.100000000000001"/>
    <x v="2"/>
    <x v="2"/>
    <n v="2500"/>
    <n v="103.7"/>
    <n v="17.809999999999999"/>
    <n v="1.45"/>
    <n v="8.01"/>
    <n v="13"/>
    <x v="2"/>
    <s v="VALID"/>
    <n v="0.11153846153846153"/>
    <x v="0"/>
    <n v="12.91"/>
    <s v="Low"/>
  </r>
  <r>
    <n v="50"/>
    <n v="4.7699999999999996"/>
    <x v="2"/>
    <x v="0"/>
    <n v="150"/>
    <n v="13.4"/>
    <n v="0.28000000000000003"/>
    <n v="7.41"/>
    <n v="155.35"/>
    <n v="7"/>
    <x v="1"/>
    <s v="INVALID"/>
    <m/>
    <x v="2"/>
    <m/>
    <m/>
  </r>
  <r>
    <n v="1500"/>
    <n v="42.64"/>
    <x v="3"/>
    <x v="0"/>
    <n v="300"/>
    <n v="106.8"/>
    <n v="12.28"/>
    <n v="7.63"/>
    <n v="17.89"/>
    <n v="16"/>
    <x v="1"/>
    <s v="VALID"/>
    <n v="0.47687499999999999"/>
    <x v="1"/>
    <n v="15.085000000000001"/>
    <s v="Low"/>
  </r>
  <r>
    <n v="600"/>
    <n v="10.33"/>
    <x v="4"/>
    <x v="1"/>
    <n v="600"/>
    <n v="74.5"/>
    <n v="7.45"/>
    <n v="2.37"/>
    <n v="22.94"/>
    <n v="6"/>
    <x v="0"/>
    <s v="VALID"/>
    <n v="0.39500000000000002"/>
    <x v="1"/>
    <n v="15.195"/>
    <s v="Low"/>
  </r>
  <r>
    <n v="300"/>
    <n v="14.32"/>
    <x v="0"/>
    <x v="2"/>
    <n v="600"/>
    <n v="25"/>
    <n v="18.29"/>
    <n v="8.1999999999999993"/>
    <n v="57.26"/>
    <n v="5"/>
    <x v="1"/>
    <s v="VALID"/>
    <n v="1.64"/>
    <x v="1"/>
    <n v="37.774999999999999"/>
    <s v="Medium"/>
  </r>
  <r>
    <n v="800"/>
    <n v="30.66"/>
    <x v="2"/>
    <x v="2"/>
    <n v="600"/>
    <n v="105.4"/>
    <n v="12.33"/>
    <n v="1.45"/>
    <n v="4.7300000000000004"/>
    <n v="10"/>
    <x v="2"/>
    <s v="VALID"/>
    <n v="0.14499999999999999"/>
    <x v="1"/>
    <n v="8.5300000000000011"/>
    <s v="Low"/>
  </r>
  <r>
    <n v="150"/>
    <n v="6.98"/>
    <x v="0"/>
    <x v="2"/>
    <n v="300"/>
    <n v="51.1"/>
    <n v="15.43"/>
    <n v="4.03"/>
    <n v="57.74"/>
    <n v="8"/>
    <x v="0"/>
    <s v="VALID"/>
    <n v="0.50375000000000003"/>
    <x v="1"/>
    <n v="36.585000000000001"/>
    <s v="Medium"/>
  </r>
  <r>
    <n v="600"/>
    <n v="12.2"/>
    <x v="1"/>
    <x v="1"/>
    <n v="300"/>
    <n v="-11.6"/>
    <n v="15.77"/>
    <n v="2.1800000000000002"/>
    <n v="17.87"/>
    <n v="19"/>
    <x v="0"/>
    <s v="VALID"/>
    <n v="0.11473684210526316"/>
    <x v="1"/>
    <n v="16.82"/>
    <s v="Low"/>
  </r>
  <r>
    <n v="500"/>
    <n v="23.91"/>
    <x v="3"/>
    <x v="0"/>
    <n v="300"/>
    <n v="76.2"/>
    <n v="12.37"/>
    <n v="5.67"/>
    <n v="23.71"/>
    <n v="12"/>
    <x v="1"/>
    <s v="VALID"/>
    <n v="0.47249999999999998"/>
    <x v="1"/>
    <n v="18.04"/>
    <s v="Low"/>
  </r>
  <r>
    <n v="1200"/>
    <n v="32.57"/>
    <x v="1"/>
    <x v="3"/>
    <n v="300"/>
    <n v="96.5"/>
    <n v="12.31"/>
    <n v="6.7"/>
    <n v="20.57"/>
    <n v="19"/>
    <x v="1"/>
    <s v="VALID"/>
    <n v="0.35263157894736841"/>
    <x v="1"/>
    <n v="16.440000000000001"/>
    <s v="Low"/>
  </r>
  <r>
    <n v="1000"/>
    <n v="24.79"/>
    <x v="1"/>
    <x v="3"/>
    <n v="600"/>
    <n v="14.4"/>
    <n v="0.88"/>
    <n v="6.86"/>
    <n v="27.67"/>
    <n v="2"/>
    <x v="1"/>
    <s v="VALID"/>
    <n v="3.43"/>
    <x v="1"/>
    <n v="14.275"/>
    <s v="Low"/>
  </r>
  <r>
    <n v="250"/>
    <n v="10.210000000000001"/>
    <x v="4"/>
    <x v="0"/>
    <n v="600"/>
    <n v="32.1"/>
    <n v="6.22"/>
    <n v="4.53"/>
    <n v="44.37"/>
    <n v="21"/>
    <x v="0"/>
    <s v="VALID"/>
    <n v="0.21571428571428572"/>
    <x v="1"/>
    <n v="25.294999999999998"/>
    <s v="Low"/>
  </r>
  <r>
    <n v="800"/>
    <n v="14.17"/>
    <x v="3"/>
    <x v="4"/>
    <n v="150"/>
    <n v="36"/>
    <n v="4.8600000000000003"/>
    <n v="3.33"/>
    <n v="23.5"/>
    <n v="7"/>
    <x v="0"/>
    <s v="VALID"/>
    <n v="0.4757142857142857"/>
    <x v="1"/>
    <n v="14.18"/>
    <s v="Low"/>
  </r>
  <r>
    <n v="800"/>
    <n v="21.79"/>
    <x v="1"/>
    <x v="2"/>
    <n v="2500"/>
    <n v="44.2"/>
    <n v="14.79"/>
    <n v="7.24"/>
    <n v="33.229999999999997"/>
    <n v="5"/>
    <x v="1"/>
    <s v="VALID"/>
    <n v="1.448"/>
    <x v="1"/>
    <n v="24.009999999999998"/>
    <s v="Low"/>
  </r>
  <r>
    <n v="100"/>
    <n v="7.29"/>
    <x v="4"/>
    <x v="2"/>
    <n v="150"/>
    <n v="-15.8"/>
    <n v="3.59"/>
    <n v="7.32"/>
    <n v="100.41"/>
    <n v="7"/>
    <x v="1"/>
    <s v="INVALID"/>
    <m/>
    <x v="2"/>
    <m/>
    <m/>
  </r>
  <r>
    <n v="150"/>
    <n v="9.0299999999999994"/>
    <x v="1"/>
    <x v="2"/>
    <n v="300"/>
    <n v="19.7"/>
    <n v="9.65"/>
    <n v="6.02"/>
    <n v="66.67"/>
    <n v="14"/>
    <x v="1"/>
    <s v="VALID"/>
    <n v="0.43"/>
    <x v="1"/>
    <n v="38.160000000000004"/>
    <s v="Medium"/>
  </r>
  <r>
    <n v="200"/>
    <n v="9.41"/>
    <x v="2"/>
    <x v="1"/>
    <n v="150"/>
    <n v="5.3"/>
    <n v="12.74"/>
    <n v="6.06"/>
    <n v="64.400000000000006"/>
    <n v="24"/>
    <x v="1"/>
    <s v="VALID"/>
    <n v="0.2525"/>
    <x v="1"/>
    <n v="38.57"/>
    <s v="Medium"/>
  </r>
  <r>
    <n v="150"/>
    <n v="9.16"/>
    <x v="0"/>
    <x v="2"/>
    <n v="600"/>
    <n v="7.9"/>
    <n v="16.16"/>
    <n v="2.61"/>
    <n v="28.49"/>
    <n v="10"/>
    <x v="0"/>
    <s v="VALID"/>
    <n v="0.26100000000000001"/>
    <x v="1"/>
    <n v="22.324999999999999"/>
    <s v="Low"/>
  </r>
  <r>
    <n v="250"/>
    <n v="6.69"/>
    <x v="3"/>
    <x v="0"/>
    <n v="1500"/>
    <n v="-32.5"/>
    <n v="5.99"/>
    <n v="9.0299999999999994"/>
    <n v="134.97999999999999"/>
    <n v="12"/>
    <x v="1"/>
    <s v="INVALID"/>
    <m/>
    <x v="2"/>
    <m/>
    <m/>
  </r>
  <r>
    <n v="150"/>
    <n v="5.88"/>
    <x v="1"/>
    <x v="2"/>
    <n v="150"/>
    <n v="14"/>
    <n v="4.28"/>
    <n v="6.13"/>
    <n v="104.25"/>
    <n v="13"/>
    <x v="1"/>
    <s v="INVALID"/>
    <m/>
    <x v="2"/>
    <m/>
    <m/>
  </r>
  <r>
    <n v="1000"/>
    <n v="22.09"/>
    <x v="0"/>
    <x v="3"/>
    <n v="600"/>
    <n v="13.1"/>
    <n v="19.73"/>
    <n v="9.2799999999999994"/>
    <n v="42.01"/>
    <n v="3"/>
    <x v="1"/>
    <s v="VALID"/>
    <n v="3.0933333333333333"/>
    <x v="1"/>
    <n v="30.869999999999997"/>
    <s v="Medium"/>
  </r>
  <r>
    <n v="1200"/>
    <n v="25.68"/>
    <x v="2"/>
    <x v="0"/>
    <n v="600"/>
    <n v="46.6"/>
    <n v="17.66"/>
    <n v="6.07"/>
    <n v="23.64"/>
    <n v="13"/>
    <x v="1"/>
    <s v="VALID"/>
    <n v="0.46692307692307694"/>
    <x v="1"/>
    <n v="20.65"/>
    <s v="Low"/>
  </r>
  <r>
    <n v="50"/>
    <n v="4.8"/>
    <x v="0"/>
    <x v="1"/>
    <n v="1500"/>
    <n v="125.6"/>
    <n v="18.25"/>
    <n v="0.92"/>
    <n v="19.170000000000002"/>
    <n v="18"/>
    <x v="2"/>
    <s v="VALID"/>
    <n v="5.1111111111111114E-2"/>
    <x v="1"/>
    <n v="18.71"/>
    <s v="Low"/>
  </r>
  <r>
    <n v="500"/>
    <n v="9.8000000000000007"/>
    <x v="1"/>
    <x v="4"/>
    <n v="2500"/>
    <n v="26.2"/>
    <n v="10.34"/>
    <n v="3.2"/>
    <n v="32.65"/>
    <n v="14"/>
    <x v="0"/>
    <s v="VALID"/>
    <n v="0.22857142857142859"/>
    <x v="0"/>
    <n v="21.494999999999997"/>
    <s v="Low"/>
  </r>
  <r>
    <n v="100"/>
    <n v="7.07"/>
    <x v="4"/>
    <x v="4"/>
    <n v="150"/>
    <n v="12.5"/>
    <n v="3.04"/>
    <n v="5.78"/>
    <n v="81.75"/>
    <n v="21"/>
    <x v="1"/>
    <s v="VALID"/>
    <n v="0.27523809523809523"/>
    <x v="0"/>
    <n v="42.395000000000003"/>
    <s v="Medium"/>
  </r>
  <r>
    <n v="400"/>
    <n v="17.39"/>
    <x v="3"/>
    <x v="4"/>
    <n v="150"/>
    <n v="-12.8"/>
    <n v="12.59"/>
    <n v="7.23"/>
    <n v="41.58"/>
    <n v="2"/>
    <x v="1"/>
    <s v="VALID"/>
    <n v="3.6150000000000002"/>
    <x v="1"/>
    <n v="27.085000000000001"/>
    <s v="Low"/>
  </r>
  <r>
    <n v="150"/>
    <n v="7.94"/>
    <x v="0"/>
    <x v="3"/>
    <n v="2500"/>
    <n v="57.2"/>
    <n v="10.79"/>
    <n v="4.92"/>
    <n v="61.96"/>
    <n v="15"/>
    <x v="0"/>
    <s v="VALID"/>
    <n v="0.32800000000000001"/>
    <x v="1"/>
    <n v="36.375"/>
    <s v="Medium"/>
  </r>
  <r>
    <n v="250"/>
    <n v="7.29"/>
    <x v="3"/>
    <x v="2"/>
    <n v="1500"/>
    <n v="140.1"/>
    <n v="16.13"/>
    <n v="5.7"/>
    <n v="78.19"/>
    <n v="16"/>
    <x v="1"/>
    <s v="VALID"/>
    <n v="0.35625000000000001"/>
    <x v="0"/>
    <n v="47.16"/>
    <s v="Medium"/>
  </r>
  <r>
    <n v="1000"/>
    <n v="29.55"/>
    <x v="3"/>
    <x v="0"/>
    <n v="1500"/>
    <n v="82.5"/>
    <n v="1.26"/>
    <n v="0.24"/>
    <n v="0.81"/>
    <n v="25"/>
    <x v="2"/>
    <s v="VALID"/>
    <n v="9.5999999999999992E-3"/>
    <x v="0"/>
    <n v="1.0350000000000001"/>
    <s v="Low"/>
  </r>
  <r>
    <n v="1200"/>
    <n v="35.76"/>
    <x v="1"/>
    <x v="4"/>
    <n v="2500"/>
    <n v="-15.3"/>
    <n v="10.6"/>
    <n v="2.4500000000000002"/>
    <n v="6.85"/>
    <n v="5"/>
    <x v="0"/>
    <s v="VALID"/>
    <n v="0.49000000000000005"/>
    <x v="0"/>
    <n v="8.7249999999999996"/>
    <s v="Low"/>
  </r>
  <r>
    <n v="600"/>
    <n v="26.97"/>
    <x v="0"/>
    <x v="0"/>
    <n v="1500"/>
    <n v="82"/>
    <n v="16.29"/>
    <n v="1.53"/>
    <n v="5.67"/>
    <n v="22"/>
    <x v="2"/>
    <s v="VALID"/>
    <n v="6.9545454545454549E-2"/>
    <x v="0"/>
    <n v="10.98"/>
    <s v="Low"/>
  </r>
  <r>
    <n v="400"/>
    <n v="10.27"/>
    <x v="1"/>
    <x v="4"/>
    <n v="300"/>
    <n v="40.1"/>
    <n v="8.69"/>
    <n v="6.45"/>
    <n v="62.8"/>
    <n v="16"/>
    <x v="1"/>
    <s v="VALID"/>
    <n v="0.40312500000000001"/>
    <x v="0"/>
    <n v="35.744999999999997"/>
    <s v="Medium"/>
  </r>
  <r>
    <n v="200"/>
    <n v="7.56"/>
    <x v="4"/>
    <x v="2"/>
    <n v="2500"/>
    <n v="79.8"/>
    <n v="0"/>
    <n v="5.88"/>
    <n v="77.78"/>
    <n v="9"/>
    <x v="1"/>
    <s v="VALID"/>
    <n v="0.65333333333333332"/>
    <x v="1"/>
    <n v="38.89"/>
    <s v="Medium"/>
  </r>
  <r>
    <n v="150"/>
    <n v="9.25"/>
    <x v="3"/>
    <x v="4"/>
    <n v="2500"/>
    <n v="22.3"/>
    <n v="2.35"/>
    <n v="6.26"/>
    <n v="67.680000000000007"/>
    <n v="18"/>
    <x v="1"/>
    <s v="VALID"/>
    <n v="0.34777777777777774"/>
    <x v="0"/>
    <n v="35.015000000000001"/>
    <s v="Medium"/>
  </r>
  <r>
    <n v="800"/>
    <n v="17.64"/>
    <x v="3"/>
    <x v="0"/>
    <n v="300"/>
    <n v="13.5"/>
    <n v="14.19"/>
    <n v="6.31"/>
    <n v="35.770000000000003"/>
    <n v="9"/>
    <x v="1"/>
    <s v="VALID"/>
    <n v="0.70111111111111102"/>
    <x v="0"/>
    <n v="24.98"/>
    <s v="Low"/>
  </r>
  <r>
    <n v="50"/>
    <n v="5.21"/>
    <x v="4"/>
    <x v="4"/>
    <n v="150"/>
    <n v="74"/>
    <n v="0.87"/>
    <n v="5.35"/>
    <n v="102.69"/>
    <n v="5"/>
    <x v="1"/>
    <s v="INVALID"/>
    <m/>
    <x v="2"/>
    <m/>
    <m/>
  </r>
  <r>
    <n v="800"/>
    <n v="28.66"/>
    <x v="3"/>
    <x v="4"/>
    <n v="1500"/>
    <n v="149.69999999999999"/>
    <n v="8.48"/>
    <n v="7.29"/>
    <n v="25.44"/>
    <n v="19"/>
    <x v="1"/>
    <s v="VALID"/>
    <n v="0.38368421052631579"/>
    <x v="1"/>
    <n v="16.96"/>
    <s v="Low"/>
  </r>
  <r>
    <n v="300"/>
    <n v="10.01"/>
    <x v="2"/>
    <x v="1"/>
    <n v="1500"/>
    <n v="-4.9000000000000004"/>
    <n v="13.56"/>
    <n v="2.37"/>
    <n v="23.68"/>
    <n v="19"/>
    <x v="0"/>
    <s v="VALID"/>
    <n v="0.12473684210526316"/>
    <x v="0"/>
    <n v="18.62"/>
    <s v="Low"/>
  </r>
  <r>
    <n v="400"/>
    <n v="16.52"/>
    <x v="3"/>
    <x v="2"/>
    <n v="2500"/>
    <n v="12.9"/>
    <n v="16.78"/>
    <n v="9.5399999999999991"/>
    <n v="57.75"/>
    <n v="12"/>
    <x v="1"/>
    <s v="VALID"/>
    <n v="0.79499999999999993"/>
    <x v="0"/>
    <n v="37.265000000000001"/>
    <s v="Medium"/>
  </r>
  <r>
    <n v="1500"/>
    <n v="31.97"/>
    <x v="0"/>
    <x v="4"/>
    <n v="600"/>
    <n v="59.8"/>
    <n v="5.15"/>
    <n v="2.33"/>
    <n v="7.29"/>
    <n v="15"/>
    <x v="0"/>
    <s v="VALID"/>
    <n v="0.15533333333333335"/>
    <x v="0"/>
    <n v="6.2200000000000006"/>
    <s v="Low"/>
  </r>
  <r>
    <n v="1500"/>
    <n v="34.61"/>
    <x v="2"/>
    <x v="2"/>
    <n v="300"/>
    <n v="61.6"/>
    <n v="1.92"/>
    <n v="6.26"/>
    <n v="18.09"/>
    <n v="19"/>
    <x v="1"/>
    <s v="VALID"/>
    <n v="0.32947368421052631"/>
    <x v="1"/>
    <n v="10.004999999999999"/>
    <s v="Low"/>
  </r>
  <r>
    <n v="1200"/>
    <n v="20.190000000000001"/>
    <x v="2"/>
    <x v="3"/>
    <n v="150"/>
    <n v="32.6"/>
    <n v="15.86"/>
    <n v="8.0500000000000007"/>
    <n v="39.869999999999997"/>
    <n v="24"/>
    <x v="1"/>
    <s v="VALID"/>
    <n v="0.3354166666666667"/>
    <x v="1"/>
    <n v="27.864999999999998"/>
    <s v="Low"/>
  </r>
  <r>
    <n v="100"/>
    <n v="7.71"/>
    <x v="1"/>
    <x v="4"/>
    <n v="2500"/>
    <n v="24"/>
    <n v="16.28"/>
    <n v="3.09"/>
    <n v="40.08"/>
    <n v="15"/>
    <x v="0"/>
    <s v="VALID"/>
    <n v="0.20599999999999999"/>
    <x v="1"/>
    <n v="28.18"/>
    <s v="Low"/>
  </r>
  <r>
    <n v="400"/>
    <n v="13.4"/>
    <x v="0"/>
    <x v="1"/>
    <n v="2500"/>
    <n v="-15.2"/>
    <n v="18.13"/>
    <n v="1.17"/>
    <n v="8.73"/>
    <n v="13"/>
    <x v="2"/>
    <s v="VALID"/>
    <n v="0.09"/>
    <x v="0"/>
    <n v="13.43"/>
    <s v="Low"/>
  </r>
  <r>
    <n v="1500"/>
    <n v="40.94"/>
    <x v="4"/>
    <x v="4"/>
    <n v="2500"/>
    <n v="-14.8"/>
    <n v="18.53"/>
    <n v="2.56"/>
    <n v="6.25"/>
    <n v="19"/>
    <x v="0"/>
    <s v="VALID"/>
    <n v="0.13473684210526315"/>
    <x v="0"/>
    <n v="12.39"/>
    <s v="Low"/>
  </r>
  <r>
    <n v="250"/>
    <n v="7.48"/>
    <x v="4"/>
    <x v="1"/>
    <n v="2500"/>
    <n v="134.30000000000001"/>
    <n v="6.05"/>
    <n v="0.37"/>
    <n v="4.95"/>
    <n v="5"/>
    <x v="2"/>
    <s v="VALID"/>
    <n v="7.3999999999999996E-2"/>
    <x v="0"/>
    <n v="5.5"/>
    <s v="Low"/>
  </r>
  <r>
    <n v="200"/>
    <n v="11.25"/>
    <x v="0"/>
    <x v="3"/>
    <n v="600"/>
    <n v="13.1"/>
    <n v="2.48"/>
    <n v="2.04"/>
    <n v="18.13"/>
    <n v="12"/>
    <x v="0"/>
    <s v="VALID"/>
    <n v="0.17"/>
    <x v="0"/>
    <n v="10.305"/>
    <s v="Low"/>
  </r>
  <r>
    <n v="150"/>
    <n v="8.6"/>
    <x v="2"/>
    <x v="0"/>
    <n v="600"/>
    <n v="17.899999999999999"/>
    <n v="8.6199999999999992"/>
    <n v="6.66"/>
    <n v="77.44"/>
    <n v="25"/>
    <x v="1"/>
    <s v="VALID"/>
    <n v="0.26640000000000003"/>
    <x v="1"/>
    <n v="43.03"/>
    <s v="Medium"/>
  </r>
  <r>
    <n v="500"/>
    <n v="14.61"/>
    <x v="3"/>
    <x v="3"/>
    <n v="300"/>
    <n v="6.6"/>
    <n v="9.8699999999999992"/>
    <n v="5.99"/>
    <n v="41"/>
    <n v="21"/>
    <x v="1"/>
    <s v="VALID"/>
    <n v="0.28523809523809524"/>
    <x v="1"/>
    <n v="25.434999999999999"/>
    <s v="Low"/>
  </r>
  <r>
    <n v="500"/>
    <n v="13.76"/>
    <x v="3"/>
    <x v="0"/>
    <n v="2500"/>
    <n v="73.2"/>
    <n v="18.91"/>
    <n v="5.14"/>
    <n v="37.35"/>
    <n v="3"/>
    <x v="1"/>
    <s v="VALID"/>
    <n v="1.7133333333333332"/>
    <x v="1"/>
    <n v="28.130000000000003"/>
    <s v="Low"/>
  </r>
  <r>
    <n v="250"/>
    <n v="6.77"/>
    <x v="0"/>
    <x v="1"/>
    <n v="2500"/>
    <n v="69.099999999999994"/>
    <n v="6.58"/>
    <n v="1.41"/>
    <n v="20.83"/>
    <n v="13"/>
    <x v="2"/>
    <s v="VALID"/>
    <n v="0.10846153846153846"/>
    <x v="0"/>
    <n v="13.704999999999998"/>
    <s v="Low"/>
  </r>
  <r>
    <n v="100"/>
    <n v="5.12"/>
    <x v="4"/>
    <x v="1"/>
    <n v="900"/>
    <n v="53"/>
    <n v="0.64"/>
    <n v="1.1100000000000001"/>
    <n v="21.68"/>
    <n v="12"/>
    <x v="2"/>
    <s v="VALID"/>
    <n v="9.2500000000000013E-2"/>
    <x v="0"/>
    <n v="11.16"/>
    <s v="Low"/>
  </r>
  <r>
    <n v="1500"/>
    <n v="27.3"/>
    <x v="3"/>
    <x v="4"/>
    <n v="1500"/>
    <n v="115.2"/>
    <n v="13.79"/>
    <n v="0.67"/>
    <n v="2.4500000000000002"/>
    <n v="18"/>
    <x v="2"/>
    <s v="VALID"/>
    <n v="3.7222222222222226E-2"/>
    <x v="1"/>
    <n v="8.1199999999999992"/>
    <s v="Low"/>
  </r>
  <r>
    <n v="250"/>
    <n v="9.59"/>
    <x v="3"/>
    <x v="1"/>
    <n v="150"/>
    <n v="18.5"/>
    <n v="17.18"/>
    <n v="2.35"/>
    <n v="24.5"/>
    <n v="6"/>
    <x v="0"/>
    <s v="VALID"/>
    <n v="0.39166666666666666"/>
    <x v="0"/>
    <n v="20.84"/>
    <s v="Low"/>
  </r>
  <r>
    <n v="100"/>
    <n v="6.02"/>
    <x v="1"/>
    <x v="3"/>
    <n v="1500"/>
    <n v="50.7"/>
    <n v="18.36"/>
    <n v="2.37"/>
    <n v="39.369999999999997"/>
    <n v="23"/>
    <x v="0"/>
    <s v="VALID"/>
    <n v="0.10304347826086957"/>
    <x v="1"/>
    <n v="28.864999999999998"/>
    <s v="Low"/>
  </r>
  <r>
    <n v="600"/>
    <n v="14.75"/>
    <x v="0"/>
    <x v="0"/>
    <n v="600"/>
    <n v="2.1"/>
    <n v="5.36"/>
    <n v="3.17"/>
    <n v="21.49"/>
    <n v="11"/>
    <x v="0"/>
    <s v="VALID"/>
    <n v="0.28818181818181815"/>
    <x v="0"/>
    <n v="13.424999999999999"/>
    <s v="Low"/>
  </r>
  <r>
    <n v="500"/>
    <n v="23.95"/>
    <x v="2"/>
    <x v="0"/>
    <n v="900"/>
    <n v="37.700000000000003"/>
    <n v="15.5"/>
    <n v="2.41"/>
    <n v="10.06"/>
    <n v="15"/>
    <x v="0"/>
    <s v="VALID"/>
    <n v="0.16066666666666668"/>
    <x v="1"/>
    <n v="12.780000000000001"/>
    <s v="Low"/>
  </r>
  <r>
    <n v="800"/>
    <n v="23.11"/>
    <x v="0"/>
    <x v="0"/>
    <n v="900"/>
    <n v="-2.2000000000000002"/>
    <n v="14.62"/>
    <n v="1.73"/>
    <n v="7.49"/>
    <n v="25"/>
    <x v="2"/>
    <s v="VALID"/>
    <n v="6.9199999999999998E-2"/>
    <x v="1"/>
    <n v="11.055"/>
    <s v="Low"/>
  </r>
  <r>
    <n v="250"/>
    <n v="12.68"/>
    <x v="3"/>
    <x v="2"/>
    <n v="1500"/>
    <n v="35.5"/>
    <n v="16.899999999999999"/>
    <n v="7.72"/>
    <n v="60.88"/>
    <n v="2"/>
    <x v="1"/>
    <s v="VALID"/>
    <n v="3.86"/>
    <x v="1"/>
    <n v="38.89"/>
    <s v="Medium"/>
  </r>
  <r>
    <n v="1200"/>
    <n v="19.16"/>
    <x v="3"/>
    <x v="4"/>
    <n v="900"/>
    <n v="74.7"/>
    <n v="18.91"/>
    <n v="6.59"/>
    <n v="34.39"/>
    <n v="2"/>
    <x v="1"/>
    <s v="VALID"/>
    <n v="3.2949999999999999"/>
    <x v="0"/>
    <n v="26.65"/>
    <s v="Low"/>
  </r>
  <r>
    <n v="50"/>
    <n v="4.8600000000000003"/>
    <x v="4"/>
    <x v="1"/>
    <n v="600"/>
    <n v="3.8"/>
    <n v="3.33"/>
    <n v="6.67"/>
    <n v="137.24"/>
    <n v="24"/>
    <x v="1"/>
    <s v="INVALID"/>
    <m/>
    <x v="2"/>
    <m/>
    <m/>
  </r>
  <r>
    <n v="1200"/>
    <n v="36.869999999999997"/>
    <x v="1"/>
    <x v="2"/>
    <n v="900"/>
    <n v="-4.7"/>
    <n v="1.58"/>
    <n v="9.91"/>
    <n v="26.88"/>
    <n v="20"/>
    <x v="1"/>
    <s v="VALID"/>
    <n v="0.4955"/>
    <x v="1"/>
    <n v="14.23"/>
    <s v="Low"/>
  </r>
  <r>
    <n v="150"/>
    <n v="6.53"/>
    <x v="1"/>
    <x v="3"/>
    <n v="2500"/>
    <n v="65.900000000000006"/>
    <n v="8.49"/>
    <n v="4.53"/>
    <n v="69.37"/>
    <n v="8"/>
    <x v="0"/>
    <s v="VALID"/>
    <n v="0.56625000000000003"/>
    <x v="1"/>
    <n v="38.93"/>
    <s v="Medium"/>
  </r>
  <r>
    <n v="800"/>
    <n v="20.03"/>
    <x v="3"/>
    <x v="4"/>
    <n v="150"/>
    <n v="127.3"/>
    <n v="12.76"/>
    <n v="5.29"/>
    <n v="26.41"/>
    <n v="16"/>
    <x v="1"/>
    <s v="VALID"/>
    <n v="0.330625"/>
    <x v="0"/>
    <n v="19.585000000000001"/>
    <s v="Low"/>
  </r>
  <r>
    <n v="400"/>
    <n v="8.2200000000000006"/>
    <x v="0"/>
    <x v="2"/>
    <n v="2500"/>
    <n v="31.5"/>
    <n v="13.61"/>
    <n v="8.4600000000000009"/>
    <n v="102.92"/>
    <n v="12"/>
    <x v="1"/>
    <s v="INVALID"/>
    <m/>
    <x v="2"/>
    <m/>
    <m/>
  </r>
  <r>
    <n v="1200"/>
    <n v="27.43"/>
    <x v="2"/>
    <x v="3"/>
    <n v="600"/>
    <n v="12.7"/>
    <n v="14.29"/>
    <n v="1.36"/>
    <n v="4.96"/>
    <n v="23"/>
    <x v="2"/>
    <s v="VALID"/>
    <n v="5.9130434782608703E-2"/>
    <x v="0"/>
    <n v="9.625"/>
    <s v="Low"/>
  </r>
  <r>
    <n v="1200"/>
    <n v="19.82"/>
    <x v="4"/>
    <x v="3"/>
    <n v="600"/>
    <n v="85.7"/>
    <n v="19.05"/>
    <n v="0.72"/>
    <n v="3.63"/>
    <n v="14"/>
    <x v="2"/>
    <s v="VALID"/>
    <n v="5.1428571428571428E-2"/>
    <x v="1"/>
    <n v="11.34"/>
    <s v="Low"/>
  </r>
  <r>
    <n v="600"/>
    <n v="18.739999999999998"/>
    <x v="0"/>
    <x v="0"/>
    <n v="1500"/>
    <n v="62.7"/>
    <n v="2.68"/>
    <n v="6.42"/>
    <n v="34.26"/>
    <n v="9"/>
    <x v="1"/>
    <s v="VALID"/>
    <n v="0.71333333333333337"/>
    <x v="1"/>
    <n v="18.47"/>
    <s v="Low"/>
  </r>
  <r>
    <n v="1000"/>
    <n v="15.83"/>
    <x v="0"/>
    <x v="4"/>
    <n v="300"/>
    <n v="-3.4"/>
    <n v="11.42"/>
    <n v="7.82"/>
    <n v="49.4"/>
    <n v="23"/>
    <x v="1"/>
    <s v="VALID"/>
    <n v="0.34"/>
    <x v="0"/>
    <n v="30.41"/>
    <s v="Medium"/>
  </r>
  <r>
    <n v="150"/>
    <n v="5.44"/>
    <x v="4"/>
    <x v="2"/>
    <n v="1500"/>
    <n v="108.5"/>
    <n v="18.25"/>
    <n v="2.04"/>
    <n v="37.5"/>
    <n v="18"/>
    <x v="0"/>
    <s v="VALID"/>
    <n v="0.11333333333333334"/>
    <x v="1"/>
    <n v="27.875"/>
    <s v="Low"/>
  </r>
  <r>
    <n v="300"/>
    <n v="15.59"/>
    <x v="1"/>
    <x v="1"/>
    <n v="2500"/>
    <n v="74.099999999999994"/>
    <n v="1.08"/>
    <n v="0.15"/>
    <n v="0.96"/>
    <n v="5"/>
    <x v="2"/>
    <s v="VALID"/>
    <n v="0.03"/>
    <x v="0"/>
    <n v="1.02"/>
    <s v="Low"/>
  </r>
  <r>
    <n v="500"/>
    <n v="10.26"/>
    <x v="3"/>
    <x v="0"/>
    <n v="300"/>
    <n v="18.399999999999999"/>
    <n v="5.0199999999999996"/>
    <n v="0.34"/>
    <n v="3.31"/>
    <n v="2"/>
    <x v="2"/>
    <s v="VALID"/>
    <n v="0.17"/>
    <x v="0"/>
    <n v="4.165"/>
    <s v="Low"/>
  </r>
  <r>
    <n v="800"/>
    <n v="16.829999999999998"/>
    <x v="4"/>
    <x v="0"/>
    <n v="150"/>
    <n v="55.2"/>
    <n v="9.75"/>
    <n v="6.78"/>
    <n v="40.29"/>
    <n v="6"/>
    <x v="1"/>
    <s v="VALID"/>
    <n v="1.1300000000000001"/>
    <x v="1"/>
    <n v="25.02"/>
    <s v="Low"/>
  </r>
  <r>
    <n v="1500"/>
    <n v="35"/>
    <x v="0"/>
    <x v="3"/>
    <n v="1500"/>
    <n v="32.299999999999997"/>
    <n v="1.1399999999999999"/>
    <n v="1.92"/>
    <n v="5.49"/>
    <n v="16"/>
    <x v="2"/>
    <s v="VALID"/>
    <n v="0.12"/>
    <x v="1"/>
    <n v="3.3149999999999999"/>
    <s v="Low"/>
  </r>
  <r>
    <n v="100"/>
    <n v="5.67"/>
    <x v="3"/>
    <x v="2"/>
    <n v="300"/>
    <n v="17.399999999999999"/>
    <n v="15.91"/>
    <n v="8"/>
    <n v="141.09"/>
    <n v="24"/>
    <x v="1"/>
    <s v="INVALID"/>
    <m/>
    <x v="2"/>
    <m/>
    <m/>
  </r>
  <r>
    <n v="500"/>
    <n v="12.23"/>
    <x v="3"/>
    <x v="2"/>
    <n v="2500"/>
    <n v="69.3"/>
    <n v="17.329999999999998"/>
    <n v="8.69"/>
    <n v="71.05"/>
    <n v="1"/>
    <x v="1"/>
    <s v="VALID"/>
    <n v="8.69"/>
    <x v="1"/>
    <n v="44.19"/>
    <s v="Medium"/>
  </r>
  <r>
    <n v="150"/>
    <n v="7.41"/>
    <x v="3"/>
    <x v="1"/>
    <n v="2500"/>
    <n v="-8.1999999999999993"/>
    <n v="18.23"/>
    <n v="2.15"/>
    <n v="29.01"/>
    <n v="16"/>
    <x v="0"/>
    <s v="VALID"/>
    <n v="0.13437499999999999"/>
    <x v="0"/>
    <n v="23.62"/>
    <s v="Low"/>
  </r>
  <r>
    <n v="1000"/>
    <n v="25.42"/>
    <x v="1"/>
    <x v="1"/>
    <n v="150"/>
    <n v="39.1"/>
    <n v="6.15"/>
    <n v="6.63"/>
    <n v="26.08"/>
    <n v="12"/>
    <x v="1"/>
    <s v="VALID"/>
    <n v="0.55249999999999999"/>
    <x v="0"/>
    <n v="16.114999999999998"/>
    <s v="Low"/>
  </r>
  <r>
    <n v="200"/>
    <n v="10.46"/>
    <x v="4"/>
    <x v="4"/>
    <n v="150"/>
    <n v="-7"/>
    <n v="19.899999999999999"/>
    <n v="8.3000000000000007"/>
    <n v="79.349999999999994"/>
    <n v="10"/>
    <x v="1"/>
    <s v="VALID"/>
    <n v="0.83000000000000007"/>
    <x v="1"/>
    <n v="49.625"/>
    <s v="Medium"/>
  </r>
  <r>
    <n v="600"/>
    <n v="16.190000000000001"/>
    <x v="0"/>
    <x v="0"/>
    <n v="600"/>
    <n v="12.1"/>
    <n v="15.73"/>
    <n v="8.8000000000000007"/>
    <n v="54.35"/>
    <n v="25"/>
    <x v="1"/>
    <s v="VALID"/>
    <n v="0.35200000000000004"/>
    <x v="1"/>
    <n v="35.04"/>
    <s v="Medium"/>
  </r>
  <r>
    <n v="100"/>
    <n v="5.39"/>
    <x v="2"/>
    <x v="0"/>
    <n v="900"/>
    <n v="44.7"/>
    <n v="7.35"/>
    <n v="0.21"/>
    <n v="3.9"/>
    <n v="8"/>
    <x v="2"/>
    <s v="VALID"/>
    <n v="2.6249999999999999E-2"/>
    <x v="1"/>
    <n v="5.625"/>
    <s v="Low"/>
  </r>
  <r>
    <n v="1200"/>
    <n v="34.549999999999997"/>
    <x v="4"/>
    <x v="4"/>
    <n v="600"/>
    <n v="105.6"/>
    <n v="8.83"/>
    <n v="3.41"/>
    <n v="9.8699999999999992"/>
    <n v="2"/>
    <x v="0"/>
    <s v="VALID"/>
    <n v="1.7050000000000001"/>
    <x v="1"/>
    <n v="9.35"/>
    <s v="Low"/>
  </r>
  <r>
    <n v="400"/>
    <n v="12.07"/>
    <x v="1"/>
    <x v="4"/>
    <n v="300"/>
    <n v="78"/>
    <n v="9.2799999999999994"/>
    <n v="9.52"/>
    <n v="78.87"/>
    <n v="2"/>
    <x v="1"/>
    <s v="VALID"/>
    <n v="4.76"/>
    <x v="1"/>
    <n v="44.075000000000003"/>
    <s v="Medium"/>
  </r>
  <r>
    <n v="600"/>
    <n v="13.15"/>
    <x v="1"/>
    <x v="3"/>
    <n v="900"/>
    <n v="8.1"/>
    <n v="0.88"/>
    <n v="4.6399999999999997"/>
    <n v="35.29"/>
    <n v="16"/>
    <x v="0"/>
    <s v="VALID"/>
    <n v="0.28999999999999998"/>
    <x v="1"/>
    <n v="18.085000000000001"/>
    <s v="Low"/>
  </r>
  <r>
    <n v="300"/>
    <n v="10.17"/>
    <x v="4"/>
    <x v="3"/>
    <n v="300"/>
    <n v="85.2"/>
    <n v="7.37"/>
    <n v="0.9"/>
    <n v="8.85"/>
    <n v="23"/>
    <x v="2"/>
    <s v="VALID"/>
    <n v="3.9130434782608699E-2"/>
    <x v="1"/>
    <n v="8.11"/>
    <s v="Low"/>
  </r>
  <r>
    <n v="600"/>
    <n v="14.68"/>
    <x v="2"/>
    <x v="4"/>
    <n v="300"/>
    <n v="65.099999999999994"/>
    <n v="16.73"/>
    <n v="0.85"/>
    <n v="5.79"/>
    <n v="25"/>
    <x v="2"/>
    <s v="VALID"/>
    <n v="3.4000000000000002E-2"/>
    <x v="1"/>
    <n v="11.26"/>
    <s v="Low"/>
  </r>
  <r>
    <n v="250"/>
    <n v="9.4"/>
    <x v="3"/>
    <x v="1"/>
    <n v="2500"/>
    <n v="49.4"/>
    <n v="7.59"/>
    <n v="7.76"/>
    <n v="82.55"/>
    <n v="14"/>
    <x v="1"/>
    <s v="VALID"/>
    <n v="0.55428571428571427"/>
    <x v="1"/>
    <n v="45.07"/>
    <s v="Medium"/>
  </r>
  <r>
    <n v="300"/>
    <n v="9.4499999999999993"/>
    <x v="2"/>
    <x v="3"/>
    <n v="2500"/>
    <n v="35.6"/>
    <n v="12.61"/>
    <n v="5.43"/>
    <n v="57.46"/>
    <n v="3"/>
    <x v="1"/>
    <s v="VALID"/>
    <n v="1.8099999999999998"/>
    <x v="0"/>
    <n v="35.034999999999997"/>
    <s v="Medium"/>
  </r>
  <r>
    <n v="50"/>
    <n v="5.22"/>
    <x v="1"/>
    <x v="1"/>
    <n v="900"/>
    <n v="110.5"/>
    <n v="18.510000000000002"/>
    <n v="7.59"/>
    <n v="145.4"/>
    <n v="10"/>
    <x v="1"/>
    <s v="INVALID"/>
    <m/>
    <x v="2"/>
    <m/>
    <m/>
  </r>
  <r>
    <n v="300"/>
    <n v="10.52"/>
    <x v="3"/>
    <x v="1"/>
    <n v="1500"/>
    <n v="99.2"/>
    <n v="19.04"/>
    <n v="3.39"/>
    <n v="32.22"/>
    <n v="19"/>
    <x v="0"/>
    <s v="VALID"/>
    <n v="0.17842105263157895"/>
    <x v="1"/>
    <n v="25.63"/>
    <s v="Low"/>
  </r>
  <r>
    <n v="200"/>
    <n v="7.81"/>
    <x v="3"/>
    <x v="2"/>
    <n v="150"/>
    <n v="12.2"/>
    <n v="4.41"/>
    <n v="0.35"/>
    <n v="4.4800000000000004"/>
    <n v="12"/>
    <x v="2"/>
    <s v="VALID"/>
    <n v="2.9166666666666664E-2"/>
    <x v="0"/>
    <n v="4.4450000000000003"/>
    <s v="Low"/>
  </r>
  <r>
    <n v="1200"/>
    <n v="35.28"/>
    <x v="3"/>
    <x v="4"/>
    <n v="900"/>
    <n v="75.8"/>
    <n v="0.43"/>
    <n v="0.43"/>
    <n v="1.22"/>
    <n v="5"/>
    <x v="2"/>
    <s v="VALID"/>
    <n v="8.5999999999999993E-2"/>
    <x v="1"/>
    <n v="0.82499999999999996"/>
    <s v="Low"/>
  </r>
  <r>
    <n v="250"/>
    <n v="8.8800000000000008"/>
    <x v="1"/>
    <x v="3"/>
    <n v="600"/>
    <n v="51.3"/>
    <n v="8.2899999999999991"/>
    <n v="0.51"/>
    <n v="5.74"/>
    <n v="14"/>
    <x v="2"/>
    <s v="VALID"/>
    <n v="3.6428571428571428E-2"/>
    <x v="1"/>
    <n v="7.0149999999999997"/>
    <s v="Low"/>
  </r>
  <r>
    <n v="50"/>
    <n v="4.4800000000000004"/>
    <x v="3"/>
    <x v="3"/>
    <n v="2500"/>
    <n v="7.1"/>
    <n v="16.350000000000001"/>
    <n v="4.5599999999999996"/>
    <n v="101.79"/>
    <n v="16"/>
    <x v="0"/>
    <s v="INVALID"/>
    <m/>
    <x v="2"/>
    <m/>
    <m/>
  </r>
  <r>
    <n v="100"/>
    <n v="6.06"/>
    <x v="1"/>
    <x v="3"/>
    <n v="2500"/>
    <n v="127.7"/>
    <n v="2.4"/>
    <n v="8.9600000000000009"/>
    <n v="147.85"/>
    <n v="22"/>
    <x v="1"/>
    <s v="INVALID"/>
    <m/>
    <x v="2"/>
    <m/>
    <m/>
  </r>
  <r>
    <n v="100"/>
    <n v="7.34"/>
    <x v="1"/>
    <x v="3"/>
    <n v="600"/>
    <n v="19.2"/>
    <n v="5.91"/>
    <n v="7.41"/>
    <n v="100.95"/>
    <n v="23"/>
    <x v="1"/>
    <s v="INVALID"/>
    <m/>
    <x v="2"/>
    <m/>
    <m/>
  </r>
  <r>
    <n v="250"/>
    <n v="12.12"/>
    <x v="1"/>
    <x v="4"/>
    <n v="2500"/>
    <n v="60.7"/>
    <n v="6.85"/>
    <n v="5.47"/>
    <n v="45.13"/>
    <n v="23"/>
    <x v="1"/>
    <s v="VALID"/>
    <n v="0.23782608695652172"/>
    <x v="1"/>
    <n v="25.990000000000002"/>
    <s v="Low"/>
  </r>
  <r>
    <n v="1000"/>
    <n v="25.02"/>
    <x v="1"/>
    <x v="2"/>
    <n v="900"/>
    <n v="16"/>
    <n v="15.69"/>
    <n v="5.17"/>
    <n v="20.66"/>
    <n v="1"/>
    <x v="1"/>
    <s v="VALID"/>
    <n v="5.17"/>
    <x v="0"/>
    <n v="18.175000000000001"/>
    <s v="Low"/>
  </r>
  <r>
    <n v="250"/>
    <n v="14.96"/>
    <x v="1"/>
    <x v="3"/>
    <n v="2500"/>
    <n v="129.19999999999999"/>
    <n v="9.5299999999999994"/>
    <n v="9"/>
    <n v="60.16"/>
    <n v="9"/>
    <x v="1"/>
    <s v="VALID"/>
    <n v="1"/>
    <x v="1"/>
    <n v="34.844999999999999"/>
    <s v="Medium"/>
  </r>
  <r>
    <n v="1500"/>
    <n v="30.96"/>
    <x v="1"/>
    <x v="1"/>
    <n v="150"/>
    <n v="-37.1"/>
    <n v="17.86"/>
    <n v="9.2100000000000009"/>
    <n v="29.75"/>
    <n v="8"/>
    <x v="1"/>
    <s v="VALID"/>
    <n v="1.1512500000000001"/>
    <x v="0"/>
    <n v="23.805"/>
    <s v="Low"/>
  </r>
  <r>
    <n v="250"/>
    <n v="14.22"/>
    <x v="1"/>
    <x v="1"/>
    <n v="300"/>
    <n v="40.6"/>
    <n v="18.47"/>
    <n v="8.16"/>
    <n v="57.38"/>
    <n v="21"/>
    <x v="1"/>
    <s v="VALID"/>
    <n v="0.38857142857142857"/>
    <x v="1"/>
    <n v="37.924999999999997"/>
    <s v="Medium"/>
  </r>
  <r>
    <n v="100"/>
    <n v="6.95"/>
    <x v="3"/>
    <x v="2"/>
    <n v="2500"/>
    <n v="88.3"/>
    <n v="13.98"/>
    <n v="9.08"/>
    <n v="130.65"/>
    <n v="25"/>
    <x v="1"/>
    <s v="INVALID"/>
    <m/>
    <x v="2"/>
    <m/>
    <m/>
  </r>
  <r>
    <n v="150"/>
    <n v="6.91"/>
    <x v="2"/>
    <x v="2"/>
    <n v="600"/>
    <n v="0.5"/>
    <n v="16.27"/>
    <n v="6.74"/>
    <n v="97.54"/>
    <n v="22"/>
    <x v="1"/>
    <s v="VALID"/>
    <n v="0.30636363636363639"/>
    <x v="0"/>
    <n v="56.905000000000001"/>
    <s v="Medium"/>
  </r>
  <r>
    <n v="300"/>
    <n v="13.13"/>
    <x v="4"/>
    <x v="1"/>
    <n v="150"/>
    <n v="-18.5"/>
    <n v="12.74"/>
    <n v="2.12"/>
    <n v="16.149999999999999"/>
    <n v="19"/>
    <x v="0"/>
    <s v="VALID"/>
    <n v="0.11157894736842106"/>
    <x v="1"/>
    <n v="14.445"/>
    <s v="Low"/>
  </r>
  <r>
    <n v="50"/>
    <n v="5.83"/>
    <x v="1"/>
    <x v="3"/>
    <n v="150"/>
    <n v="18.7"/>
    <n v="16.739999999999998"/>
    <n v="0.05"/>
    <n v="0.86"/>
    <n v="5"/>
    <x v="2"/>
    <s v="VALID"/>
    <n v="0.01"/>
    <x v="1"/>
    <n v="8.7999999999999989"/>
    <s v="Low"/>
  </r>
  <r>
    <n v="50"/>
    <n v="4.5"/>
    <x v="1"/>
    <x v="3"/>
    <n v="150"/>
    <n v="48.2"/>
    <n v="18.04"/>
    <n v="0.25"/>
    <n v="5.56"/>
    <n v="12"/>
    <x v="2"/>
    <s v="VALID"/>
    <n v="2.0833333333333332E-2"/>
    <x v="1"/>
    <n v="11.799999999999999"/>
    <s v="Low"/>
  </r>
  <r>
    <n v="1000"/>
    <n v="21.84"/>
    <x v="2"/>
    <x v="3"/>
    <n v="2500"/>
    <n v="8.6999999999999993"/>
    <n v="12.14"/>
    <n v="9.75"/>
    <n v="44.64"/>
    <n v="4"/>
    <x v="1"/>
    <s v="VALID"/>
    <n v="2.4375"/>
    <x v="1"/>
    <n v="28.39"/>
    <s v="Low"/>
  </r>
  <r>
    <n v="150"/>
    <n v="5.43"/>
    <x v="2"/>
    <x v="1"/>
    <n v="1500"/>
    <n v="8.9"/>
    <n v="13.32"/>
    <n v="5.21"/>
    <n v="95.95"/>
    <n v="18"/>
    <x v="1"/>
    <s v="VALID"/>
    <n v="0.28944444444444445"/>
    <x v="0"/>
    <n v="54.635000000000005"/>
    <s v="Medium"/>
  </r>
  <r>
    <n v="100"/>
    <n v="6.12"/>
    <x v="1"/>
    <x v="0"/>
    <n v="300"/>
    <n v="1.7"/>
    <n v="12.05"/>
    <n v="7.16"/>
    <n v="116.99"/>
    <n v="12"/>
    <x v="1"/>
    <s v="INVALID"/>
    <m/>
    <x v="2"/>
    <m/>
    <m/>
  </r>
  <r>
    <n v="50"/>
    <n v="4.3"/>
    <x v="4"/>
    <x v="3"/>
    <n v="300"/>
    <n v="127.1"/>
    <n v="0.92"/>
    <n v="4.79"/>
    <n v="111.4"/>
    <n v="13"/>
    <x v="0"/>
    <s v="INVALID"/>
    <m/>
    <x v="2"/>
    <m/>
    <m/>
  </r>
  <r>
    <n v="1200"/>
    <n v="31.01"/>
    <x v="1"/>
    <x v="3"/>
    <n v="900"/>
    <n v="27.2"/>
    <n v="5"/>
    <n v="3.03"/>
    <n v="9.77"/>
    <n v="9"/>
    <x v="0"/>
    <s v="VALID"/>
    <n v="0.33666666666666667"/>
    <x v="1"/>
    <n v="7.3849999999999998"/>
    <s v="Low"/>
  </r>
  <r>
    <n v="1200"/>
    <n v="28.75"/>
    <x v="2"/>
    <x v="0"/>
    <n v="150"/>
    <n v="31.1"/>
    <n v="7.43"/>
    <n v="2.1"/>
    <n v="7.3"/>
    <n v="13"/>
    <x v="0"/>
    <s v="VALID"/>
    <n v="0.16153846153846155"/>
    <x v="1"/>
    <n v="7.3650000000000002"/>
    <s v="Low"/>
  </r>
  <r>
    <n v="200"/>
    <n v="6.88"/>
    <x v="2"/>
    <x v="0"/>
    <n v="600"/>
    <n v="56.6"/>
    <n v="3.37"/>
    <n v="0.35"/>
    <n v="5.09"/>
    <n v="25"/>
    <x v="2"/>
    <s v="VALID"/>
    <n v="1.3999999999999999E-2"/>
    <x v="1"/>
    <n v="4.2300000000000004"/>
    <s v="Low"/>
  </r>
  <r>
    <n v="1200"/>
    <n v="20.66"/>
    <x v="2"/>
    <x v="3"/>
    <n v="150"/>
    <n v="118.5"/>
    <n v="11.43"/>
    <n v="8.42"/>
    <n v="40.76"/>
    <n v="5"/>
    <x v="1"/>
    <s v="VALID"/>
    <n v="1.6839999999999999"/>
    <x v="1"/>
    <n v="26.094999999999999"/>
    <s v="Low"/>
  </r>
  <r>
    <n v="500"/>
    <n v="12.66"/>
    <x v="4"/>
    <x v="3"/>
    <n v="600"/>
    <n v="68.5"/>
    <n v="16.75"/>
    <n v="7.28"/>
    <n v="57.5"/>
    <n v="2"/>
    <x v="1"/>
    <s v="VALID"/>
    <n v="3.64"/>
    <x v="1"/>
    <n v="37.125"/>
    <s v="Medium"/>
  </r>
  <r>
    <n v="800"/>
    <n v="28.54"/>
    <x v="3"/>
    <x v="2"/>
    <n v="900"/>
    <n v="72.3"/>
    <n v="14.88"/>
    <n v="2.4300000000000002"/>
    <n v="8.51"/>
    <n v="21"/>
    <x v="0"/>
    <s v="VALID"/>
    <n v="0.11571428571428573"/>
    <x v="1"/>
    <n v="11.695"/>
    <s v="Low"/>
  </r>
  <r>
    <n v="250"/>
    <n v="14.06"/>
    <x v="3"/>
    <x v="1"/>
    <n v="300"/>
    <n v="73.900000000000006"/>
    <n v="16.34"/>
    <n v="1.45"/>
    <n v="10.31"/>
    <n v="6"/>
    <x v="2"/>
    <s v="VALID"/>
    <n v="0.24166666666666667"/>
    <x v="1"/>
    <n v="13.324999999999999"/>
    <s v="Low"/>
  </r>
  <r>
    <n v="100"/>
    <n v="6.45"/>
    <x v="3"/>
    <x v="4"/>
    <n v="900"/>
    <n v="95.9"/>
    <n v="15.64"/>
    <n v="7.02"/>
    <n v="108.84"/>
    <n v="20"/>
    <x v="1"/>
    <s v="INVALID"/>
    <m/>
    <x v="2"/>
    <m/>
    <m/>
  </r>
  <r>
    <n v="100"/>
    <n v="6.91"/>
    <x v="1"/>
    <x v="1"/>
    <n v="150"/>
    <n v="16.8"/>
    <n v="18.59"/>
    <n v="6.81"/>
    <n v="98.55"/>
    <n v="4"/>
    <x v="1"/>
    <s v="VALID"/>
    <n v="1.7024999999999999"/>
    <x v="1"/>
    <n v="58.57"/>
    <s v="Medium"/>
  </r>
  <r>
    <n v="600"/>
    <n v="21.01"/>
    <x v="4"/>
    <x v="4"/>
    <n v="300"/>
    <n v="30.9"/>
    <n v="13.18"/>
    <n v="8.26"/>
    <n v="39.31"/>
    <n v="14"/>
    <x v="1"/>
    <s v="VALID"/>
    <n v="0.59"/>
    <x v="1"/>
    <n v="26.245000000000001"/>
    <s v="Low"/>
  </r>
  <r>
    <n v="250"/>
    <n v="10.130000000000001"/>
    <x v="4"/>
    <x v="3"/>
    <n v="600"/>
    <n v="66"/>
    <n v="0.17"/>
    <n v="2.86"/>
    <n v="28.23"/>
    <n v="17"/>
    <x v="0"/>
    <s v="VALID"/>
    <n v="0.16823529411764704"/>
    <x v="1"/>
    <n v="14.200000000000001"/>
    <s v="Low"/>
  </r>
  <r>
    <n v="50"/>
    <n v="3.31"/>
    <x v="1"/>
    <x v="2"/>
    <n v="2500"/>
    <n v="88"/>
    <n v="14.16"/>
    <n v="9.58"/>
    <n v="289.43"/>
    <n v="18"/>
    <x v="1"/>
    <s v="INVALID"/>
    <m/>
    <x v="2"/>
    <m/>
    <m/>
  </r>
  <r>
    <n v="1500"/>
    <n v="43.88"/>
    <x v="4"/>
    <x v="3"/>
    <n v="150"/>
    <n v="107.8"/>
    <n v="10.93"/>
    <n v="8.06"/>
    <n v="18.37"/>
    <n v="11"/>
    <x v="1"/>
    <s v="VALID"/>
    <n v="0.73272727272727278"/>
    <x v="0"/>
    <n v="14.65"/>
    <s v="Low"/>
  </r>
  <r>
    <n v="300"/>
    <n v="11.6"/>
    <x v="3"/>
    <x v="2"/>
    <n v="900"/>
    <n v="110.5"/>
    <n v="3.02"/>
    <n v="5.65"/>
    <n v="48.71"/>
    <n v="19"/>
    <x v="1"/>
    <s v="VALID"/>
    <n v="0.29736842105263162"/>
    <x v="1"/>
    <n v="25.865000000000002"/>
    <s v="Low"/>
  </r>
  <r>
    <n v="50"/>
    <n v="5.46"/>
    <x v="3"/>
    <x v="4"/>
    <n v="1500"/>
    <n v="26.2"/>
    <n v="14.04"/>
    <n v="9.36"/>
    <n v="171.43"/>
    <n v="17"/>
    <x v="1"/>
    <s v="INVALID"/>
    <m/>
    <x v="2"/>
    <m/>
    <m/>
  </r>
  <r>
    <n v="300"/>
    <n v="8.9600000000000009"/>
    <x v="0"/>
    <x v="3"/>
    <n v="2500"/>
    <n v="48.7"/>
    <n v="2.38"/>
    <n v="4.63"/>
    <n v="51.67"/>
    <n v="2"/>
    <x v="0"/>
    <s v="VALID"/>
    <n v="2.3149999999999999"/>
    <x v="0"/>
    <n v="27.025000000000002"/>
    <s v="Low"/>
  </r>
  <r>
    <n v="200"/>
    <n v="10.9"/>
    <x v="3"/>
    <x v="2"/>
    <n v="900"/>
    <n v="-13"/>
    <n v="13.91"/>
    <n v="2.1800000000000002"/>
    <n v="20"/>
    <n v="17"/>
    <x v="0"/>
    <s v="VALID"/>
    <n v="0.12823529411764706"/>
    <x v="0"/>
    <n v="16.954999999999998"/>
    <s v="Low"/>
  </r>
  <r>
    <n v="100"/>
    <n v="7.36"/>
    <x v="4"/>
    <x v="3"/>
    <n v="150"/>
    <n v="-9.5"/>
    <n v="4.1500000000000004"/>
    <n v="5.57"/>
    <n v="75.680000000000007"/>
    <n v="13"/>
    <x v="1"/>
    <s v="VALID"/>
    <n v="0.4284615384615385"/>
    <x v="1"/>
    <n v="39.915000000000006"/>
    <s v="Medium"/>
  </r>
  <r>
    <n v="600"/>
    <n v="27.85"/>
    <x v="3"/>
    <x v="1"/>
    <n v="600"/>
    <n v="14.6"/>
    <n v="12.75"/>
    <n v="0.78"/>
    <n v="2.8"/>
    <n v="19"/>
    <x v="2"/>
    <s v="VALID"/>
    <n v="4.1052631578947368E-2"/>
    <x v="1"/>
    <n v="7.7750000000000004"/>
    <s v="Low"/>
  </r>
  <r>
    <n v="1200"/>
    <n v="25.26"/>
    <x v="2"/>
    <x v="0"/>
    <n v="2500"/>
    <n v="-9.8000000000000007"/>
    <n v="9.52"/>
    <n v="8.18"/>
    <n v="32.380000000000003"/>
    <n v="13"/>
    <x v="1"/>
    <s v="VALID"/>
    <n v="0.62923076923076926"/>
    <x v="1"/>
    <n v="20.950000000000003"/>
    <s v="Low"/>
  </r>
  <r>
    <n v="150"/>
    <n v="6.96"/>
    <x v="0"/>
    <x v="1"/>
    <n v="600"/>
    <n v="53.8"/>
    <n v="2.38"/>
    <n v="8.69"/>
    <n v="124.86"/>
    <n v="3"/>
    <x v="1"/>
    <s v="INVALID"/>
    <m/>
    <x v="2"/>
    <m/>
    <m/>
  </r>
  <r>
    <n v="50"/>
    <n v="3.69"/>
    <x v="0"/>
    <x v="0"/>
    <n v="600"/>
    <n v="-13.4"/>
    <n v="18.100000000000001"/>
    <n v="8.2899999999999991"/>
    <n v="224.66"/>
    <n v="5"/>
    <x v="1"/>
    <s v="INVALID"/>
    <m/>
    <x v="2"/>
    <m/>
    <m/>
  </r>
  <r>
    <n v="50"/>
    <n v="5.5"/>
    <x v="3"/>
    <x v="3"/>
    <n v="1500"/>
    <n v="53.7"/>
    <n v="1.59"/>
    <n v="2.7"/>
    <n v="49.09"/>
    <n v="3"/>
    <x v="0"/>
    <s v="VALID"/>
    <n v="0.9"/>
    <x v="1"/>
    <n v="25.340000000000003"/>
    <s v="Low"/>
  </r>
  <r>
    <n v="150"/>
    <n v="6.24"/>
    <x v="2"/>
    <x v="2"/>
    <n v="1500"/>
    <n v="30.8"/>
    <n v="4.1100000000000003"/>
    <n v="5.58"/>
    <n v="89.42"/>
    <n v="11"/>
    <x v="1"/>
    <s v="VALID"/>
    <n v="0.50727272727272732"/>
    <x v="0"/>
    <n v="46.765000000000001"/>
    <s v="Medium"/>
  </r>
  <r>
    <n v="600"/>
    <n v="22.17"/>
    <x v="1"/>
    <x v="2"/>
    <n v="150"/>
    <n v="36.1"/>
    <n v="17.920000000000002"/>
    <n v="4.0999999999999996"/>
    <n v="18.489999999999998"/>
    <n v="4"/>
    <x v="0"/>
    <s v="VALID"/>
    <n v="1.0249999999999999"/>
    <x v="0"/>
    <n v="18.204999999999998"/>
    <s v="Low"/>
  </r>
  <r>
    <n v="100"/>
    <n v="5.72"/>
    <x v="3"/>
    <x v="2"/>
    <n v="300"/>
    <n v="12.3"/>
    <n v="11.19"/>
    <n v="6.79"/>
    <n v="118.71"/>
    <n v="12"/>
    <x v="1"/>
    <s v="INVALID"/>
    <m/>
    <x v="2"/>
    <m/>
    <m/>
  </r>
  <r>
    <n v="100"/>
    <n v="4.1399999999999997"/>
    <x v="0"/>
    <x v="3"/>
    <n v="600"/>
    <n v="19.3"/>
    <n v="10.6"/>
    <n v="8.34"/>
    <n v="201.45"/>
    <n v="21"/>
    <x v="1"/>
    <s v="INVALID"/>
    <m/>
    <x v="2"/>
    <m/>
    <m/>
  </r>
  <r>
    <n v="1500"/>
    <n v="31.27"/>
    <x v="3"/>
    <x v="0"/>
    <n v="150"/>
    <n v="69"/>
    <n v="16.489999999999998"/>
    <n v="6.96"/>
    <n v="22.26"/>
    <n v="10"/>
    <x v="1"/>
    <s v="VALID"/>
    <n v="0.69599999999999995"/>
    <x v="1"/>
    <n v="19.375"/>
    <s v="Low"/>
  </r>
  <r>
    <n v="800"/>
    <n v="24.36"/>
    <x v="2"/>
    <x v="2"/>
    <n v="600"/>
    <n v="116.6"/>
    <n v="3.27"/>
    <n v="5.57"/>
    <n v="22.87"/>
    <n v="9"/>
    <x v="1"/>
    <s v="VALID"/>
    <n v="0.61888888888888893"/>
    <x v="1"/>
    <n v="13.07"/>
    <s v="Low"/>
  </r>
  <r>
    <n v="1500"/>
    <n v="43.2"/>
    <x v="0"/>
    <x v="0"/>
    <n v="900"/>
    <n v="48.7"/>
    <n v="13.27"/>
    <n v="5.5"/>
    <n v="12.73"/>
    <n v="4"/>
    <x v="1"/>
    <s v="VALID"/>
    <n v="1.375"/>
    <x v="1"/>
    <n v="13"/>
    <s v="Low"/>
  </r>
  <r>
    <n v="800"/>
    <n v="30.44"/>
    <x v="2"/>
    <x v="3"/>
    <n v="900"/>
    <n v="15.8"/>
    <n v="2.16"/>
    <n v="4.9800000000000004"/>
    <n v="16.36"/>
    <n v="4"/>
    <x v="0"/>
    <s v="VALID"/>
    <n v="1.2450000000000001"/>
    <x v="1"/>
    <n v="9.26"/>
    <s v="Low"/>
  </r>
  <r>
    <n v="200"/>
    <n v="7.82"/>
    <x v="1"/>
    <x v="3"/>
    <n v="2500"/>
    <n v="-0.5"/>
    <n v="16"/>
    <n v="3.75"/>
    <n v="47.95"/>
    <n v="14"/>
    <x v="0"/>
    <s v="VALID"/>
    <n v="0.26785714285714285"/>
    <x v="1"/>
    <n v="31.975000000000001"/>
    <s v="Medium"/>
  </r>
  <r>
    <n v="400"/>
    <n v="12.31"/>
    <x v="0"/>
    <x v="1"/>
    <n v="150"/>
    <n v="-15.5"/>
    <n v="4.47"/>
    <n v="5.41"/>
    <n v="43.95"/>
    <n v="11"/>
    <x v="1"/>
    <s v="VALID"/>
    <n v="0.49181818181818182"/>
    <x v="0"/>
    <n v="24.21"/>
    <s v="Low"/>
  </r>
  <r>
    <n v="400"/>
    <n v="8.35"/>
    <x v="2"/>
    <x v="1"/>
    <n v="2500"/>
    <n v="-9.1999999999999993"/>
    <n v="1.94"/>
    <n v="8.44"/>
    <n v="101.08"/>
    <n v="9"/>
    <x v="1"/>
    <s v="INVALID"/>
    <m/>
    <x v="2"/>
    <m/>
    <m/>
  </r>
  <r>
    <n v="1500"/>
    <n v="33.409999999999997"/>
    <x v="1"/>
    <x v="1"/>
    <n v="300"/>
    <n v="54.7"/>
    <n v="10.59"/>
    <n v="9.85"/>
    <n v="29.48"/>
    <n v="8"/>
    <x v="1"/>
    <s v="VALID"/>
    <n v="1.23125"/>
    <x v="0"/>
    <n v="20.035"/>
    <s v="Low"/>
  </r>
  <r>
    <n v="200"/>
    <n v="7.74"/>
    <x v="0"/>
    <x v="2"/>
    <n v="900"/>
    <n v="-25.9"/>
    <n v="1.27"/>
    <n v="0.64"/>
    <n v="8.27"/>
    <n v="1"/>
    <x v="2"/>
    <s v="VALID"/>
    <n v="0.64"/>
    <x v="1"/>
    <n v="4.7699999999999996"/>
    <s v="Low"/>
  </r>
  <r>
    <n v="300"/>
    <n v="8.68"/>
    <x v="2"/>
    <x v="2"/>
    <n v="300"/>
    <n v="-21"/>
    <n v="4.76"/>
    <n v="6.01"/>
    <n v="69.239999999999995"/>
    <n v="22"/>
    <x v="1"/>
    <s v="VALID"/>
    <n v="0.27318181818181819"/>
    <x v="1"/>
    <n v="37"/>
    <s v="Medium"/>
  </r>
  <r>
    <n v="1200"/>
    <n v="22.53"/>
    <x v="2"/>
    <x v="0"/>
    <n v="150"/>
    <n v="17.8"/>
    <n v="13.58"/>
    <n v="4.1100000000000003"/>
    <n v="18.239999999999998"/>
    <n v="7"/>
    <x v="0"/>
    <s v="VALID"/>
    <n v="0.58714285714285719"/>
    <x v="1"/>
    <n v="15.91"/>
    <s v="Low"/>
  </r>
  <r>
    <n v="250"/>
    <n v="10.95"/>
    <x v="3"/>
    <x v="1"/>
    <n v="2500"/>
    <n v="11.7"/>
    <n v="8.82"/>
    <n v="4.04"/>
    <n v="36.89"/>
    <n v="24"/>
    <x v="0"/>
    <s v="VALID"/>
    <n v="0.16833333333333333"/>
    <x v="1"/>
    <n v="22.855"/>
    <s v="Low"/>
  </r>
  <r>
    <n v="100"/>
    <n v="4.8899999999999997"/>
    <x v="0"/>
    <x v="0"/>
    <n v="600"/>
    <n v="2.4"/>
    <n v="2.5099999999999998"/>
    <n v="0.61"/>
    <n v="12.47"/>
    <n v="8"/>
    <x v="2"/>
    <s v="VALID"/>
    <n v="7.6249999999999998E-2"/>
    <x v="0"/>
    <n v="7.49"/>
    <s v="Low"/>
  </r>
  <r>
    <n v="50"/>
    <n v="5.62"/>
    <x v="1"/>
    <x v="3"/>
    <n v="900"/>
    <n v="42.2"/>
    <n v="0.44"/>
    <n v="6.21"/>
    <n v="110.5"/>
    <n v="20"/>
    <x v="1"/>
    <s v="INVALID"/>
    <m/>
    <x v="2"/>
    <m/>
    <m/>
  </r>
  <r>
    <n v="300"/>
    <n v="15.95"/>
    <x v="3"/>
    <x v="3"/>
    <n v="1500"/>
    <n v="26"/>
    <n v="15.26"/>
    <n v="0.94"/>
    <n v="5.89"/>
    <n v="16"/>
    <x v="2"/>
    <s v="VALID"/>
    <n v="5.8749999999999997E-2"/>
    <x v="1"/>
    <n v="10.574999999999999"/>
    <s v="Low"/>
  </r>
  <r>
    <n v="50"/>
    <n v="3.04"/>
    <x v="0"/>
    <x v="1"/>
    <n v="300"/>
    <n v="32.6"/>
    <n v="4.5999999999999996"/>
    <n v="9.69"/>
    <n v="318.75"/>
    <n v="15"/>
    <x v="1"/>
    <s v="INVALID"/>
    <m/>
    <x v="2"/>
    <m/>
    <m/>
  </r>
  <r>
    <n v="400"/>
    <n v="17.32"/>
    <x v="3"/>
    <x v="2"/>
    <n v="900"/>
    <n v="31.4"/>
    <n v="1.33"/>
    <n v="1.79"/>
    <n v="10.33"/>
    <n v="12"/>
    <x v="2"/>
    <s v="VALID"/>
    <n v="0.14916666666666667"/>
    <x v="1"/>
    <n v="5.83"/>
    <s v="Low"/>
  </r>
  <r>
    <n v="100"/>
    <n v="5.21"/>
    <x v="4"/>
    <x v="1"/>
    <n v="300"/>
    <n v="67.5"/>
    <n v="2.93"/>
    <n v="5.76"/>
    <n v="110.56"/>
    <n v="19"/>
    <x v="1"/>
    <s v="INVALID"/>
    <m/>
    <x v="2"/>
    <m/>
    <m/>
  </r>
  <r>
    <n v="500"/>
    <n v="24.44"/>
    <x v="1"/>
    <x v="0"/>
    <n v="300"/>
    <n v="11.9"/>
    <n v="12.93"/>
    <n v="6.75"/>
    <n v="27.62"/>
    <n v="10"/>
    <x v="1"/>
    <s v="VALID"/>
    <n v="0.67500000000000004"/>
    <x v="1"/>
    <n v="20.274999999999999"/>
    <s v="Low"/>
  </r>
  <r>
    <n v="1200"/>
    <n v="34.299999999999997"/>
    <x v="0"/>
    <x v="1"/>
    <n v="150"/>
    <n v="89.3"/>
    <n v="6.74"/>
    <n v="3.16"/>
    <n v="9.2100000000000009"/>
    <n v="5"/>
    <x v="0"/>
    <s v="VALID"/>
    <n v="0.63200000000000001"/>
    <x v="1"/>
    <n v="7.9750000000000005"/>
    <s v="Low"/>
  </r>
  <r>
    <n v="150"/>
    <n v="6.58"/>
    <x v="0"/>
    <x v="0"/>
    <n v="2500"/>
    <n v="95.9"/>
    <n v="10.16"/>
    <n v="6.98"/>
    <n v="106.08"/>
    <n v="22"/>
    <x v="1"/>
    <s v="INVALID"/>
    <m/>
    <x v="2"/>
    <m/>
    <m/>
  </r>
  <r>
    <n v="400"/>
    <n v="15.23"/>
    <x v="2"/>
    <x v="0"/>
    <n v="300"/>
    <n v="44.5"/>
    <n v="5.53"/>
    <n v="4.54"/>
    <n v="29.81"/>
    <n v="1"/>
    <x v="0"/>
    <s v="VALID"/>
    <n v="4.54"/>
    <x v="0"/>
    <n v="17.669999999999998"/>
    <s v="Low"/>
  </r>
  <r>
    <n v="50"/>
    <n v="3.25"/>
    <x v="3"/>
    <x v="0"/>
    <n v="1500"/>
    <n v="34.6"/>
    <n v="5.32"/>
    <n v="9.52"/>
    <n v="292.92"/>
    <n v="11"/>
    <x v="1"/>
    <s v="INVALID"/>
    <m/>
    <x v="2"/>
    <m/>
    <m/>
  </r>
  <r>
    <n v="500"/>
    <n v="14.29"/>
    <x v="4"/>
    <x v="2"/>
    <n v="2500"/>
    <n v="21.4"/>
    <n v="4.5"/>
    <n v="8.42"/>
    <n v="58.92"/>
    <n v="18"/>
    <x v="1"/>
    <s v="VALID"/>
    <n v="0.46777777777777779"/>
    <x v="0"/>
    <n v="31.71"/>
    <s v="Medium"/>
  </r>
  <r>
    <n v="1500"/>
    <n v="44.29"/>
    <x v="1"/>
    <x v="1"/>
    <n v="600"/>
    <n v="54.1"/>
    <n v="12.97"/>
    <n v="1.59"/>
    <n v="3.59"/>
    <n v="4"/>
    <x v="2"/>
    <s v="VALID"/>
    <n v="0.39750000000000002"/>
    <x v="0"/>
    <n v="8.2800000000000011"/>
    <s v="Low"/>
  </r>
  <r>
    <n v="1000"/>
    <n v="31.28"/>
    <x v="4"/>
    <x v="4"/>
    <n v="1500"/>
    <n v="30"/>
    <n v="3.04"/>
    <n v="9.7100000000000009"/>
    <n v="31.04"/>
    <n v="16"/>
    <x v="1"/>
    <s v="VALID"/>
    <n v="0.60687500000000005"/>
    <x v="1"/>
    <n v="17.04"/>
    <s v="Low"/>
  </r>
  <r>
    <n v="1200"/>
    <n v="37.119999999999997"/>
    <x v="4"/>
    <x v="1"/>
    <n v="2500"/>
    <n v="102.2"/>
    <n v="8.3000000000000007"/>
    <n v="5.86"/>
    <n v="15.79"/>
    <n v="20"/>
    <x v="1"/>
    <s v="VALID"/>
    <n v="0.29300000000000004"/>
    <x v="0"/>
    <n v="12.045"/>
    <s v="Low"/>
  </r>
  <r>
    <n v="800"/>
    <n v="25.85"/>
    <x v="4"/>
    <x v="4"/>
    <n v="1500"/>
    <n v="21.4"/>
    <n v="9.85"/>
    <n v="1.36"/>
    <n v="5.26"/>
    <n v="8"/>
    <x v="2"/>
    <s v="VALID"/>
    <n v="0.17"/>
    <x v="0"/>
    <n v="7.5549999999999997"/>
    <s v="Low"/>
  </r>
  <r>
    <n v="100"/>
    <n v="4.55"/>
    <x v="4"/>
    <x v="1"/>
    <n v="600"/>
    <n v="62.3"/>
    <n v="9.8699999999999992"/>
    <n v="8.5299999999999994"/>
    <n v="187.47"/>
    <n v="25"/>
    <x v="1"/>
    <s v="INVALID"/>
    <m/>
    <x v="2"/>
    <m/>
    <m/>
  </r>
  <r>
    <n v="1500"/>
    <n v="47.27"/>
    <x v="2"/>
    <x v="1"/>
    <n v="600"/>
    <n v="0.6"/>
    <n v="8.51"/>
    <n v="3.84"/>
    <n v="8.1199999999999992"/>
    <n v="9"/>
    <x v="0"/>
    <s v="VALID"/>
    <n v="0.42666666666666664"/>
    <x v="1"/>
    <n v="8.3149999999999995"/>
    <s v="Low"/>
  </r>
  <r>
    <n v="150"/>
    <n v="6.25"/>
    <x v="3"/>
    <x v="1"/>
    <n v="2500"/>
    <n v="-36.4"/>
    <n v="12.69"/>
    <n v="8.31"/>
    <n v="132.96"/>
    <n v="20"/>
    <x v="1"/>
    <s v="INVALID"/>
    <m/>
    <x v="2"/>
    <m/>
    <m/>
  </r>
  <r>
    <n v="1500"/>
    <n v="34.770000000000003"/>
    <x v="0"/>
    <x v="2"/>
    <n v="2500"/>
    <n v="127"/>
    <n v="13.73"/>
    <n v="5.56"/>
    <n v="15.99"/>
    <n v="21"/>
    <x v="1"/>
    <s v="VALID"/>
    <n v="0.26476190476190475"/>
    <x v="0"/>
    <n v="14.86"/>
    <s v="Low"/>
  </r>
  <r>
    <n v="250"/>
    <n v="9.9"/>
    <x v="2"/>
    <x v="4"/>
    <n v="150"/>
    <n v="21.9"/>
    <n v="0.33"/>
    <n v="6.21"/>
    <n v="62.73"/>
    <n v="17"/>
    <x v="1"/>
    <s v="VALID"/>
    <n v="0.36529411764705882"/>
    <x v="0"/>
    <n v="31.529999999999998"/>
    <s v="Medium"/>
  </r>
  <r>
    <n v="100"/>
    <n v="6.3"/>
    <x v="1"/>
    <x v="1"/>
    <n v="150"/>
    <n v="20.2"/>
    <n v="1.08"/>
    <n v="5.0599999999999996"/>
    <n v="80.319999999999993"/>
    <n v="8"/>
    <x v="1"/>
    <s v="VALID"/>
    <n v="0.63249999999999995"/>
    <x v="1"/>
    <n v="40.699999999999996"/>
    <s v="Medium"/>
  </r>
  <r>
    <n v="1000"/>
    <n v="28.47"/>
    <x v="2"/>
    <x v="0"/>
    <n v="900"/>
    <n v="58.5"/>
    <n v="8.4"/>
    <n v="0.71"/>
    <n v="2.4900000000000002"/>
    <n v="10"/>
    <x v="2"/>
    <s v="VALID"/>
    <n v="7.0999999999999994E-2"/>
    <x v="1"/>
    <n v="5.4450000000000003"/>
    <s v="Low"/>
  </r>
  <r>
    <n v="600"/>
    <n v="23.1"/>
    <x v="1"/>
    <x v="0"/>
    <n v="2500"/>
    <n v="41.9"/>
    <n v="15.62"/>
    <n v="7.28"/>
    <n v="31.52"/>
    <n v="25"/>
    <x v="1"/>
    <s v="VALID"/>
    <n v="0.29120000000000001"/>
    <x v="1"/>
    <n v="23.57"/>
    <s v="Low"/>
  </r>
  <r>
    <n v="800"/>
    <n v="19.82"/>
    <x v="3"/>
    <x v="1"/>
    <n v="900"/>
    <n v="14.3"/>
    <n v="15.34"/>
    <n v="2.63"/>
    <n v="13.27"/>
    <n v="18"/>
    <x v="0"/>
    <s v="VALID"/>
    <n v="0.14611111111111111"/>
    <x v="0"/>
    <n v="14.305"/>
    <s v="Low"/>
  </r>
  <r>
    <n v="200"/>
    <n v="8.01"/>
    <x v="1"/>
    <x v="0"/>
    <n v="900"/>
    <n v="35.299999999999997"/>
    <n v="2.73"/>
    <n v="5.0999999999999996"/>
    <n v="63.67"/>
    <n v="22"/>
    <x v="1"/>
    <s v="VALID"/>
    <n v="0.23181818181818181"/>
    <x v="1"/>
    <n v="33.200000000000003"/>
    <s v="Medium"/>
  </r>
  <r>
    <n v="50"/>
    <n v="3.03"/>
    <x v="4"/>
    <x v="1"/>
    <n v="1500"/>
    <n v="32.299999999999997"/>
    <n v="1.7"/>
    <n v="5.19"/>
    <n v="171.29"/>
    <n v="10"/>
    <x v="1"/>
    <s v="INVALID"/>
    <m/>
    <x v="2"/>
    <m/>
    <m/>
  </r>
  <r>
    <n v="500"/>
    <n v="16.18"/>
    <x v="4"/>
    <x v="1"/>
    <n v="300"/>
    <n v="18.100000000000001"/>
    <n v="6.3"/>
    <n v="7.77"/>
    <n v="48.02"/>
    <n v="8"/>
    <x v="1"/>
    <s v="VALID"/>
    <n v="0.97124999999999995"/>
    <x v="0"/>
    <n v="27.16"/>
    <s v="Low"/>
  </r>
  <r>
    <n v="800"/>
    <n v="25.94"/>
    <x v="4"/>
    <x v="2"/>
    <n v="2500"/>
    <n v="-8.1999999999999993"/>
    <n v="16.89"/>
    <n v="7.31"/>
    <n v="28.18"/>
    <n v="15"/>
    <x v="1"/>
    <s v="VALID"/>
    <n v="0.48733333333333329"/>
    <x v="1"/>
    <n v="22.535"/>
    <s v="Low"/>
  </r>
  <r>
    <n v="100"/>
    <n v="7.95"/>
    <x v="1"/>
    <x v="4"/>
    <n v="2500"/>
    <n v="9.5"/>
    <n v="13.9"/>
    <n v="1.71"/>
    <n v="21.51"/>
    <n v="13"/>
    <x v="2"/>
    <s v="VALID"/>
    <n v="0.13153846153846155"/>
    <x v="0"/>
    <n v="17.705000000000002"/>
    <s v="Low"/>
  </r>
  <r>
    <n v="100"/>
    <n v="5.96"/>
    <x v="0"/>
    <x v="4"/>
    <n v="2500"/>
    <n v="-22.2"/>
    <n v="12.29"/>
    <n v="3.89"/>
    <n v="65.27"/>
    <n v="19"/>
    <x v="0"/>
    <s v="VALID"/>
    <n v="0.20473684210526316"/>
    <x v="0"/>
    <n v="38.78"/>
    <s v="Medium"/>
  </r>
  <r>
    <n v="600"/>
    <n v="22.74"/>
    <x v="4"/>
    <x v="1"/>
    <n v="600"/>
    <n v="58.3"/>
    <n v="19.34"/>
    <n v="8.0399999999999991"/>
    <n v="35.36"/>
    <n v="25"/>
    <x v="1"/>
    <s v="VALID"/>
    <n v="0.32159999999999994"/>
    <x v="0"/>
    <n v="27.35"/>
    <s v="Low"/>
  </r>
  <r>
    <n v="500"/>
    <n v="14.74"/>
    <x v="2"/>
    <x v="4"/>
    <n v="150"/>
    <n v="-37.6"/>
    <n v="19.170000000000002"/>
    <n v="4.33"/>
    <n v="29.38"/>
    <n v="14"/>
    <x v="0"/>
    <s v="VALID"/>
    <n v="0.30928571428571427"/>
    <x v="1"/>
    <n v="24.274999999999999"/>
    <s v="Low"/>
  </r>
  <r>
    <n v="400"/>
    <n v="17.53"/>
    <x v="1"/>
    <x v="4"/>
    <n v="300"/>
    <n v="83.6"/>
    <n v="2.2799999999999998"/>
    <n v="4.6399999999999997"/>
    <n v="26.47"/>
    <n v="19"/>
    <x v="0"/>
    <s v="VALID"/>
    <n v="0.24421052631578946"/>
    <x v="1"/>
    <n v="14.375"/>
    <s v="Low"/>
  </r>
  <r>
    <n v="800"/>
    <n v="23.62"/>
    <x v="2"/>
    <x v="1"/>
    <n v="900"/>
    <n v="-24.3"/>
    <n v="10.58"/>
    <n v="0.92"/>
    <n v="3.9"/>
    <n v="7"/>
    <x v="2"/>
    <s v="VALID"/>
    <n v="0.13142857142857142"/>
    <x v="1"/>
    <n v="7.24"/>
    <s v="Low"/>
  </r>
  <r>
    <n v="100"/>
    <n v="4.34"/>
    <x v="4"/>
    <x v="1"/>
    <n v="900"/>
    <n v="145.80000000000001"/>
    <n v="6.75"/>
    <n v="4.82"/>
    <n v="111.06"/>
    <n v="20"/>
    <x v="0"/>
    <s v="INVALID"/>
    <m/>
    <x v="2"/>
    <m/>
    <m/>
  </r>
  <r>
    <n v="800"/>
    <n v="25.01"/>
    <x v="3"/>
    <x v="2"/>
    <n v="900"/>
    <n v="46.9"/>
    <n v="13.68"/>
    <n v="8.81"/>
    <n v="35.229999999999997"/>
    <n v="13"/>
    <x v="1"/>
    <s v="VALID"/>
    <n v="0.6776923076923077"/>
    <x v="1"/>
    <n v="24.454999999999998"/>
    <s v="Low"/>
  </r>
  <r>
    <n v="600"/>
    <n v="16.41"/>
    <x v="2"/>
    <x v="4"/>
    <n v="600"/>
    <n v="66.400000000000006"/>
    <n v="1.02"/>
    <n v="9.31"/>
    <n v="56.73"/>
    <n v="4"/>
    <x v="1"/>
    <s v="VALID"/>
    <n v="2.3275000000000001"/>
    <x v="1"/>
    <n v="28.875"/>
    <s v="Low"/>
  </r>
  <r>
    <n v="1000"/>
    <n v="29.23"/>
    <x v="3"/>
    <x v="1"/>
    <n v="2500"/>
    <n v="135"/>
    <n v="4.6500000000000004"/>
    <n v="8.4700000000000006"/>
    <n v="28.98"/>
    <n v="16"/>
    <x v="1"/>
    <s v="VALID"/>
    <n v="0.52937500000000004"/>
    <x v="1"/>
    <n v="16.815000000000001"/>
    <s v="Low"/>
  </r>
  <r>
    <n v="800"/>
    <n v="27.97"/>
    <x v="3"/>
    <x v="4"/>
    <n v="2500"/>
    <n v="72"/>
    <n v="7.73"/>
    <n v="0.88"/>
    <n v="3.15"/>
    <n v="17"/>
    <x v="2"/>
    <s v="VALID"/>
    <n v="5.1764705882352942E-2"/>
    <x v="0"/>
    <n v="5.44"/>
    <s v="Low"/>
  </r>
  <r>
    <n v="100"/>
    <n v="4.13"/>
    <x v="2"/>
    <x v="2"/>
    <n v="2500"/>
    <n v="-17.899999999999999"/>
    <n v="4.13"/>
    <n v="3.1"/>
    <n v="75.06"/>
    <n v="18"/>
    <x v="0"/>
    <s v="VALID"/>
    <n v="0.17222222222222222"/>
    <x v="0"/>
    <n v="39.594999999999999"/>
    <s v="Medium"/>
  </r>
  <r>
    <n v="1000"/>
    <n v="21.35"/>
    <x v="3"/>
    <x v="0"/>
    <n v="150"/>
    <n v="53.1"/>
    <n v="20"/>
    <n v="7.27"/>
    <n v="34.049999999999997"/>
    <n v="8"/>
    <x v="1"/>
    <s v="VALID"/>
    <n v="0.90874999999999995"/>
    <x v="0"/>
    <n v="27.024999999999999"/>
    <s v="Low"/>
  </r>
  <r>
    <n v="1000"/>
    <n v="26.04"/>
    <x v="3"/>
    <x v="0"/>
    <n v="1500"/>
    <n v="57.7"/>
    <n v="9.7899999999999991"/>
    <n v="9.56"/>
    <n v="36.71"/>
    <n v="20"/>
    <x v="1"/>
    <s v="VALID"/>
    <n v="0.47800000000000004"/>
    <x v="1"/>
    <n v="23.25"/>
    <s v="Low"/>
  </r>
  <r>
    <n v="100"/>
    <n v="4.37"/>
    <x v="2"/>
    <x v="1"/>
    <n v="900"/>
    <n v="131.5"/>
    <n v="17.739999999999998"/>
    <n v="9.8699999999999992"/>
    <n v="225.86"/>
    <n v="11"/>
    <x v="1"/>
    <s v="INVALID"/>
    <m/>
    <x v="2"/>
    <m/>
    <m/>
  </r>
  <r>
    <n v="600"/>
    <n v="12.73"/>
    <x v="4"/>
    <x v="0"/>
    <n v="1500"/>
    <n v="48.8"/>
    <n v="15.15"/>
    <n v="5.74"/>
    <n v="45.09"/>
    <n v="4"/>
    <x v="1"/>
    <s v="VALID"/>
    <n v="1.4350000000000001"/>
    <x v="1"/>
    <n v="30.12"/>
    <s v="Medium"/>
  </r>
  <r>
    <n v="400"/>
    <n v="10.050000000000001"/>
    <x v="2"/>
    <x v="1"/>
    <n v="1500"/>
    <n v="7.5"/>
    <n v="10.199999999999999"/>
    <n v="6.39"/>
    <n v="63.58"/>
    <n v="5"/>
    <x v="1"/>
    <s v="VALID"/>
    <n v="1.278"/>
    <x v="0"/>
    <n v="36.89"/>
    <s v="Medium"/>
  </r>
  <r>
    <n v="1200"/>
    <n v="37.42"/>
    <x v="4"/>
    <x v="4"/>
    <n v="1500"/>
    <n v="95.1"/>
    <n v="9.49"/>
    <n v="4.49"/>
    <n v="12"/>
    <n v="23"/>
    <x v="0"/>
    <s v="VALID"/>
    <n v="0.19521739130434784"/>
    <x v="0"/>
    <n v="10.745000000000001"/>
    <s v="Low"/>
  </r>
  <r>
    <n v="50"/>
    <n v="5.99"/>
    <x v="1"/>
    <x v="0"/>
    <n v="900"/>
    <n v="95"/>
    <n v="17.22"/>
    <n v="2.5099999999999998"/>
    <n v="41.9"/>
    <n v="13"/>
    <x v="0"/>
    <s v="VALID"/>
    <n v="0.19307692307692306"/>
    <x v="0"/>
    <n v="29.56"/>
    <s v="Low"/>
  </r>
  <r>
    <n v="300"/>
    <n v="14.67"/>
    <x v="3"/>
    <x v="2"/>
    <n v="2500"/>
    <n v="51.2"/>
    <n v="18.37"/>
    <n v="8.4600000000000009"/>
    <n v="57.67"/>
    <n v="4"/>
    <x v="1"/>
    <s v="VALID"/>
    <n v="2.1150000000000002"/>
    <x v="1"/>
    <n v="38.020000000000003"/>
    <s v="Medium"/>
  </r>
  <r>
    <n v="1000"/>
    <n v="29.16"/>
    <x v="0"/>
    <x v="0"/>
    <n v="600"/>
    <n v="-24.7"/>
    <n v="2.48"/>
    <n v="3.82"/>
    <n v="13.1"/>
    <n v="4"/>
    <x v="0"/>
    <s v="VALID"/>
    <n v="0.95499999999999996"/>
    <x v="0"/>
    <n v="7.79"/>
    <s v="Low"/>
  </r>
  <r>
    <n v="500"/>
    <n v="14.55"/>
    <x v="1"/>
    <x v="4"/>
    <n v="600"/>
    <n v="19.899999999999999"/>
    <n v="0.39"/>
    <n v="5.98"/>
    <n v="41.1"/>
    <n v="24"/>
    <x v="1"/>
    <s v="VALID"/>
    <n v="0.24916666666666668"/>
    <x v="1"/>
    <n v="20.745000000000001"/>
    <s v="Low"/>
  </r>
  <r>
    <n v="50"/>
    <n v="3.29"/>
    <x v="0"/>
    <x v="0"/>
    <n v="900"/>
    <n v="64.5"/>
    <n v="6.04"/>
    <n v="6.54"/>
    <n v="198.78"/>
    <n v="25"/>
    <x v="1"/>
    <s v="INVALID"/>
    <m/>
    <x v="2"/>
    <m/>
    <m/>
  </r>
  <r>
    <n v="150"/>
    <n v="5.64"/>
    <x v="0"/>
    <x v="3"/>
    <n v="2500"/>
    <n v="115"/>
    <n v="9.7100000000000009"/>
    <n v="9.4600000000000009"/>
    <n v="167.73"/>
    <n v="6"/>
    <x v="1"/>
    <s v="INVALID"/>
    <m/>
    <x v="2"/>
    <m/>
    <m/>
  </r>
  <r>
    <n v="600"/>
    <n v="16.95"/>
    <x v="4"/>
    <x v="3"/>
    <n v="900"/>
    <n v="32.4"/>
    <n v="4.1500000000000004"/>
    <n v="2.59"/>
    <n v="15.28"/>
    <n v="25"/>
    <x v="0"/>
    <s v="VALID"/>
    <n v="0.1036"/>
    <x v="0"/>
    <n v="9.7149999999999999"/>
    <s v="Low"/>
  </r>
  <r>
    <n v="500"/>
    <n v="20.82"/>
    <x v="3"/>
    <x v="0"/>
    <n v="600"/>
    <n v="48.6"/>
    <n v="11.23"/>
    <n v="4.76"/>
    <n v="22.86"/>
    <n v="23"/>
    <x v="0"/>
    <s v="VALID"/>
    <n v="0.20695652173913043"/>
    <x v="1"/>
    <n v="17.045000000000002"/>
    <s v="Low"/>
  </r>
  <r>
    <n v="400"/>
    <n v="19.55"/>
    <x v="0"/>
    <x v="2"/>
    <n v="2500"/>
    <n v="60.2"/>
    <n v="18.7"/>
    <n v="5.55"/>
    <n v="28.39"/>
    <n v="17"/>
    <x v="1"/>
    <s v="VALID"/>
    <n v="0.32647058823529412"/>
    <x v="1"/>
    <n v="23.545000000000002"/>
    <s v="Low"/>
  </r>
  <r>
    <n v="1000"/>
    <n v="22.39"/>
    <x v="1"/>
    <x v="0"/>
    <n v="2500"/>
    <n v="-0.5"/>
    <n v="19.739999999999998"/>
    <n v="2.69"/>
    <n v="12.01"/>
    <n v="3"/>
    <x v="0"/>
    <s v="VALID"/>
    <n v="0.89666666666666661"/>
    <x v="0"/>
    <n v="15.875"/>
    <s v="Low"/>
  </r>
  <r>
    <n v="50"/>
    <n v="5.12"/>
    <x v="2"/>
    <x v="3"/>
    <n v="150"/>
    <n v="61.6"/>
    <n v="3.02"/>
    <n v="2.42"/>
    <n v="47.27"/>
    <n v="23"/>
    <x v="0"/>
    <s v="VALID"/>
    <n v="0.10521739130434782"/>
    <x v="0"/>
    <n v="25.145000000000003"/>
    <s v="Low"/>
  </r>
  <r>
    <n v="400"/>
    <n v="13.91"/>
    <x v="3"/>
    <x v="2"/>
    <n v="600"/>
    <n v="58.5"/>
    <n v="17.46"/>
    <n v="8.09"/>
    <n v="58.16"/>
    <n v="25"/>
    <x v="1"/>
    <s v="VALID"/>
    <n v="0.3236"/>
    <x v="1"/>
    <n v="37.81"/>
    <s v="Medium"/>
  </r>
  <r>
    <n v="1200"/>
    <n v="34.42"/>
    <x v="0"/>
    <x v="3"/>
    <n v="1500"/>
    <n v="49.4"/>
    <n v="10.78"/>
    <n v="0.71"/>
    <n v="2.06"/>
    <n v="11"/>
    <x v="2"/>
    <s v="VALID"/>
    <n v="6.4545454545454545E-2"/>
    <x v="1"/>
    <n v="6.42"/>
    <s v="Low"/>
  </r>
  <r>
    <n v="50"/>
    <n v="4.8899999999999997"/>
    <x v="4"/>
    <x v="0"/>
    <n v="2500"/>
    <n v="-6.4"/>
    <n v="1.81"/>
    <n v="0.63"/>
    <n v="12.88"/>
    <n v="18"/>
    <x v="2"/>
    <s v="VALID"/>
    <n v="3.5000000000000003E-2"/>
    <x v="0"/>
    <n v="7.3450000000000006"/>
    <s v="Low"/>
  </r>
  <r>
    <n v="800"/>
    <n v="29.88"/>
    <x v="4"/>
    <x v="4"/>
    <n v="300"/>
    <n v="77.8"/>
    <n v="10.19"/>
    <n v="4.84"/>
    <n v="16.2"/>
    <n v="3"/>
    <x v="0"/>
    <s v="VALID"/>
    <n v="1.6133333333333333"/>
    <x v="0"/>
    <n v="13.195"/>
    <s v="Low"/>
  </r>
  <r>
    <n v="250"/>
    <n v="11"/>
    <x v="1"/>
    <x v="2"/>
    <n v="1500"/>
    <n v="21.8"/>
    <n v="4.5199999999999996"/>
    <n v="2.59"/>
    <n v="23.55"/>
    <n v="21"/>
    <x v="0"/>
    <s v="VALID"/>
    <n v="0.12333333333333332"/>
    <x v="1"/>
    <n v="14.035"/>
    <s v="Low"/>
  </r>
  <r>
    <n v="500"/>
    <n v="13.59"/>
    <x v="3"/>
    <x v="1"/>
    <n v="300"/>
    <n v="15.7"/>
    <n v="5.37"/>
    <n v="6.78"/>
    <n v="49.89"/>
    <n v="16"/>
    <x v="1"/>
    <s v="VALID"/>
    <n v="0.42375000000000002"/>
    <x v="0"/>
    <n v="27.63"/>
    <s v="Low"/>
  </r>
  <r>
    <n v="200"/>
    <n v="7.34"/>
    <x v="4"/>
    <x v="2"/>
    <n v="900"/>
    <n v="98.6"/>
    <n v="18.62"/>
    <n v="6.63"/>
    <n v="90.33"/>
    <n v="12"/>
    <x v="1"/>
    <s v="VALID"/>
    <n v="0.55249999999999999"/>
    <x v="1"/>
    <n v="54.475000000000001"/>
    <s v="Medium"/>
  </r>
  <r>
    <n v="1500"/>
    <n v="43.02"/>
    <x v="4"/>
    <x v="2"/>
    <n v="2500"/>
    <n v="14.3"/>
    <n v="2.02"/>
    <n v="2.77"/>
    <n v="6.44"/>
    <n v="12"/>
    <x v="0"/>
    <s v="VALID"/>
    <n v="0.23083333333333333"/>
    <x v="1"/>
    <n v="4.2300000000000004"/>
    <s v="Low"/>
  </r>
  <r>
    <n v="1200"/>
    <n v="37.74"/>
    <x v="2"/>
    <x v="0"/>
    <n v="600"/>
    <n v="58.9"/>
    <n v="9.44"/>
    <n v="1.64"/>
    <n v="4.3499999999999996"/>
    <n v="7"/>
    <x v="2"/>
    <s v="VALID"/>
    <n v="0.23428571428571426"/>
    <x v="0"/>
    <n v="6.8949999999999996"/>
    <s v="Low"/>
  </r>
  <r>
    <n v="300"/>
    <n v="7.62"/>
    <x v="3"/>
    <x v="0"/>
    <n v="900"/>
    <n v="-46.2"/>
    <n v="0.13"/>
    <n v="2.2200000000000002"/>
    <n v="29.13"/>
    <n v="13"/>
    <x v="0"/>
    <s v="VALID"/>
    <n v="0.17076923076923078"/>
    <x v="1"/>
    <n v="14.629999999999999"/>
    <s v="Low"/>
  </r>
  <r>
    <n v="100"/>
    <n v="5.91"/>
    <x v="0"/>
    <x v="3"/>
    <n v="900"/>
    <n v="127.5"/>
    <n v="13.05"/>
    <n v="1.7"/>
    <n v="28.76"/>
    <n v="3"/>
    <x v="2"/>
    <s v="VALID"/>
    <n v="0.56666666666666665"/>
    <x v="1"/>
    <n v="20.905000000000001"/>
    <s v="Low"/>
  </r>
  <r>
    <n v="50"/>
    <n v="3.76"/>
    <x v="3"/>
    <x v="1"/>
    <n v="2500"/>
    <n v="86.9"/>
    <n v="11.94"/>
    <n v="2.19"/>
    <n v="58.24"/>
    <n v="24"/>
    <x v="0"/>
    <s v="VALID"/>
    <n v="9.1249999999999998E-2"/>
    <x v="1"/>
    <n v="35.090000000000003"/>
    <s v="Medium"/>
  </r>
  <r>
    <n v="1200"/>
    <n v="32.92"/>
    <x v="4"/>
    <x v="2"/>
    <n v="150"/>
    <n v="39.299999999999997"/>
    <n v="11.6"/>
    <n v="2.13"/>
    <n v="6.47"/>
    <n v="2"/>
    <x v="0"/>
    <s v="VALID"/>
    <n v="1.0649999999999999"/>
    <x v="0"/>
    <n v="9.0350000000000001"/>
    <s v="Low"/>
  </r>
  <r>
    <n v="100"/>
    <n v="4.1900000000000004"/>
    <x v="3"/>
    <x v="0"/>
    <n v="2500"/>
    <n v="21"/>
    <n v="8.86"/>
    <n v="7.86"/>
    <n v="187.59"/>
    <n v="24"/>
    <x v="1"/>
    <s v="INVALID"/>
    <m/>
    <x v="2"/>
    <m/>
    <m/>
  </r>
  <r>
    <n v="1500"/>
    <n v="29.92"/>
    <x v="4"/>
    <x v="2"/>
    <n v="300"/>
    <n v="5.7"/>
    <n v="9.75"/>
    <n v="3.35"/>
    <n v="11.2"/>
    <n v="22"/>
    <x v="0"/>
    <s v="VALID"/>
    <n v="0.15227272727272728"/>
    <x v="0"/>
    <n v="10.475"/>
    <s v="Low"/>
  </r>
  <r>
    <n v="800"/>
    <n v="16.55"/>
    <x v="4"/>
    <x v="1"/>
    <n v="150"/>
    <n v="18.899999999999999"/>
    <n v="19.84"/>
    <n v="1.27"/>
    <n v="7.67"/>
    <n v="4"/>
    <x v="2"/>
    <s v="VALID"/>
    <n v="0.3175"/>
    <x v="1"/>
    <n v="13.754999999999999"/>
    <s v="Low"/>
  </r>
  <r>
    <n v="1200"/>
    <n v="35.130000000000003"/>
    <x v="3"/>
    <x v="2"/>
    <n v="150"/>
    <n v="51.9"/>
    <n v="13.13"/>
    <n v="8.3699999999999992"/>
    <n v="23.83"/>
    <n v="4"/>
    <x v="1"/>
    <s v="VALID"/>
    <n v="2.0924999999999998"/>
    <x v="1"/>
    <n v="18.48"/>
    <s v="Low"/>
  </r>
  <r>
    <n v="600"/>
    <n v="19.149999999999999"/>
    <x v="3"/>
    <x v="1"/>
    <n v="900"/>
    <n v="94"/>
    <n v="8.7799999999999994"/>
    <n v="5.15"/>
    <n v="26.89"/>
    <n v="2"/>
    <x v="1"/>
    <s v="VALID"/>
    <n v="2.5750000000000002"/>
    <x v="1"/>
    <n v="17.835000000000001"/>
    <s v="Low"/>
  </r>
  <r>
    <n v="100"/>
    <n v="7.27"/>
    <x v="2"/>
    <x v="0"/>
    <n v="600"/>
    <n v="28.3"/>
    <n v="8.89"/>
    <n v="7.04"/>
    <n v="96.84"/>
    <n v="12"/>
    <x v="1"/>
    <s v="VALID"/>
    <n v="0.58666666666666667"/>
    <x v="1"/>
    <n v="52.865000000000002"/>
    <s v="Medium"/>
  </r>
  <r>
    <n v="500"/>
    <n v="23.96"/>
    <x v="4"/>
    <x v="4"/>
    <n v="2500"/>
    <n v="64"/>
    <n v="14.84"/>
    <n v="2.95"/>
    <n v="12.31"/>
    <n v="17"/>
    <x v="0"/>
    <s v="VALID"/>
    <n v="0.1735294117647059"/>
    <x v="1"/>
    <n v="13.574999999999999"/>
    <s v="Low"/>
  </r>
  <r>
    <n v="50"/>
    <n v="4.6100000000000003"/>
    <x v="0"/>
    <x v="3"/>
    <n v="150"/>
    <n v="61.2"/>
    <n v="13.48"/>
    <n v="6.08"/>
    <n v="131.88999999999999"/>
    <n v="21"/>
    <x v="1"/>
    <s v="INVALID"/>
    <m/>
    <x v="2"/>
    <m/>
    <m/>
  </r>
  <r>
    <n v="300"/>
    <n v="13.51"/>
    <x v="0"/>
    <x v="1"/>
    <n v="900"/>
    <n v="11.3"/>
    <n v="12.79"/>
    <n v="0.51"/>
    <n v="3.77"/>
    <n v="25"/>
    <x v="2"/>
    <s v="VALID"/>
    <n v="2.0400000000000001E-2"/>
    <x v="1"/>
    <n v="8.2799999999999994"/>
    <s v="Low"/>
  </r>
  <r>
    <n v="150"/>
    <n v="7.49"/>
    <x v="4"/>
    <x v="3"/>
    <n v="150"/>
    <n v="37.799999999999997"/>
    <n v="12.89"/>
    <n v="4.96"/>
    <n v="66.22"/>
    <n v="17"/>
    <x v="0"/>
    <s v="VALID"/>
    <n v="0.29176470588235293"/>
    <x v="1"/>
    <n v="39.555"/>
    <s v="Medium"/>
  </r>
  <r>
    <n v="200"/>
    <n v="6.32"/>
    <x v="0"/>
    <x v="2"/>
    <n v="150"/>
    <n v="-27.2"/>
    <n v="6.05"/>
    <n v="4.09"/>
    <n v="64.72"/>
    <n v="17"/>
    <x v="0"/>
    <s v="VALID"/>
    <n v="0.24058823529411763"/>
    <x v="1"/>
    <n v="35.384999999999998"/>
    <s v="Medium"/>
  </r>
  <r>
    <n v="100"/>
    <n v="5.17"/>
    <x v="1"/>
    <x v="3"/>
    <n v="300"/>
    <n v="-3.3"/>
    <n v="17.88"/>
    <n v="7.56"/>
    <n v="146.22999999999999"/>
    <n v="9"/>
    <x v="1"/>
    <s v="INVALID"/>
    <m/>
    <x v="2"/>
    <m/>
    <m/>
  </r>
  <r>
    <n v="400"/>
    <n v="17.690000000000001"/>
    <x v="1"/>
    <x v="3"/>
    <n v="900"/>
    <n v="74.7"/>
    <n v="11.7"/>
    <n v="8.34"/>
    <n v="47.15"/>
    <n v="19"/>
    <x v="1"/>
    <s v="VALID"/>
    <n v="0.43894736842105264"/>
    <x v="1"/>
    <n v="29.424999999999997"/>
    <s v="Low"/>
  </r>
  <r>
    <n v="1200"/>
    <n v="30.5"/>
    <x v="0"/>
    <x v="1"/>
    <n v="900"/>
    <n v="15"/>
    <n v="2.06"/>
    <n v="4.74"/>
    <n v="15.54"/>
    <n v="12"/>
    <x v="0"/>
    <s v="VALID"/>
    <n v="0.39500000000000002"/>
    <x v="1"/>
    <n v="8.7999999999999989"/>
    <s v="Low"/>
  </r>
  <r>
    <n v="300"/>
    <n v="7.92"/>
    <x v="4"/>
    <x v="2"/>
    <n v="150"/>
    <n v="103.9"/>
    <n v="16.53"/>
    <n v="3.01"/>
    <n v="38.01"/>
    <n v="10"/>
    <x v="0"/>
    <s v="VALID"/>
    <n v="0.30099999999999999"/>
    <x v="1"/>
    <n v="27.27"/>
    <s v="Low"/>
  </r>
  <r>
    <n v="50"/>
    <n v="3.45"/>
    <x v="2"/>
    <x v="3"/>
    <n v="900"/>
    <n v="93.3"/>
    <n v="2.54"/>
    <n v="4.25"/>
    <n v="123.19"/>
    <n v="22"/>
    <x v="0"/>
    <s v="INVALID"/>
    <m/>
    <x v="2"/>
    <m/>
    <m/>
  </r>
  <r>
    <n v="50"/>
    <n v="5.4"/>
    <x v="1"/>
    <x v="1"/>
    <n v="600"/>
    <n v="71"/>
    <n v="7.13"/>
    <n v="4.43"/>
    <n v="82.04"/>
    <n v="1"/>
    <x v="0"/>
    <s v="VALID"/>
    <n v="4.43"/>
    <x v="1"/>
    <n v="44.585000000000001"/>
    <s v="Medium"/>
  </r>
  <r>
    <n v="600"/>
    <n v="18.79"/>
    <x v="2"/>
    <x v="3"/>
    <n v="2500"/>
    <n v="7.5"/>
    <n v="8.6199999999999992"/>
    <n v="8.25"/>
    <n v="43.91"/>
    <n v="6"/>
    <x v="1"/>
    <s v="VALID"/>
    <n v="1.375"/>
    <x v="1"/>
    <n v="26.264999999999997"/>
    <s v="Low"/>
  </r>
  <r>
    <n v="500"/>
    <n v="20.48"/>
    <x v="0"/>
    <x v="0"/>
    <n v="300"/>
    <n v="21.3"/>
    <n v="1.03"/>
    <n v="3.09"/>
    <n v="15.09"/>
    <n v="14"/>
    <x v="0"/>
    <s v="VALID"/>
    <n v="0.2207142857142857"/>
    <x v="0"/>
    <n v="8.06"/>
    <s v="Low"/>
  </r>
  <r>
    <n v="500"/>
    <n v="12.51"/>
    <x v="1"/>
    <x v="3"/>
    <n v="150"/>
    <n v="14.4"/>
    <n v="16.61"/>
    <n v="8.2799999999999994"/>
    <n v="66.19"/>
    <n v="10"/>
    <x v="1"/>
    <s v="VALID"/>
    <n v="0.82799999999999996"/>
    <x v="1"/>
    <n v="41.4"/>
    <s v="Medium"/>
  </r>
  <r>
    <n v="1000"/>
    <n v="15.72"/>
    <x v="0"/>
    <x v="0"/>
    <n v="2500"/>
    <n v="124.9"/>
    <n v="5.2"/>
    <n v="4.34"/>
    <n v="27.61"/>
    <n v="22"/>
    <x v="0"/>
    <s v="VALID"/>
    <n v="0.19727272727272727"/>
    <x v="1"/>
    <n v="16.405000000000001"/>
    <s v="Low"/>
  </r>
  <r>
    <n v="1000"/>
    <n v="29.26"/>
    <x v="4"/>
    <x v="2"/>
    <n v="1500"/>
    <n v="31"/>
    <n v="11.96"/>
    <n v="7.23"/>
    <n v="24.71"/>
    <n v="8"/>
    <x v="1"/>
    <s v="VALID"/>
    <n v="0.90375000000000005"/>
    <x v="0"/>
    <n v="18.335000000000001"/>
    <s v="Low"/>
  </r>
  <r>
    <n v="400"/>
    <n v="12.45"/>
    <x v="1"/>
    <x v="0"/>
    <n v="1500"/>
    <n v="-24.8"/>
    <n v="7.4"/>
    <n v="7.92"/>
    <n v="63.61"/>
    <n v="9"/>
    <x v="1"/>
    <s v="VALID"/>
    <n v="0.88"/>
    <x v="0"/>
    <n v="35.505000000000003"/>
    <s v="Medium"/>
  </r>
  <r>
    <n v="50"/>
    <n v="5.26"/>
    <x v="0"/>
    <x v="1"/>
    <n v="2500"/>
    <n v="61.1"/>
    <n v="16.8"/>
    <n v="4.71"/>
    <n v="89.54"/>
    <n v="1"/>
    <x v="0"/>
    <s v="VALID"/>
    <n v="4.71"/>
    <x v="0"/>
    <n v="53.17"/>
    <s v="Medium"/>
  </r>
  <r>
    <n v="600"/>
    <n v="19.59"/>
    <x v="2"/>
    <x v="1"/>
    <n v="2500"/>
    <n v="65.8"/>
    <n v="5.32"/>
    <n v="5.73"/>
    <n v="29.25"/>
    <n v="11"/>
    <x v="1"/>
    <s v="VALID"/>
    <n v="0.52090909090909099"/>
    <x v="0"/>
    <n v="17.285"/>
    <s v="Low"/>
  </r>
  <r>
    <n v="50"/>
    <n v="3.62"/>
    <x v="0"/>
    <x v="4"/>
    <n v="900"/>
    <n v="19.5"/>
    <n v="1.86"/>
    <n v="3.38"/>
    <n v="93.37"/>
    <n v="22"/>
    <x v="0"/>
    <s v="VALID"/>
    <n v="0.15363636363636363"/>
    <x v="0"/>
    <n v="47.615000000000002"/>
    <s v="Medium"/>
  </r>
  <r>
    <n v="200"/>
    <n v="11.96"/>
    <x v="0"/>
    <x v="1"/>
    <n v="2500"/>
    <n v="63.4"/>
    <n v="14.19"/>
    <n v="7.02"/>
    <n v="58.7"/>
    <n v="15"/>
    <x v="1"/>
    <s v="VALID"/>
    <n v="0.46799999999999997"/>
    <x v="1"/>
    <n v="36.445"/>
    <s v="Medium"/>
  </r>
  <r>
    <n v="1000"/>
    <n v="30.86"/>
    <x v="4"/>
    <x v="4"/>
    <n v="900"/>
    <n v="45.4"/>
    <n v="13.15"/>
    <n v="7.0000000000000007E-2"/>
    <n v="0.23"/>
    <n v="3"/>
    <x v="2"/>
    <s v="VALID"/>
    <n v="2.3333333333333334E-2"/>
    <x v="0"/>
    <n v="6.69"/>
    <s v="Low"/>
  </r>
  <r>
    <n v="150"/>
    <n v="5.72"/>
    <x v="0"/>
    <x v="4"/>
    <n v="150"/>
    <n v="141.80000000000001"/>
    <n v="0.8"/>
    <n v="1.08"/>
    <n v="18.88"/>
    <n v="1"/>
    <x v="2"/>
    <s v="VALID"/>
    <n v="1.08"/>
    <x v="1"/>
    <n v="9.84"/>
    <s v="Low"/>
  </r>
  <r>
    <n v="50"/>
    <n v="5.27"/>
    <x v="2"/>
    <x v="3"/>
    <n v="150"/>
    <n v="77.8"/>
    <n v="11.29"/>
    <n v="1.25"/>
    <n v="23.72"/>
    <n v="17"/>
    <x v="2"/>
    <s v="VALID"/>
    <n v="7.3529411764705885E-2"/>
    <x v="1"/>
    <n v="17.504999999999999"/>
    <s v="Low"/>
  </r>
  <r>
    <n v="50"/>
    <n v="3.31"/>
    <x v="0"/>
    <x v="3"/>
    <n v="2500"/>
    <n v="13.4"/>
    <n v="2.44"/>
    <n v="5.12"/>
    <n v="154.68"/>
    <n v="5"/>
    <x v="1"/>
    <s v="INVALID"/>
    <m/>
    <x v="2"/>
    <m/>
    <m/>
  </r>
  <r>
    <n v="400"/>
    <n v="16.64"/>
    <x v="0"/>
    <x v="0"/>
    <n v="150"/>
    <n v="0.2"/>
    <n v="12.16"/>
    <n v="5.08"/>
    <n v="30.53"/>
    <n v="3"/>
    <x v="1"/>
    <s v="VALID"/>
    <n v="1.6933333333333334"/>
    <x v="0"/>
    <n v="21.344999999999999"/>
    <s v="Low"/>
  </r>
  <r>
    <n v="1500"/>
    <n v="45.09"/>
    <x v="2"/>
    <x v="3"/>
    <n v="900"/>
    <n v="-5.4"/>
    <n v="2.46"/>
    <n v="1.27"/>
    <n v="2.82"/>
    <n v="3"/>
    <x v="2"/>
    <s v="VALID"/>
    <n v="0.42333333333333334"/>
    <x v="1"/>
    <n v="2.6399999999999997"/>
    <s v="Low"/>
  </r>
  <r>
    <n v="400"/>
    <n v="16.71"/>
    <x v="4"/>
    <x v="4"/>
    <n v="600"/>
    <n v="83.4"/>
    <n v="5.34"/>
    <n v="1.57"/>
    <n v="9.4"/>
    <n v="14"/>
    <x v="2"/>
    <s v="VALID"/>
    <n v="0.11214285714285714"/>
    <x v="1"/>
    <n v="7.37"/>
    <s v="Low"/>
  </r>
  <r>
    <n v="300"/>
    <n v="11.47"/>
    <x v="4"/>
    <x v="2"/>
    <n v="150"/>
    <n v="55"/>
    <n v="16.760000000000002"/>
    <n v="2.96"/>
    <n v="25.81"/>
    <n v="4"/>
    <x v="0"/>
    <s v="VALID"/>
    <n v="0.74"/>
    <x v="1"/>
    <n v="21.285"/>
    <s v="Low"/>
  </r>
  <r>
    <n v="1200"/>
    <n v="38.61"/>
    <x v="2"/>
    <x v="1"/>
    <n v="1500"/>
    <n v="41.5"/>
    <n v="12.53"/>
    <n v="5.45"/>
    <n v="14.12"/>
    <n v="25"/>
    <x v="1"/>
    <s v="VALID"/>
    <n v="0.218"/>
    <x v="1"/>
    <n v="13.324999999999999"/>
    <s v="Low"/>
  </r>
  <r>
    <n v="200"/>
    <n v="11.62"/>
    <x v="1"/>
    <x v="0"/>
    <n v="900"/>
    <n v="14.9"/>
    <n v="18.899999999999999"/>
    <n v="7.87"/>
    <n v="67.73"/>
    <n v="8"/>
    <x v="1"/>
    <s v="VALID"/>
    <n v="0.98375000000000001"/>
    <x v="0"/>
    <n v="43.314999999999998"/>
    <s v="Medium"/>
  </r>
  <r>
    <n v="800"/>
    <n v="31.61"/>
    <x v="2"/>
    <x v="4"/>
    <n v="300"/>
    <n v="87"/>
    <n v="7.94"/>
    <n v="5.94"/>
    <n v="18.79"/>
    <n v="7"/>
    <x v="1"/>
    <s v="VALID"/>
    <n v="0.84857142857142864"/>
    <x v="1"/>
    <n v="13.365"/>
    <s v="Low"/>
  </r>
  <r>
    <n v="200"/>
    <n v="6.74"/>
    <x v="1"/>
    <x v="4"/>
    <n v="2500"/>
    <n v="10.1"/>
    <n v="10.63"/>
    <n v="5.21"/>
    <n v="77.3"/>
    <n v="21"/>
    <x v="1"/>
    <s v="VALID"/>
    <n v="0.24809523809523809"/>
    <x v="1"/>
    <n v="43.964999999999996"/>
    <s v="Medium"/>
  </r>
  <r>
    <n v="800"/>
    <n v="17.350000000000001"/>
    <x v="1"/>
    <x v="4"/>
    <n v="150"/>
    <n v="20.100000000000001"/>
    <n v="16.34"/>
    <n v="7.86"/>
    <n v="45.3"/>
    <n v="2"/>
    <x v="1"/>
    <s v="VALID"/>
    <n v="3.93"/>
    <x v="0"/>
    <n v="30.82"/>
    <s v="Medium"/>
  </r>
  <r>
    <n v="1200"/>
    <n v="32.64"/>
    <x v="4"/>
    <x v="3"/>
    <n v="300"/>
    <n v="18.7"/>
    <n v="9.66"/>
    <n v="5.42"/>
    <n v="16.61"/>
    <n v="11"/>
    <x v="1"/>
    <s v="VALID"/>
    <n v="0.49272727272727274"/>
    <x v="1"/>
    <n v="13.135"/>
    <s v="Low"/>
  </r>
  <r>
    <n v="50"/>
    <n v="5.73"/>
    <x v="4"/>
    <x v="0"/>
    <n v="600"/>
    <n v="3.2"/>
    <n v="9.01"/>
    <n v="0.33"/>
    <n v="5.76"/>
    <n v="19"/>
    <x v="2"/>
    <s v="VALID"/>
    <n v="1.7368421052631578E-2"/>
    <x v="1"/>
    <n v="7.3849999999999998"/>
    <s v="Low"/>
  </r>
  <r>
    <n v="500"/>
    <n v="15.5"/>
    <x v="2"/>
    <x v="0"/>
    <n v="2500"/>
    <n v="32"/>
    <n v="9.84"/>
    <n v="8.8800000000000008"/>
    <n v="57.29"/>
    <n v="17"/>
    <x v="1"/>
    <s v="VALID"/>
    <n v="0.52235294117647069"/>
    <x v="1"/>
    <n v="33.564999999999998"/>
    <s v="Medium"/>
  </r>
  <r>
    <n v="400"/>
    <n v="15.39"/>
    <x v="0"/>
    <x v="1"/>
    <n v="2500"/>
    <n v="62.2"/>
    <n v="0.26"/>
    <n v="8.5500000000000007"/>
    <n v="55.56"/>
    <n v="4"/>
    <x v="1"/>
    <s v="VALID"/>
    <n v="2.1375000000000002"/>
    <x v="0"/>
    <n v="27.91"/>
    <s v="Low"/>
  </r>
  <r>
    <n v="200"/>
    <n v="7.27"/>
    <x v="0"/>
    <x v="4"/>
    <n v="600"/>
    <n v="115.3"/>
    <n v="19.989999999999998"/>
    <n v="1.2"/>
    <n v="16.510000000000002"/>
    <n v="6"/>
    <x v="2"/>
    <s v="VALID"/>
    <n v="0.19999999999999998"/>
    <x v="0"/>
    <n v="18.25"/>
    <s v="Low"/>
  </r>
  <r>
    <n v="1200"/>
    <n v="38.24"/>
    <x v="1"/>
    <x v="3"/>
    <n v="300"/>
    <n v="91.6"/>
    <n v="2.71"/>
    <n v="1.98"/>
    <n v="5.18"/>
    <n v="8"/>
    <x v="2"/>
    <s v="VALID"/>
    <n v="0.2475"/>
    <x v="1"/>
    <n v="3.9449999999999998"/>
    <s v="Low"/>
  </r>
  <r>
    <n v="300"/>
    <n v="15.69"/>
    <x v="2"/>
    <x v="2"/>
    <n v="300"/>
    <n v="27.8"/>
    <n v="4.53"/>
    <n v="3.86"/>
    <n v="24.6"/>
    <n v="22"/>
    <x v="0"/>
    <s v="VALID"/>
    <n v="0.17545454545454545"/>
    <x v="1"/>
    <n v="14.565000000000001"/>
    <s v="Low"/>
  </r>
  <r>
    <n v="200"/>
    <n v="9.94"/>
    <x v="0"/>
    <x v="0"/>
    <n v="1500"/>
    <n v="37.200000000000003"/>
    <n v="1.22"/>
    <n v="1.07"/>
    <n v="10.76"/>
    <n v="14"/>
    <x v="2"/>
    <s v="VALID"/>
    <n v="7.6428571428571429E-2"/>
    <x v="1"/>
    <n v="5.99"/>
    <s v="Low"/>
  </r>
  <r>
    <n v="50"/>
    <n v="5.65"/>
    <x v="1"/>
    <x v="3"/>
    <n v="600"/>
    <n v="-40.9"/>
    <n v="6.92"/>
    <n v="9.1300000000000008"/>
    <n v="161.59"/>
    <n v="22"/>
    <x v="1"/>
    <s v="INVALID"/>
    <m/>
    <x v="2"/>
    <m/>
    <m/>
  </r>
  <r>
    <n v="50"/>
    <n v="3.66"/>
    <x v="3"/>
    <x v="1"/>
    <n v="900"/>
    <n v="78.5"/>
    <n v="3.75"/>
    <n v="0.31"/>
    <n v="8.4700000000000006"/>
    <n v="25"/>
    <x v="2"/>
    <s v="VALID"/>
    <n v="1.24E-2"/>
    <x v="1"/>
    <n v="6.11"/>
    <s v="Low"/>
  </r>
  <r>
    <n v="800"/>
    <n v="16.71"/>
    <x v="4"/>
    <x v="4"/>
    <n v="150"/>
    <n v="-18.600000000000001"/>
    <n v="6.23"/>
    <n v="7.8"/>
    <n v="46.68"/>
    <n v="2"/>
    <x v="1"/>
    <s v="VALID"/>
    <n v="3.9"/>
    <x v="1"/>
    <n v="26.454999999999998"/>
    <s v="Low"/>
  </r>
  <r>
    <n v="200"/>
    <n v="7.49"/>
    <x v="3"/>
    <x v="2"/>
    <n v="900"/>
    <n v="48.1"/>
    <n v="13.08"/>
    <n v="7.44"/>
    <n v="99.33"/>
    <n v="14"/>
    <x v="1"/>
    <s v="VALID"/>
    <n v="0.53142857142857147"/>
    <x v="1"/>
    <n v="56.204999999999998"/>
    <s v="Medium"/>
  </r>
  <r>
    <n v="50"/>
    <n v="5.82"/>
    <x v="3"/>
    <x v="3"/>
    <n v="900"/>
    <n v="67.8"/>
    <n v="5.7"/>
    <n v="1.77"/>
    <n v="30.41"/>
    <n v="20"/>
    <x v="2"/>
    <s v="VALID"/>
    <n v="8.8499999999999995E-2"/>
    <x v="1"/>
    <n v="18.055"/>
    <s v="Low"/>
  </r>
  <r>
    <n v="50"/>
    <n v="4.29"/>
    <x v="1"/>
    <x v="1"/>
    <n v="600"/>
    <n v="37.200000000000003"/>
    <n v="19.350000000000001"/>
    <n v="4.88"/>
    <n v="113.75"/>
    <n v="19"/>
    <x v="0"/>
    <s v="INVALID"/>
    <m/>
    <x v="2"/>
    <m/>
    <m/>
  </r>
  <r>
    <n v="1500"/>
    <n v="31.98"/>
    <x v="3"/>
    <x v="3"/>
    <n v="600"/>
    <n v="-37.700000000000003"/>
    <n v="2.6"/>
    <n v="4.74"/>
    <n v="14.82"/>
    <n v="8"/>
    <x v="0"/>
    <s v="VALID"/>
    <n v="0.59250000000000003"/>
    <x v="1"/>
    <n v="8.7100000000000009"/>
    <s v="Low"/>
  </r>
  <r>
    <n v="1200"/>
    <n v="25.4"/>
    <x v="2"/>
    <x v="0"/>
    <n v="300"/>
    <n v="-7.9"/>
    <n v="1.88"/>
    <n v="3.47"/>
    <n v="13.66"/>
    <n v="14"/>
    <x v="0"/>
    <s v="VALID"/>
    <n v="0.24785714285714286"/>
    <x v="1"/>
    <n v="7.77"/>
    <s v="Low"/>
  </r>
  <r>
    <n v="1500"/>
    <n v="28.54"/>
    <x v="1"/>
    <x v="2"/>
    <n v="600"/>
    <n v="-14.3"/>
    <n v="15.64"/>
    <n v="9.3000000000000007"/>
    <n v="32.590000000000003"/>
    <n v="22"/>
    <x v="1"/>
    <s v="VALID"/>
    <n v="0.42272727272727278"/>
    <x v="1"/>
    <n v="24.115000000000002"/>
    <s v="Low"/>
  </r>
  <r>
    <n v="50"/>
    <n v="4.82"/>
    <x v="4"/>
    <x v="4"/>
    <n v="900"/>
    <n v="16.8"/>
    <n v="12.1"/>
    <n v="8.4"/>
    <n v="174.27"/>
    <n v="4"/>
    <x v="1"/>
    <s v="INVALID"/>
    <m/>
    <x v="2"/>
    <m/>
    <m/>
  </r>
  <r>
    <n v="300"/>
    <n v="16.329999999999998"/>
    <x v="0"/>
    <x v="3"/>
    <n v="2500"/>
    <n v="65.8"/>
    <n v="11.08"/>
    <n v="1.6"/>
    <n v="9.8000000000000007"/>
    <n v="18"/>
    <x v="2"/>
    <s v="VALID"/>
    <n v="8.8888888888888892E-2"/>
    <x v="1"/>
    <n v="10.440000000000001"/>
    <s v="Low"/>
  </r>
  <r>
    <n v="1500"/>
    <n v="34.75"/>
    <x v="1"/>
    <x v="2"/>
    <n v="2500"/>
    <n v="15.2"/>
    <n v="18.760000000000002"/>
    <n v="5.44"/>
    <n v="15.65"/>
    <n v="21"/>
    <x v="1"/>
    <s v="VALID"/>
    <n v="0.25904761904761908"/>
    <x v="0"/>
    <n v="17.205000000000002"/>
    <s v="Low"/>
  </r>
  <r>
    <n v="150"/>
    <n v="5.08"/>
    <x v="3"/>
    <x v="2"/>
    <n v="600"/>
    <n v="21.5"/>
    <n v="15.15"/>
    <n v="3.88"/>
    <n v="76.38"/>
    <n v="17"/>
    <x v="0"/>
    <s v="VALID"/>
    <n v="0.22823529411764706"/>
    <x v="0"/>
    <n v="45.765000000000001"/>
    <s v="Medium"/>
  </r>
  <r>
    <n v="250"/>
    <n v="9.92"/>
    <x v="4"/>
    <x v="0"/>
    <n v="150"/>
    <n v="-18.7"/>
    <n v="3.27"/>
    <n v="1.61"/>
    <n v="16.23"/>
    <n v="17"/>
    <x v="2"/>
    <s v="VALID"/>
    <n v="9.4705882352941181E-2"/>
    <x v="1"/>
    <n v="9.75"/>
    <s v="Low"/>
  </r>
  <r>
    <n v="50"/>
    <n v="3.86"/>
    <x v="0"/>
    <x v="3"/>
    <n v="600"/>
    <n v="141.6"/>
    <n v="11.94"/>
    <n v="7.18"/>
    <n v="186.01"/>
    <n v="8"/>
    <x v="1"/>
    <s v="INVALID"/>
    <m/>
    <x v="2"/>
    <m/>
    <m/>
  </r>
  <r>
    <n v="50"/>
    <n v="5.74"/>
    <x v="2"/>
    <x v="1"/>
    <n v="300"/>
    <n v="19.899999999999999"/>
    <n v="8.8000000000000007"/>
    <n v="4.18"/>
    <n v="72.819999999999993"/>
    <n v="8"/>
    <x v="0"/>
    <s v="VALID"/>
    <n v="0.52249999999999996"/>
    <x v="1"/>
    <n v="40.809999999999995"/>
    <s v="Medium"/>
  </r>
  <r>
    <n v="500"/>
    <n v="10.93"/>
    <x v="1"/>
    <x v="2"/>
    <n v="600"/>
    <n v="100.2"/>
    <n v="11.3"/>
    <n v="9.6199999999999992"/>
    <n v="88.01"/>
    <n v="12"/>
    <x v="1"/>
    <s v="VALID"/>
    <n v="0.80166666666666664"/>
    <x v="1"/>
    <n v="49.655000000000001"/>
    <s v="Medium"/>
  </r>
  <r>
    <n v="1500"/>
    <n v="23.47"/>
    <x v="3"/>
    <x v="2"/>
    <n v="150"/>
    <n v="18.3"/>
    <n v="10.75"/>
    <n v="9.02"/>
    <n v="38.43"/>
    <n v="9"/>
    <x v="1"/>
    <s v="VALID"/>
    <n v="1.0022222222222221"/>
    <x v="1"/>
    <n v="24.59"/>
    <s v="Low"/>
  </r>
  <r>
    <n v="400"/>
    <n v="9.44"/>
    <x v="4"/>
    <x v="1"/>
    <n v="1500"/>
    <n v="31.7"/>
    <n v="3.39"/>
    <n v="0.99"/>
    <n v="10.49"/>
    <n v="4"/>
    <x v="2"/>
    <s v="VALID"/>
    <n v="0.2475"/>
    <x v="1"/>
    <n v="6.94"/>
    <s v="Low"/>
  </r>
  <r>
    <n v="500"/>
    <n v="20.010000000000002"/>
    <x v="3"/>
    <x v="1"/>
    <n v="300"/>
    <n v="5.6"/>
    <n v="2.64"/>
    <n v="4.99"/>
    <n v="24.94"/>
    <n v="23"/>
    <x v="0"/>
    <s v="VALID"/>
    <n v="0.21695652173913044"/>
    <x v="0"/>
    <n v="13.790000000000001"/>
    <s v="Low"/>
  </r>
  <r>
    <n v="250"/>
    <n v="14.24"/>
    <x v="4"/>
    <x v="2"/>
    <n v="2500"/>
    <n v="136.6"/>
    <n v="4.53"/>
    <n v="1.1000000000000001"/>
    <n v="7.72"/>
    <n v="18"/>
    <x v="2"/>
    <s v="VALID"/>
    <n v="6.1111111111111116E-2"/>
    <x v="1"/>
    <n v="6.125"/>
    <s v="Low"/>
  </r>
  <r>
    <n v="50"/>
    <n v="5.0999999999999996"/>
    <x v="3"/>
    <x v="0"/>
    <n v="600"/>
    <n v="80.2"/>
    <n v="10.57"/>
    <n v="6.93"/>
    <n v="135.88"/>
    <n v="18"/>
    <x v="1"/>
    <s v="INVALID"/>
    <m/>
    <x v="2"/>
    <m/>
    <m/>
  </r>
  <r>
    <n v="100"/>
    <n v="5.95"/>
    <x v="4"/>
    <x v="1"/>
    <n v="150"/>
    <n v="69.3"/>
    <n v="18.23"/>
    <n v="5.37"/>
    <n v="90.25"/>
    <n v="5"/>
    <x v="1"/>
    <s v="VALID"/>
    <n v="1.0740000000000001"/>
    <x v="1"/>
    <n v="54.24"/>
    <s v="Medium"/>
  </r>
  <r>
    <n v="50"/>
    <n v="4.43"/>
    <x v="2"/>
    <x v="1"/>
    <n v="600"/>
    <n v="16.100000000000001"/>
    <n v="16.91"/>
    <n v="4.09"/>
    <n v="92.33"/>
    <n v="16"/>
    <x v="0"/>
    <s v="VALID"/>
    <n v="0.25562499999999999"/>
    <x v="1"/>
    <n v="54.62"/>
    <s v="Medium"/>
  </r>
  <r>
    <n v="100"/>
    <n v="5.33"/>
    <x v="4"/>
    <x v="0"/>
    <n v="1500"/>
    <n v="50.9"/>
    <n v="16.47"/>
    <n v="2.04"/>
    <n v="38.270000000000003"/>
    <n v="16"/>
    <x v="0"/>
    <s v="VALID"/>
    <n v="0.1275"/>
    <x v="1"/>
    <n v="27.37"/>
    <s v="Low"/>
  </r>
  <r>
    <n v="600"/>
    <n v="24.6"/>
    <x v="1"/>
    <x v="3"/>
    <n v="2500"/>
    <n v="2.7"/>
    <n v="1.98"/>
    <n v="7.53"/>
    <n v="30.61"/>
    <n v="6"/>
    <x v="1"/>
    <s v="VALID"/>
    <n v="1.2550000000000001"/>
    <x v="0"/>
    <n v="16.294999999999998"/>
    <s v="Low"/>
  </r>
  <r>
    <n v="250"/>
    <n v="13.65"/>
    <x v="3"/>
    <x v="0"/>
    <n v="300"/>
    <n v="45.9"/>
    <n v="12.65"/>
    <n v="7.65"/>
    <n v="56.04"/>
    <n v="9"/>
    <x v="1"/>
    <s v="VALID"/>
    <n v="0.85000000000000009"/>
    <x v="0"/>
    <n v="34.344999999999999"/>
    <s v="Medium"/>
  </r>
  <r>
    <n v="1200"/>
    <n v="24.59"/>
    <x v="4"/>
    <x v="4"/>
    <n v="300"/>
    <n v="72.8"/>
    <n v="12.85"/>
    <n v="8.44"/>
    <n v="34.32"/>
    <n v="13"/>
    <x v="1"/>
    <s v="VALID"/>
    <n v="0.64923076923076917"/>
    <x v="1"/>
    <n v="23.585000000000001"/>
    <s v="Low"/>
  </r>
  <r>
    <n v="400"/>
    <n v="16.12"/>
    <x v="2"/>
    <x v="1"/>
    <n v="150"/>
    <n v="84"/>
    <n v="12.61"/>
    <n v="6.86"/>
    <n v="42.56"/>
    <n v="3"/>
    <x v="1"/>
    <s v="VALID"/>
    <n v="2.2866666666666666"/>
    <x v="1"/>
    <n v="27.585000000000001"/>
    <s v="Low"/>
  </r>
  <r>
    <n v="1500"/>
    <n v="39.33"/>
    <x v="2"/>
    <x v="0"/>
    <n v="300"/>
    <n v="-13.1"/>
    <n v="6.78"/>
    <n v="3.13"/>
    <n v="7.96"/>
    <n v="19"/>
    <x v="0"/>
    <s v="VALID"/>
    <n v="0.16473684210526315"/>
    <x v="1"/>
    <n v="7.37"/>
    <s v="Low"/>
  </r>
  <r>
    <n v="500"/>
    <n v="9.5399999999999991"/>
    <x v="4"/>
    <x v="1"/>
    <n v="900"/>
    <n v="48.6"/>
    <n v="11.26"/>
    <n v="3.14"/>
    <n v="32.909999999999997"/>
    <n v="10"/>
    <x v="0"/>
    <s v="VALID"/>
    <n v="0.314"/>
    <x v="1"/>
    <n v="22.084999999999997"/>
    <s v="Low"/>
  </r>
  <r>
    <n v="100"/>
    <n v="6.67"/>
    <x v="0"/>
    <x v="2"/>
    <n v="150"/>
    <n v="-13.9"/>
    <n v="9.73"/>
    <n v="8.14"/>
    <n v="122.04"/>
    <n v="3"/>
    <x v="1"/>
    <s v="INVALID"/>
    <m/>
    <x v="2"/>
    <m/>
    <m/>
  </r>
  <r>
    <n v="50"/>
    <n v="3"/>
    <x v="4"/>
    <x v="0"/>
    <n v="2500"/>
    <n v="149.5"/>
    <n v="9.41"/>
    <n v="2.44"/>
    <n v="81.33"/>
    <n v="5"/>
    <x v="0"/>
    <s v="VALID"/>
    <n v="0.48799999999999999"/>
    <x v="1"/>
    <n v="45.37"/>
    <s v="Medium"/>
  </r>
  <r>
    <n v="600"/>
    <n v="18.899999999999999"/>
    <x v="1"/>
    <x v="2"/>
    <n v="300"/>
    <n v="117.6"/>
    <n v="18.88"/>
    <n v="8.35"/>
    <n v="44.18"/>
    <n v="2"/>
    <x v="1"/>
    <s v="VALID"/>
    <n v="4.1749999999999998"/>
    <x v="0"/>
    <n v="31.53"/>
    <s v="Medium"/>
  </r>
  <r>
    <n v="1000"/>
    <n v="23.13"/>
    <x v="4"/>
    <x v="1"/>
    <n v="900"/>
    <n v="40.299999999999997"/>
    <n v="8.4499999999999993"/>
    <n v="3.98"/>
    <n v="17.21"/>
    <n v="12"/>
    <x v="0"/>
    <s v="VALID"/>
    <n v="0.33166666666666667"/>
    <x v="1"/>
    <n v="12.83"/>
    <s v="Low"/>
  </r>
  <r>
    <n v="200"/>
    <n v="11.05"/>
    <x v="3"/>
    <x v="2"/>
    <n v="900"/>
    <n v="10.1"/>
    <n v="4.0999999999999996"/>
    <n v="1.81"/>
    <n v="16.38"/>
    <n v="25"/>
    <x v="2"/>
    <s v="VALID"/>
    <n v="7.2400000000000006E-2"/>
    <x v="1"/>
    <n v="10.239999999999998"/>
    <s v="Low"/>
  </r>
  <r>
    <n v="400"/>
    <n v="12.9"/>
    <x v="1"/>
    <x v="4"/>
    <n v="1500"/>
    <n v="19.8"/>
    <n v="19.47"/>
    <n v="2.81"/>
    <n v="21.78"/>
    <n v="6"/>
    <x v="0"/>
    <s v="VALID"/>
    <n v="0.46833333333333332"/>
    <x v="1"/>
    <n v="20.625"/>
    <s v="Low"/>
  </r>
  <r>
    <n v="250"/>
    <n v="12.98"/>
    <x v="0"/>
    <x v="2"/>
    <n v="900"/>
    <n v="102.9"/>
    <n v="1.02"/>
    <n v="0.88"/>
    <n v="6.78"/>
    <n v="19"/>
    <x v="2"/>
    <s v="VALID"/>
    <n v="4.6315789473684213E-2"/>
    <x v="0"/>
    <n v="3.9000000000000004"/>
    <s v="Low"/>
  </r>
  <r>
    <n v="1500"/>
    <n v="36.130000000000003"/>
    <x v="4"/>
    <x v="2"/>
    <n v="900"/>
    <n v="59.5"/>
    <n v="2.84"/>
    <n v="6.93"/>
    <n v="19.18"/>
    <n v="14"/>
    <x v="1"/>
    <s v="VALID"/>
    <n v="0.495"/>
    <x v="1"/>
    <n v="11.01"/>
    <s v="Low"/>
  </r>
  <r>
    <n v="100"/>
    <n v="7.8"/>
    <x v="1"/>
    <x v="0"/>
    <n v="1500"/>
    <n v="36"/>
    <n v="3.57"/>
    <n v="4.6399999999999997"/>
    <n v="59.49"/>
    <n v="23"/>
    <x v="0"/>
    <s v="VALID"/>
    <n v="0.20173913043478259"/>
    <x v="1"/>
    <n v="31.53"/>
    <s v="Medium"/>
  </r>
  <r>
    <n v="200"/>
    <n v="6.14"/>
    <x v="1"/>
    <x v="3"/>
    <n v="900"/>
    <n v="50.9"/>
    <n v="16.59"/>
    <n v="7.1"/>
    <n v="115.64"/>
    <n v="3"/>
    <x v="1"/>
    <s v="INVALID"/>
    <m/>
    <x v="2"/>
    <m/>
    <m/>
  </r>
  <r>
    <n v="100"/>
    <n v="4.22"/>
    <x v="1"/>
    <x v="3"/>
    <n v="1500"/>
    <n v="3.5"/>
    <n v="16.13"/>
    <n v="0.03"/>
    <n v="0.71"/>
    <n v="17"/>
    <x v="2"/>
    <s v="VALID"/>
    <n v="1.764705882352941E-3"/>
    <x v="1"/>
    <n v="8.42"/>
    <s v="Low"/>
  </r>
  <r>
    <n v="1000"/>
    <n v="26.19"/>
    <x v="2"/>
    <x v="4"/>
    <n v="900"/>
    <n v="26.3"/>
    <n v="4.38"/>
    <n v="0.12"/>
    <n v="0.46"/>
    <n v="4"/>
    <x v="2"/>
    <s v="VALID"/>
    <n v="0.03"/>
    <x v="0"/>
    <n v="2.42"/>
    <s v="Low"/>
  </r>
  <r>
    <n v="400"/>
    <n v="14.97"/>
    <x v="2"/>
    <x v="0"/>
    <n v="2500"/>
    <n v="3"/>
    <n v="13.47"/>
    <n v="3.14"/>
    <n v="20.98"/>
    <n v="23"/>
    <x v="0"/>
    <s v="VALID"/>
    <n v="0.13652173913043478"/>
    <x v="1"/>
    <n v="17.225000000000001"/>
    <s v="Low"/>
  </r>
  <r>
    <n v="50"/>
    <n v="3.63"/>
    <x v="4"/>
    <x v="1"/>
    <n v="900"/>
    <n v="35.9"/>
    <n v="5.29"/>
    <n v="0.55000000000000004"/>
    <n v="15.15"/>
    <n v="10"/>
    <x v="2"/>
    <s v="VALID"/>
    <n v="5.5000000000000007E-2"/>
    <x v="0"/>
    <n v="10.220000000000001"/>
    <s v="Low"/>
  </r>
  <r>
    <n v="1500"/>
    <n v="48.32"/>
    <x v="2"/>
    <x v="0"/>
    <n v="300"/>
    <n v="90.1"/>
    <n v="19.12"/>
    <n v="6.42"/>
    <n v="13.29"/>
    <n v="2"/>
    <x v="1"/>
    <s v="VALID"/>
    <n v="3.21"/>
    <x v="1"/>
    <n v="16.204999999999998"/>
    <s v="Low"/>
  </r>
  <r>
    <n v="100"/>
    <n v="4.26"/>
    <x v="4"/>
    <x v="0"/>
    <n v="150"/>
    <n v="43.5"/>
    <n v="9.24"/>
    <n v="3.41"/>
    <n v="80.05"/>
    <n v="6"/>
    <x v="0"/>
    <s v="VALID"/>
    <n v="0.56833333333333336"/>
    <x v="1"/>
    <n v="44.644999999999996"/>
    <s v="Medium"/>
  </r>
  <r>
    <n v="1500"/>
    <n v="21.48"/>
    <x v="4"/>
    <x v="3"/>
    <n v="150"/>
    <n v="106.1"/>
    <n v="0.13"/>
    <n v="6.02"/>
    <n v="28.03"/>
    <n v="1"/>
    <x v="1"/>
    <s v="VALID"/>
    <n v="6.02"/>
    <x v="1"/>
    <n v="14.08"/>
    <s v="Low"/>
  </r>
  <r>
    <n v="400"/>
    <n v="17.48"/>
    <x v="4"/>
    <x v="4"/>
    <n v="150"/>
    <n v="65.7"/>
    <n v="16.079999999999998"/>
    <n v="9.18"/>
    <n v="52.52"/>
    <n v="5"/>
    <x v="1"/>
    <s v="VALID"/>
    <n v="1.8359999999999999"/>
    <x v="1"/>
    <n v="34.299999999999997"/>
    <s v="Medium"/>
  </r>
  <r>
    <n v="50"/>
    <n v="3.93"/>
    <x v="3"/>
    <x v="0"/>
    <n v="1500"/>
    <n v="60.9"/>
    <n v="12.73"/>
    <n v="2.2799999999999998"/>
    <n v="58.02"/>
    <n v="10"/>
    <x v="0"/>
    <s v="VALID"/>
    <n v="0.22799999999999998"/>
    <x v="1"/>
    <n v="35.375"/>
    <s v="Medium"/>
  </r>
  <r>
    <n v="100"/>
    <n v="4.7"/>
    <x v="4"/>
    <x v="3"/>
    <n v="300"/>
    <n v="63.7"/>
    <n v="6.81"/>
    <n v="8.83"/>
    <n v="187.87"/>
    <n v="6"/>
    <x v="1"/>
    <s v="INVALID"/>
    <m/>
    <x v="2"/>
    <m/>
    <m/>
  </r>
  <r>
    <n v="800"/>
    <n v="21.5"/>
    <x v="1"/>
    <x v="1"/>
    <n v="150"/>
    <n v="28.4"/>
    <n v="13.34"/>
    <n v="5.52"/>
    <n v="25.67"/>
    <n v="25"/>
    <x v="1"/>
    <s v="VALID"/>
    <n v="0.2208"/>
    <x v="1"/>
    <n v="19.505000000000003"/>
    <s v="Low"/>
  </r>
  <r>
    <n v="600"/>
    <n v="23.01"/>
    <x v="3"/>
    <x v="3"/>
    <n v="900"/>
    <n v="54.1"/>
    <n v="7.44"/>
    <n v="0.21"/>
    <n v="0.91"/>
    <n v="19"/>
    <x v="2"/>
    <s v="VALID"/>
    <n v="1.1052631578947368E-2"/>
    <x v="1"/>
    <n v="4.1749999999999998"/>
    <s v="Low"/>
  </r>
  <r>
    <n v="1200"/>
    <n v="24.51"/>
    <x v="3"/>
    <x v="4"/>
    <n v="1500"/>
    <n v="138.4"/>
    <n v="8.83"/>
    <n v="3.26"/>
    <n v="13.3"/>
    <n v="22"/>
    <x v="0"/>
    <s v="VALID"/>
    <n v="0.14818181818181816"/>
    <x v="1"/>
    <n v="11.065000000000001"/>
    <s v="Low"/>
  </r>
  <r>
    <n v="50"/>
    <n v="5.0999999999999996"/>
    <x v="1"/>
    <x v="1"/>
    <n v="300"/>
    <n v="5.6"/>
    <n v="2.42"/>
    <n v="6.46"/>
    <n v="126.67"/>
    <n v="21"/>
    <x v="1"/>
    <s v="INVALID"/>
    <m/>
    <x v="2"/>
    <m/>
    <m/>
  </r>
  <r>
    <n v="1500"/>
    <n v="23.53"/>
    <x v="0"/>
    <x v="1"/>
    <n v="1500"/>
    <n v="6.1"/>
    <n v="11.73"/>
    <n v="1.53"/>
    <n v="6.5"/>
    <n v="5"/>
    <x v="2"/>
    <s v="VALID"/>
    <n v="0.30599999999999999"/>
    <x v="1"/>
    <n v="9.1150000000000002"/>
    <s v="Low"/>
  </r>
  <r>
    <n v="300"/>
    <n v="15.67"/>
    <x v="3"/>
    <x v="0"/>
    <n v="300"/>
    <n v="43.3"/>
    <n v="6.51"/>
    <n v="4.76"/>
    <n v="30.38"/>
    <n v="5"/>
    <x v="0"/>
    <s v="VALID"/>
    <n v="0.95199999999999996"/>
    <x v="0"/>
    <n v="18.445"/>
    <s v="Low"/>
  </r>
  <r>
    <n v="200"/>
    <n v="6.3"/>
    <x v="0"/>
    <x v="3"/>
    <n v="300"/>
    <n v="62.6"/>
    <n v="3.47"/>
    <n v="1.55"/>
    <n v="24.6"/>
    <n v="19"/>
    <x v="2"/>
    <s v="VALID"/>
    <n v="8.1578947368421056E-2"/>
    <x v="1"/>
    <n v="14.035"/>
    <s v="Low"/>
  </r>
  <r>
    <n v="1000"/>
    <n v="22.93"/>
    <x v="3"/>
    <x v="0"/>
    <n v="900"/>
    <n v="84.6"/>
    <n v="7.67"/>
    <n v="3.92"/>
    <n v="17.100000000000001"/>
    <n v="23"/>
    <x v="0"/>
    <s v="VALID"/>
    <n v="0.17043478260869566"/>
    <x v="1"/>
    <n v="12.385000000000002"/>
    <s v="Low"/>
  </r>
  <r>
    <n v="300"/>
    <n v="10.67"/>
    <x v="3"/>
    <x v="4"/>
    <n v="2500"/>
    <n v="92.3"/>
    <n v="6.24"/>
    <n v="6.66"/>
    <n v="62.42"/>
    <n v="15"/>
    <x v="1"/>
    <s v="VALID"/>
    <n v="0.44400000000000001"/>
    <x v="1"/>
    <n v="34.33"/>
    <s v="Medium"/>
  </r>
  <r>
    <n v="500"/>
    <n v="23.22"/>
    <x v="1"/>
    <x v="2"/>
    <n v="150"/>
    <n v="45.6"/>
    <n v="13.08"/>
    <n v="4.97"/>
    <n v="21.4"/>
    <n v="13"/>
    <x v="0"/>
    <s v="VALID"/>
    <n v="0.38230769230769229"/>
    <x v="0"/>
    <n v="17.239999999999998"/>
    <s v="Low"/>
  </r>
  <r>
    <n v="300"/>
    <n v="12.92"/>
    <x v="0"/>
    <x v="0"/>
    <n v="150"/>
    <n v="136"/>
    <n v="11.02"/>
    <n v="6.79"/>
    <n v="52.55"/>
    <n v="6"/>
    <x v="1"/>
    <s v="VALID"/>
    <n v="1.1316666666666666"/>
    <x v="1"/>
    <n v="31.784999999999997"/>
    <s v="Medium"/>
  </r>
  <r>
    <n v="1200"/>
    <n v="36.1"/>
    <x v="2"/>
    <x v="4"/>
    <n v="900"/>
    <n v="56.8"/>
    <n v="10.34"/>
    <n v="8.06"/>
    <n v="22.33"/>
    <n v="16"/>
    <x v="1"/>
    <s v="VALID"/>
    <n v="0.50375000000000003"/>
    <x v="1"/>
    <n v="16.335000000000001"/>
    <s v="Low"/>
  </r>
  <r>
    <n v="200"/>
    <n v="9.1300000000000008"/>
    <x v="4"/>
    <x v="0"/>
    <n v="2500"/>
    <n v="93.4"/>
    <n v="10.66"/>
    <n v="9.83"/>
    <n v="107.67"/>
    <n v="8"/>
    <x v="1"/>
    <s v="INVALID"/>
    <m/>
    <x v="2"/>
    <m/>
    <m/>
  </r>
  <r>
    <n v="500"/>
    <n v="10.210000000000001"/>
    <x v="0"/>
    <x v="1"/>
    <n v="1500"/>
    <n v="-17"/>
    <n v="19.809999999999999"/>
    <n v="0.94"/>
    <n v="9.2100000000000009"/>
    <n v="14"/>
    <x v="2"/>
    <s v="VALID"/>
    <n v="6.7142857142857143E-2"/>
    <x v="0"/>
    <n v="14.51"/>
    <s v="Low"/>
  </r>
  <r>
    <n v="800"/>
    <n v="22.07"/>
    <x v="3"/>
    <x v="2"/>
    <n v="600"/>
    <n v="21.1"/>
    <n v="2.71"/>
    <n v="2.17"/>
    <n v="9.83"/>
    <n v="11"/>
    <x v="0"/>
    <s v="VALID"/>
    <n v="0.19727272727272727"/>
    <x v="0"/>
    <n v="6.27"/>
    <s v="Low"/>
  </r>
  <r>
    <n v="500"/>
    <n v="9.7100000000000009"/>
    <x v="0"/>
    <x v="4"/>
    <n v="900"/>
    <n v="24.1"/>
    <n v="10.87"/>
    <n v="1.93"/>
    <n v="19.88"/>
    <n v="25"/>
    <x v="2"/>
    <s v="VALID"/>
    <n v="7.7199999999999991E-2"/>
    <x v="1"/>
    <n v="15.375"/>
    <s v="Low"/>
  </r>
  <r>
    <n v="150"/>
    <n v="5.73"/>
    <x v="1"/>
    <x v="0"/>
    <n v="600"/>
    <n v="67.900000000000006"/>
    <n v="2.75"/>
    <n v="9.36"/>
    <n v="163.35"/>
    <n v="17"/>
    <x v="1"/>
    <s v="INVALID"/>
    <m/>
    <x v="2"/>
    <m/>
    <m/>
  </r>
  <r>
    <n v="400"/>
    <n v="14.7"/>
    <x v="4"/>
    <x v="0"/>
    <n v="2500"/>
    <n v="70.099999999999994"/>
    <n v="2.84"/>
    <n v="7.55"/>
    <n v="51.36"/>
    <n v="15"/>
    <x v="1"/>
    <s v="VALID"/>
    <n v="0.5033333333333333"/>
    <x v="1"/>
    <n v="27.1"/>
    <s v="Low"/>
  </r>
  <r>
    <n v="600"/>
    <n v="13.23"/>
    <x v="4"/>
    <x v="3"/>
    <n v="300"/>
    <n v="148.19999999999999"/>
    <n v="4.96"/>
    <n v="7.11"/>
    <n v="53.74"/>
    <n v="10"/>
    <x v="1"/>
    <s v="VALID"/>
    <n v="0.71100000000000008"/>
    <x v="0"/>
    <n v="29.35"/>
    <s v="Low"/>
  </r>
  <r>
    <n v="300"/>
    <n v="15.67"/>
    <x v="2"/>
    <x v="0"/>
    <n v="150"/>
    <n v="14.1"/>
    <n v="2.73"/>
    <n v="1"/>
    <n v="6.38"/>
    <n v="21"/>
    <x v="2"/>
    <s v="VALID"/>
    <n v="4.7619047619047616E-2"/>
    <x v="1"/>
    <n v="4.5549999999999997"/>
    <s v="Low"/>
  </r>
  <r>
    <n v="200"/>
    <n v="9.5"/>
    <x v="3"/>
    <x v="2"/>
    <n v="600"/>
    <n v="29.6"/>
    <n v="19.100000000000001"/>
    <n v="9.01"/>
    <n v="94.84"/>
    <n v="16"/>
    <x v="1"/>
    <s v="VALID"/>
    <n v="0.56312499999999999"/>
    <x v="1"/>
    <n v="56.97"/>
    <s v="Medium"/>
  </r>
  <r>
    <n v="100"/>
    <n v="4.6500000000000004"/>
    <x v="0"/>
    <x v="1"/>
    <n v="1500"/>
    <n v="48.8"/>
    <n v="9.19"/>
    <n v="1.59"/>
    <n v="34.19"/>
    <n v="5"/>
    <x v="2"/>
    <s v="VALID"/>
    <n v="0.318"/>
    <x v="1"/>
    <n v="21.689999999999998"/>
    <s v="Low"/>
  </r>
  <r>
    <n v="1200"/>
    <n v="34.92"/>
    <x v="2"/>
    <x v="0"/>
    <n v="300"/>
    <n v="79.3"/>
    <n v="3.55"/>
    <n v="6.92"/>
    <n v="19.82"/>
    <n v="12"/>
    <x v="1"/>
    <s v="VALID"/>
    <n v="0.57666666666666666"/>
    <x v="0"/>
    <n v="11.685"/>
    <s v="Low"/>
  </r>
  <r>
    <n v="600"/>
    <n v="21.33"/>
    <x v="2"/>
    <x v="0"/>
    <n v="300"/>
    <n v="100.1"/>
    <n v="6.63"/>
    <n v="7.16"/>
    <n v="33.57"/>
    <n v="15"/>
    <x v="1"/>
    <s v="VALID"/>
    <n v="0.47733333333333333"/>
    <x v="1"/>
    <n v="20.100000000000001"/>
    <s v="Low"/>
  </r>
  <r>
    <n v="500"/>
    <n v="17.850000000000001"/>
    <x v="3"/>
    <x v="3"/>
    <n v="150"/>
    <n v="20.7"/>
    <n v="6.86"/>
    <n v="8.76"/>
    <n v="49.08"/>
    <n v="10"/>
    <x v="1"/>
    <s v="VALID"/>
    <n v="0.876"/>
    <x v="1"/>
    <n v="27.97"/>
    <s v="Low"/>
  </r>
  <r>
    <n v="1200"/>
    <n v="22.83"/>
    <x v="1"/>
    <x v="1"/>
    <n v="900"/>
    <n v="42.1"/>
    <n v="7.33"/>
    <n v="4.45"/>
    <n v="19.489999999999998"/>
    <n v="10"/>
    <x v="0"/>
    <s v="VALID"/>
    <n v="0.44500000000000001"/>
    <x v="1"/>
    <n v="13.41"/>
    <s v="Low"/>
  </r>
  <r>
    <n v="800"/>
    <n v="18.329999999999998"/>
    <x v="4"/>
    <x v="3"/>
    <n v="1500"/>
    <n v="104.9"/>
    <n v="5.68"/>
    <n v="3.2"/>
    <n v="17.46"/>
    <n v="10"/>
    <x v="0"/>
    <s v="VALID"/>
    <n v="0.32"/>
    <x v="1"/>
    <n v="11.57"/>
    <s v="Low"/>
  </r>
  <r>
    <n v="600"/>
    <n v="12.39"/>
    <x v="1"/>
    <x v="4"/>
    <n v="1500"/>
    <n v="56"/>
    <n v="19.13"/>
    <n v="7.83"/>
    <n v="63.2"/>
    <n v="22"/>
    <x v="1"/>
    <s v="VALID"/>
    <n v="0.3559090909090909"/>
    <x v="0"/>
    <n v="41.164999999999999"/>
    <s v="Medium"/>
  </r>
  <r>
    <n v="300"/>
    <n v="12.86"/>
    <x v="3"/>
    <x v="0"/>
    <n v="900"/>
    <n v="88.9"/>
    <n v="11.84"/>
    <n v="5.2"/>
    <n v="40.44"/>
    <n v="18"/>
    <x v="1"/>
    <s v="VALID"/>
    <n v="0.28888888888888892"/>
    <x v="0"/>
    <n v="26.14"/>
    <s v="Low"/>
  </r>
  <r>
    <n v="1200"/>
    <n v="24.24"/>
    <x v="1"/>
    <x v="1"/>
    <n v="900"/>
    <n v="-34.4"/>
    <n v="5.08"/>
    <n v="8.5399999999999991"/>
    <n v="35.229999999999997"/>
    <n v="25"/>
    <x v="1"/>
    <s v="VALID"/>
    <n v="0.34159999999999996"/>
    <x v="1"/>
    <n v="20.154999999999998"/>
    <s v="Low"/>
  </r>
  <r>
    <n v="150"/>
    <n v="7.91"/>
    <x v="1"/>
    <x v="1"/>
    <n v="600"/>
    <n v="20.8"/>
    <n v="2.12"/>
    <n v="1.17"/>
    <n v="14.79"/>
    <n v="12"/>
    <x v="2"/>
    <s v="VALID"/>
    <n v="9.7499999999999989E-2"/>
    <x v="1"/>
    <n v="8.4550000000000001"/>
    <s v="Low"/>
  </r>
  <r>
    <n v="200"/>
    <n v="8.98"/>
    <x v="3"/>
    <x v="4"/>
    <n v="900"/>
    <n v="-38.6"/>
    <n v="14.53"/>
    <n v="9.2200000000000006"/>
    <n v="102.67"/>
    <n v="18"/>
    <x v="1"/>
    <s v="INVALID"/>
    <m/>
    <x v="2"/>
    <m/>
    <m/>
  </r>
  <r>
    <n v="1200"/>
    <n v="38.03"/>
    <x v="3"/>
    <x v="2"/>
    <n v="900"/>
    <n v="-44.2"/>
    <n v="4.74"/>
    <n v="5.56"/>
    <n v="14.62"/>
    <n v="11"/>
    <x v="1"/>
    <s v="VALID"/>
    <n v="0.50545454545454538"/>
    <x v="1"/>
    <n v="9.68"/>
    <s v="Low"/>
  </r>
  <r>
    <n v="1000"/>
    <n v="26.98"/>
    <x v="1"/>
    <x v="1"/>
    <n v="150"/>
    <n v="43.9"/>
    <n v="12.77"/>
    <n v="9.99"/>
    <n v="37.03"/>
    <n v="16"/>
    <x v="1"/>
    <s v="VALID"/>
    <n v="0.62437500000000001"/>
    <x v="1"/>
    <n v="24.9"/>
    <s v="Low"/>
  </r>
  <r>
    <n v="150"/>
    <n v="9.73"/>
    <x v="4"/>
    <x v="1"/>
    <n v="600"/>
    <n v="56"/>
    <n v="8.07"/>
    <n v="3.18"/>
    <n v="32.68"/>
    <n v="2"/>
    <x v="0"/>
    <s v="VALID"/>
    <n v="1.59"/>
    <x v="1"/>
    <n v="20.375"/>
    <s v="Low"/>
  </r>
  <r>
    <n v="500"/>
    <n v="22.49"/>
    <x v="4"/>
    <x v="4"/>
    <n v="1500"/>
    <n v="58.1"/>
    <n v="3.1"/>
    <n v="6.62"/>
    <n v="29.44"/>
    <n v="1"/>
    <x v="1"/>
    <s v="VALID"/>
    <n v="6.62"/>
    <x v="1"/>
    <n v="16.27"/>
    <s v="Low"/>
  </r>
  <r>
    <n v="300"/>
    <n v="7.2"/>
    <x v="0"/>
    <x v="3"/>
    <n v="300"/>
    <n v="48.5"/>
    <n v="17.27"/>
    <n v="8.07"/>
    <n v="112.08"/>
    <n v="20"/>
    <x v="1"/>
    <s v="INVALID"/>
    <m/>
    <x v="2"/>
    <m/>
    <m/>
  </r>
  <r>
    <n v="500"/>
    <n v="9.94"/>
    <x v="1"/>
    <x v="4"/>
    <n v="150"/>
    <n v="28.1"/>
    <n v="12.68"/>
    <n v="1.32"/>
    <n v="13.28"/>
    <n v="13"/>
    <x v="2"/>
    <s v="VALID"/>
    <n v="0.10153846153846155"/>
    <x v="1"/>
    <n v="12.98"/>
    <s v="Low"/>
  </r>
  <r>
    <n v="150"/>
    <n v="6.69"/>
    <x v="0"/>
    <x v="1"/>
    <n v="300"/>
    <n v="66.2"/>
    <n v="2.1"/>
    <n v="9.6"/>
    <n v="143.5"/>
    <n v="6"/>
    <x v="1"/>
    <s v="INVALID"/>
    <m/>
    <x v="2"/>
    <m/>
    <m/>
  </r>
  <r>
    <n v="200"/>
    <n v="6.76"/>
    <x v="3"/>
    <x v="4"/>
    <n v="300"/>
    <n v="51.1"/>
    <n v="15.15"/>
    <n v="9.35"/>
    <n v="138.31"/>
    <n v="8"/>
    <x v="1"/>
    <s v="INVALID"/>
    <m/>
    <x v="2"/>
    <m/>
    <m/>
  </r>
  <r>
    <n v="200"/>
    <n v="6.26"/>
    <x v="1"/>
    <x v="2"/>
    <n v="2500"/>
    <n v="74.8"/>
    <n v="12.94"/>
    <n v="8.02"/>
    <n v="128.12"/>
    <n v="24"/>
    <x v="1"/>
    <s v="INVALID"/>
    <m/>
    <x v="2"/>
    <m/>
    <m/>
  </r>
  <r>
    <n v="800"/>
    <n v="14.7"/>
    <x v="2"/>
    <x v="2"/>
    <n v="1500"/>
    <n v="43.9"/>
    <n v="1.44"/>
    <n v="4.07"/>
    <n v="27.69"/>
    <n v="16"/>
    <x v="0"/>
    <s v="VALID"/>
    <n v="0.25437500000000002"/>
    <x v="0"/>
    <n v="14.565000000000001"/>
    <s v="Low"/>
  </r>
  <r>
    <n v="600"/>
    <n v="11.17"/>
    <x v="2"/>
    <x v="0"/>
    <n v="1500"/>
    <n v="115.7"/>
    <n v="17.93"/>
    <n v="0.81"/>
    <n v="7.25"/>
    <n v="15"/>
    <x v="2"/>
    <s v="VALID"/>
    <n v="5.4000000000000006E-2"/>
    <x v="0"/>
    <n v="12.59"/>
    <s v="Low"/>
  </r>
  <r>
    <n v="600"/>
    <n v="14.15"/>
    <x v="1"/>
    <x v="3"/>
    <n v="150"/>
    <n v="86.4"/>
    <n v="9.07"/>
    <n v="4.49"/>
    <n v="31.73"/>
    <n v="18"/>
    <x v="0"/>
    <s v="VALID"/>
    <n v="0.24944444444444447"/>
    <x v="0"/>
    <n v="20.399999999999999"/>
    <s v="Low"/>
  </r>
  <r>
    <n v="800"/>
    <n v="17.149999999999999"/>
    <x v="2"/>
    <x v="4"/>
    <n v="150"/>
    <n v="93.4"/>
    <n v="0.54"/>
    <n v="2.54"/>
    <n v="14.81"/>
    <n v="7"/>
    <x v="0"/>
    <s v="VALID"/>
    <n v="0.36285714285714288"/>
    <x v="1"/>
    <n v="7.6750000000000007"/>
    <s v="Low"/>
  </r>
  <r>
    <n v="50"/>
    <n v="3"/>
    <x v="0"/>
    <x v="0"/>
    <n v="150"/>
    <n v="30.9"/>
    <n v="9.1999999999999993"/>
    <n v="4.13"/>
    <n v="137.66999999999999"/>
    <n v="17"/>
    <x v="0"/>
    <s v="INVALID"/>
    <m/>
    <x v="2"/>
    <m/>
    <m/>
  </r>
  <r>
    <n v="500"/>
    <n v="21.53"/>
    <x v="2"/>
    <x v="1"/>
    <n v="300"/>
    <n v="47.7"/>
    <n v="16.95"/>
    <n v="3.11"/>
    <n v="14.44"/>
    <n v="13"/>
    <x v="0"/>
    <s v="VALID"/>
    <n v="0.23923076923076922"/>
    <x v="1"/>
    <n v="15.695"/>
    <s v="Low"/>
  </r>
  <r>
    <n v="1500"/>
    <n v="34.19"/>
    <x v="3"/>
    <x v="4"/>
    <n v="1500"/>
    <n v="81.2"/>
    <n v="10.4"/>
    <n v="7.15"/>
    <n v="20.91"/>
    <n v="1"/>
    <x v="1"/>
    <s v="VALID"/>
    <n v="7.15"/>
    <x v="1"/>
    <n v="15.655000000000001"/>
    <s v="Low"/>
  </r>
  <r>
    <n v="50"/>
    <n v="5.93"/>
    <x v="3"/>
    <x v="1"/>
    <n v="2500"/>
    <n v="75.099999999999994"/>
    <n v="19.39"/>
    <n v="7.2"/>
    <n v="121.42"/>
    <n v="15"/>
    <x v="1"/>
    <s v="INVALID"/>
    <m/>
    <x v="2"/>
    <m/>
    <m/>
  </r>
  <r>
    <n v="1200"/>
    <n v="33.06"/>
    <x v="0"/>
    <x v="1"/>
    <n v="900"/>
    <n v="-9.6"/>
    <n v="11.89"/>
    <n v="8.15"/>
    <n v="24.65"/>
    <n v="18"/>
    <x v="1"/>
    <s v="VALID"/>
    <n v="0.45277777777777778"/>
    <x v="0"/>
    <n v="18.27"/>
    <s v="Low"/>
  </r>
  <r>
    <n v="100"/>
    <n v="6.31"/>
    <x v="0"/>
    <x v="4"/>
    <n v="900"/>
    <n v="30.5"/>
    <n v="10.66"/>
    <n v="5.74"/>
    <n v="90.97"/>
    <n v="12"/>
    <x v="1"/>
    <s v="VALID"/>
    <n v="0.47833333333333333"/>
    <x v="1"/>
    <n v="50.814999999999998"/>
    <s v="Medium"/>
  </r>
  <r>
    <n v="100"/>
    <n v="4.72"/>
    <x v="4"/>
    <x v="1"/>
    <n v="300"/>
    <n v="55.8"/>
    <n v="8.56"/>
    <n v="0.97"/>
    <n v="20.55"/>
    <n v="16"/>
    <x v="2"/>
    <s v="VALID"/>
    <n v="6.0624999999999998E-2"/>
    <x v="1"/>
    <n v="14.555"/>
    <s v="Low"/>
  </r>
  <r>
    <n v="600"/>
    <n v="22.4"/>
    <x v="4"/>
    <x v="4"/>
    <n v="1500"/>
    <n v="44.1"/>
    <n v="1.5"/>
    <n v="8.01"/>
    <n v="35.76"/>
    <n v="12"/>
    <x v="1"/>
    <s v="VALID"/>
    <n v="0.66749999999999998"/>
    <x v="1"/>
    <n v="18.63"/>
    <s v="Low"/>
  </r>
  <r>
    <n v="300"/>
    <n v="17.34"/>
    <x v="4"/>
    <x v="0"/>
    <n v="1500"/>
    <n v="46.2"/>
    <n v="14.96"/>
    <n v="4.8099999999999996"/>
    <n v="27.74"/>
    <n v="6"/>
    <x v="0"/>
    <s v="VALID"/>
    <n v="0.80166666666666664"/>
    <x v="0"/>
    <n v="21.35"/>
    <s v="Low"/>
  </r>
  <r>
    <n v="400"/>
    <n v="12.29"/>
    <x v="1"/>
    <x v="3"/>
    <n v="300"/>
    <n v="-9.6"/>
    <n v="16"/>
    <n v="3.22"/>
    <n v="26.2"/>
    <n v="8"/>
    <x v="0"/>
    <s v="VALID"/>
    <n v="0.40250000000000002"/>
    <x v="0"/>
    <n v="21.1"/>
    <s v="Low"/>
  </r>
  <r>
    <n v="1500"/>
    <n v="29.22"/>
    <x v="4"/>
    <x v="1"/>
    <n v="2500"/>
    <n v="-10.7"/>
    <n v="8.17"/>
    <n v="6.72"/>
    <n v="23"/>
    <n v="22"/>
    <x v="1"/>
    <s v="VALID"/>
    <n v="0.30545454545454542"/>
    <x v="1"/>
    <n v="15.585000000000001"/>
    <s v="Low"/>
  </r>
  <r>
    <n v="100"/>
    <n v="5.99"/>
    <x v="0"/>
    <x v="2"/>
    <n v="900"/>
    <n v="-6.7"/>
    <n v="8.83"/>
    <n v="3.77"/>
    <n v="62.94"/>
    <n v="14"/>
    <x v="0"/>
    <s v="VALID"/>
    <n v="0.26928571428571429"/>
    <x v="0"/>
    <n v="35.884999999999998"/>
    <s v="Medium"/>
  </r>
  <r>
    <n v="50"/>
    <n v="3"/>
    <x v="3"/>
    <x v="2"/>
    <n v="900"/>
    <n v="22.8"/>
    <n v="13.87"/>
    <n v="0.47"/>
    <n v="15.67"/>
    <n v="18"/>
    <x v="2"/>
    <s v="VALID"/>
    <n v="2.6111111111111109E-2"/>
    <x v="1"/>
    <n v="14.77"/>
    <s v="Low"/>
  </r>
  <r>
    <n v="1500"/>
    <n v="38.340000000000003"/>
    <x v="0"/>
    <x v="0"/>
    <n v="2500"/>
    <n v="22.3"/>
    <n v="14.44"/>
    <n v="5.57"/>
    <n v="14.53"/>
    <n v="21"/>
    <x v="1"/>
    <s v="VALID"/>
    <n v="0.26523809523809527"/>
    <x v="1"/>
    <n v="14.484999999999999"/>
    <s v="Low"/>
  </r>
  <r>
    <n v="100"/>
    <n v="7.37"/>
    <x v="1"/>
    <x v="1"/>
    <n v="300"/>
    <n v="56.5"/>
    <n v="14.31"/>
    <n v="2.35"/>
    <n v="31.89"/>
    <n v="2"/>
    <x v="0"/>
    <s v="VALID"/>
    <n v="1.175"/>
    <x v="0"/>
    <n v="23.1"/>
    <s v="Low"/>
  </r>
  <r>
    <n v="800"/>
    <n v="27.17"/>
    <x v="2"/>
    <x v="0"/>
    <n v="2500"/>
    <n v="27"/>
    <n v="16.100000000000001"/>
    <n v="9.31"/>
    <n v="34.270000000000003"/>
    <n v="16"/>
    <x v="1"/>
    <s v="VALID"/>
    <n v="0.58187500000000003"/>
    <x v="1"/>
    <n v="25.185000000000002"/>
    <s v="Low"/>
  </r>
  <r>
    <n v="800"/>
    <n v="12.37"/>
    <x v="2"/>
    <x v="4"/>
    <n v="900"/>
    <n v="-11.7"/>
    <n v="16.5"/>
    <n v="7.51"/>
    <n v="60.71"/>
    <n v="23"/>
    <x v="1"/>
    <s v="VALID"/>
    <n v="0.32652173913043475"/>
    <x v="0"/>
    <n v="38.605000000000004"/>
    <s v="Medium"/>
  </r>
  <r>
    <n v="100"/>
    <n v="5.58"/>
    <x v="3"/>
    <x v="3"/>
    <n v="300"/>
    <n v="43.4"/>
    <n v="12.52"/>
    <n v="4.45"/>
    <n v="79.75"/>
    <n v="21"/>
    <x v="0"/>
    <s v="VALID"/>
    <n v="0.2119047619047619"/>
    <x v="1"/>
    <n v="46.134999999999998"/>
    <s v="Medium"/>
  </r>
  <r>
    <n v="100"/>
    <n v="6.08"/>
    <x v="0"/>
    <x v="3"/>
    <n v="150"/>
    <n v="86.7"/>
    <n v="10.71"/>
    <n v="2.81"/>
    <n v="46.22"/>
    <n v="21"/>
    <x v="0"/>
    <s v="VALID"/>
    <n v="0.13380952380952382"/>
    <x v="1"/>
    <n v="28.465"/>
    <s v="Low"/>
  </r>
  <r>
    <n v="1200"/>
    <n v="23.76"/>
    <x v="3"/>
    <x v="3"/>
    <n v="300"/>
    <n v="-29.9"/>
    <n v="1.38"/>
    <n v="6.01"/>
    <n v="25.29"/>
    <n v="16"/>
    <x v="1"/>
    <s v="VALID"/>
    <n v="0.37562499999999999"/>
    <x v="1"/>
    <n v="13.334999999999999"/>
    <s v="Low"/>
  </r>
  <r>
    <n v="300"/>
    <n v="9.39"/>
    <x v="3"/>
    <x v="2"/>
    <n v="150"/>
    <n v="41.2"/>
    <n v="11.27"/>
    <n v="4.09"/>
    <n v="43.56"/>
    <n v="20"/>
    <x v="0"/>
    <s v="VALID"/>
    <n v="0.20449999999999999"/>
    <x v="1"/>
    <n v="27.414999999999999"/>
    <s v="Low"/>
  </r>
  <r>
    <n v="300"/>
    <n v="10.42"/>
    <x v="3"/>
    <x v="0"/>
    <n v="600"/>
    <n v="32.5"/>
    <n v="19.329999999999998"/>
    <n v="4.6399999999999997"/>
    <n v="44.53"/>
    <n v="3"/>
    <x v="0"/>
    <s v="VALID"/>
    <n v="1.5466666666666666"/>
    <x v="1"/>
    <n v="31.93"/>
    <s v="Medium"/>
  </r>
  <r>
    <n v="800"/>
    <n v="29.29"/>
    <x v="2"/>
    <x v="3"/>
    <n v="150"/>
    <n v="76.099999999999994"/>
    <n v="10.210000000000001"/>
    <n v="7"/>
    <n v="23.9"/>
    <n v="3"/>
    <x v="1"/>
    <s v="VALID"/>
    <n v="2.3333333333333335"/>
    <x v="1"/>
    <n v="17.055"/>
    <s v="Low"/>
  </r>
  <r>
    <n v="1500"/>
    <n v="32.909999999999997"/>
    <x v="0"/>
    <x v="4"/>
    <n v="150"/>
    <n v="112.7"/>
    <n v="9.6199999999999992"/>
    <n v="6.03"/>
    <n v="18.32"/>
    <n v="17"/>
    <x v="1"/>
    <s v="VALID"/>
    <n v="0.3547058823529412"/>
    <x v="1"/>
    <n v="13.969999999999999"/>
    <s v="Low"/>
  </r>
  <r>
    <n v="200"/>
    <n v="11.11"/>
    <x v="0"/>
    <x v="1"/>
    <n v="150"/>
    <n v="6.1"/>
    <n v="14.49"/>
    <n v="3.41"/>
    <n v="30.69"/>
    <n v="23"/>
    <x v="0"/>
    <s v="VALID"/>
    <n v="0.14826086956521739"/>
    <x v="1"/>
    <n v="22.59"/>
    <s v="Low"/>
  </r>
  <r>
    <n v="300"/>
    <n v="13.83"/>
    <x v="0"/>
    <x v="3"/>
    <n v="300"/>
    <n v="76"/>
    <n v="11.2"/>
    <n v="2.95"/>
    <n v="21.33"/>
    <n v="3"/>
    <x v="0"/>
    <s v="VALID"/>
    <n v="0.98333333333333339"/>
    <x v="1"/>
    <n v="16.265000000000001"/>
    <s v="Low"/>
  </r>
  <r>
    <n v="1000"/>
    <n v="29.05"/>
    <x v="1"/>
    <x v="1"/>
    <n v="1500"/>
    <n v="29.6"/>
    <n v="7.47"/>
    <n v="9.6300000000000008"/>
    <n v="33.15"/>
    <n v="14"/>
    <x v="1"/>
    <s v="VALID"/>
    <n v="0.68785714285714294"/>
    <x v="1"/>
    <n v="20.309999999999999"/>
    <s v="Low"/>
  </r>
  <r>
    <n v="1500"/>
    <n v="47.89"/>
    <x v="2"/>
    <x v="1"/>
    <n v="2500"/>
    <n v="56.1"/>
    <n v="0.82"/>
    <n v="9.49"/>
    <n v="19.82"/>
    <n v="7"/>
    <x v="1"/>
    <s v="VALID"/>
    <n v="1.3557142857142856"/>
    <x v="0"/>
    <n v="10.32"/>
    <s v="Low"/>
  </r>
  <r>
    <n v="50"/>
    <n v="5.33"/>
    <x v="3"/>
    <x v="3"/>
    <n v="900"/>
    <n v="95.9"/>
    <n v="13.51"/>
    <n v="3.77"/>
    <n v="70.73"/>
    <n v="13"/>
    <x v="0"/>
    <s v="VALID"/>
    <n v="0.28999999999999998"/>
    <x v="0"/>
    <n v="42.120000000000005"/>
    <s v="Medium"/>
  </r>
  <r>
    <n v="1000"/>
    <n v="33.31"/>
    <x v="0"/>
    <x v="2"/>
    <n v="300"/>
    <n v="105.7"/>
    <n v="3.86"/>
    <n v="8.2899999999999991"/>
    <n v="24.89"/>
    <n v="20"/>
    <x v="1"/>
    <s v="VALID"/>
    <n v="0.41449999999999998"/>
    <x v="1"/>
    <n v="14.375"/>
    <s v="Low"/>
  </r>
  <r>
    <n v="400"/>
    <n v="18.41"/>
    <x v="0"/>
    <x v="1"/>
    <n v="2500"/>
    <n v="25.7"/>
    <n v="5.31"/>
    <n v="2.71"/>
    <n v="14.72"/>
    <n v="16"/>
    <x v="0"/>
    <s v="VALID"/>
    <n v="0.169375"/>
    <x v="1"/>
    <n v="10.015000000000001"/>
    <s v="Low"/>
  </r>
  <r>
    <n v="150"/>
    <n v="5.98"/>
    <x v="4"/>
    <x v="2"/>
    <n v="2500"/>
    <n v="-20.8"/>
    <n v="6.05"/>
    <n v="6.14"/>
    <n v="102.68"/>
    <n v="20"/>
    <x v="1"/>
    <s v="INVALID"/>
    <m/>
    <x v="2"/>
    <m/>
    <m/>
  </r>
  <r>
    <n v="800"/>
    <n v="29.96"/>
    <x v="3"/>
    <x v="1"/>
    <n v="2500"/>
    <n v="29"/>
    <n v="1.98"/>
    <n v="2.13"/>
    <n v="7.11"/>
    <n v="15"/>
    <x v="0"/>
    <s v="VALID"/>
    <n v="0.14199999999999999"/>
    <x v="0"/>
    <n v="4.5449999999999999"/>
    <s v="Low"/>
  </r>
  <r>
    <n v="300"/>
    <n v="8.74"/>
    <x v="2"/>
    <x v="1"/>
    <n v="1500"/>
    <n v="43.5"/>
    <n v="15.97"/>
    <n v="8.42"/>
    <n v="96.34"/>
    <n v="25"/>
    <x v="1"/>
    <s v="VALID"/>
    <n v="0.33679999999999999"/>
    <x v="0"/>
    <n v="56.155000000000001"/>
    <s v="Medium"/>
  </r>
  <r>
    <n v="150"/>
    <n v="5.21"/>
    <x v="4"/>
    <x v="4"/>
    <n v="150"/>
    <n v="91.9"/>
    <n v="5.83"/>
    <n v="1.33"/>
    <n v="25.53"/>
    <n v="24"/>
    <x v="2"/>
    <s v="VALID"/>
    <n v="5.541666666666667E-2"/>
    <x v="0"/>
    <n v="15.68"/>
    <s v="Low"/>
  </r>
  <r>
    <n v="600"/>
    <n v="21.1"/>
    <x v="0"/>
    <x v="2"/>
    <n v="1500"/>
    <n v="12.8"/>
    <n v="3.44"/>
    <n v="9.8699999999999992"/>
    <n v="46.78"/>
    <n v="15"/>
    <x v="1"/>
    <s v="VALID"/>
    <n v="0.65799999999999992"/>
    <x v="1"/>
    <n v="25.11"/>
    <s v="Low"/>
  </r>
  <r>
    <n v="1000"/>
    <n v="32.07"/>
    <x v="4"/>
    <x v="2"/>
    <n v="150"/>
    <n v="100.7"/>
    <n v="0.3"/>
    <n v="4.46"/>
    <n v="13.91"/>
    <n v="22"/>
    <x v="0"/>
    <s v="VALID"/>
    <n v="0.20272727272727273"/>
    <x v="0"/>
    <n v="7.1050000000000004"/>
    <s v="Low"/>
  </r>
  <r>
    <n v="100"/>
    <n v="5.72"/>
    <x v="4"/>
    <x v="1"/>
    <n v="150"/>
    <n v="-6.9"/>
    <n v="9.07"/>
    <n v="5.8"/>
    <n v="101.4"/>
    <n v="17"/>
    <x v="1"/>
    <s v="INVALID"/>
    <m/>
    <x v="2"/>
    <m/>
    <m/>
  </r>
  <r>
    <n v="250"/>
    <n v="13.01"/>
    <x v="2"/>
    <x v="4"/>
    <n v="600"/>
    <n v="16.8"/>
    <n v="18.32"/>
    <n v="4.03"/>
    <n v="30.98"/>
    <n v="5"/>
    <x v="0"/>
    <s v="VALID"/>
    <n v="0.80600000000000005"/>
    <x v="1"/>
    <n v="24.65"/>
    <s v="Low"/>
  </r>
  <r>
    <n v="500"/>
    <n v="21.57"/>
    <x v="4"/>
    <x v="0"/>
    <n v="2500"/>
    <n v="-24.6"/>
    <n v="4.97"/>
    <n v="7.54"/>
    <n v="34.96"/>
    <n v="14"/>
    <x v="1"/>
    <s v="VALID"/>
    <n v="0.53857142857142859"/>
    <x v="1"/>
    <n v="19.965"/>
    <s v="Low"/>
  </r>
  <r>
    <n v="200"/>
    <n v="10.76"/>
    <x v="3"/>
    <x v="3"/>
    <n v="1500"/>
    <n v="4.0999999999999996"/>
    <n v="14.69"/>
    <n v="4.04"/>
    <n v="37.549999999999997"/>
    <n v="24"/>
    <x v="0"/>
    <s v="VALID"/>
    <n v="0.16833333333333333"/>
    <x v="0"/>
    <n v="26.119999999999997"/>
    <s v="Low"/>
  </r>
  <r>
    <n v="400"/>
    <n v="18.8"/>
    <x v="1"/>
    <x v="1"/>
    <n v="900"/>
    <n v="28.7"/>
    <n v="3.18"/>
    <n v="3.37"/>
    <n v="17.93"/>
    <n v="4"/>
    <x v="0"/>
    <s v="VALID"/>
    <n v="0.84250000000000003"/>
    <x v="0"/>
    <n v="10.555"/>
    <s v="Low"/>
  </r>
  <r>
    <n v="600"/>
    <n v="24.05"/>
    <x v="1"/>
    <x v="1"/>
    <n v="2500"/>
    <n v="76.400000000000006"/>
    <n v="10.18"/>
    <n v="2.64"/>
    <n v="10.98"/>
    <n v="21"/>
    <x v="0"/>
    <s v="VALID"/>
    <n v="0.12571428571428572"/>
    <x v="1"/>
    <n v="10.58"/>
    <s v="Low"/>
  </r>
  <r>
    <n v="500"/>
    <n v="17.53"/>
    <x v="1"/>
    <x v="1"/>
    <n v="600"/>
    <n v="61.3"/>
    <n v="11.49"/>
    <n v="3.24"/>
    <n v="18.48"/>
    <n v="18"/>
    <x v="0"/>
    <s v="VALID"/>
    <n v="0.18000000000000002"/>
    <x v="0"/>
    <n v="14.984999999999999"/>
    <s v="Low"/>
  </r>
  <r>
    <n v="300"/>
    <n v="7.53"/>
    <x v="2"/>
    <x v="1"/>
    <n v="900"/>
    <n v="0.5"/>
    <n v="2.82"/>
    <n v="1.99"/>
    <n v="26.43"/>
    <n v="7"/>
    <x v="2"/>
    <s v="VALID"/>
    <n v="0.28428571428571431"/>
    <x v="1"/>
    <n v="14.625"/>
    <s v="Low"/>
  </r>
  <r>
    <n v="600"/>
    <n v="26.89"/>
    <x v="2"/>
    <x v="2"/>
    <n v="600"/>
    <n v="34.5"/>
    <n v="19.09"/>
    <n v="3.55"/>
    <n v="13.2"/>
    <n v="5"/>
    <x v="0"/>
    <s v="VALID"/>
    <n v="0.71"/>
    <x v="1"/>
    <n v="16.145"/>
    <s v="Low"/>
  </r>
  <r>
    <n v="250"/>
    <n v="11.74"/>
    <x v="4"/>
    <x v="4"/>
    <n v="1500"/>
    <n v="53.8"/>
    <n v="7.49"/>
    <n v="8.1300000000000008"/>
    <n v="69.25"/>
    <n v="19"/>
    <x v="1"/>
    <s v="VALID"/>
    <n v="0.42789473684210533"/>
    <x v="1"/>
    <n v="38.369999999999997"/>
    <s v="Medium"/>
  </r>
  <r>
    <n v="800"/>
    <n v="14.26"/>
    <x v="1"/>
    <x v="1"/>
    <n v="300"/>
    <n v="-29.3"/>
    <n v="11.27"/>
    <n v="9.19"/>
    <n v="64.45"/>
    <n v="22"/>
    <x v="1"/>
    <s v="VALID"/>
    <n v="0.41772727272727272"/>
    <x v="0"/>
    <n v="37.86"/>
    <s v="Medium"/>
  </r>
  <r>
    <n v="400"/>
    <n v="18.46"/>
    <x v="2"/>
    <x v="1"/>
    <n v="300"/>
    <n v="53.1"/>
    <n v="15.98"/>
    <n v="3.56"/>
    <n v="19.28"/>
    <n v="18"/>
    <x v="0"/>
    <s v="VALID"/>
    <n v="0.19777777777777777"/>
    <x v="1"/>
    <n v="17.630000000000003"/>
    <s v="Low"/>
  </r>
  <r>
    <n v="1200"/>
    <n v="33.729999999999997"/>
    <x v="1"/>
    <x v="4"/>
    <n v="150"/>
    <n v="45.3"/>
    <n v="10.81"/>
    <n v="7.41"/>
    <n v="21.97"/>
    <n v="20"/>
    <x v="1"/>
    <s v="VALID"/>
    <n v="0.3705"/>
    <x v="1"/>
    <n v="16.39"/>
    <s v="Low"/>
  </r>
  <r>
    <n v="250"/>
    <n v="8.5399999999999991"/>
    <x v="3"/>
    <x v="4"/>
    <n v="300"/>
    <n v="41"/>
    <n v="12.97"/>
    <n v="5.54"/>
    <n v="64.87"/>
    <n v="4"/>
    <x v="1"/>
    <s v="VALID"/>
    <n v="1.385"/>
    <x v="1"/>
    <n v="38.92"/>
    <s v="Medium"/>
  </r>
  <r>
    <n v="800"/>
    <n v="20.75"/>
    <x v="2"/>
    <x v="1"/>
    <n v="150"/>
    <n v="-0.9"/>
    <n v="6.09"/>
    <n v="9.77"/>
    <n v="47.08"/>
    <n v="24"/>
    <x v="1"/>
    <s v="VALID"/>
    <n v="0.4070833333333333"/>
    <x v="1"/>
    <n v="26.585000000000001"/>
    <s v="Low"/>
  </r>
  <r>
    <n v="1000"/>
    <n v="15.56"/>
    <x v="4"/>
    <x v="0"/>
    <n v="300"/>
    <n v="74.8"/>
    <n v="3.19"/>
    <n v="4.24"/>
    <n v="27.25"/>
    <n v="20"/>
    <x v="0"/>
    <s v="VALID"/>
    <n v="0.21200000000000002"/>
    <x v="1"/>
    <n v="15.22"/>
    <s v="Low"/>
  </r>
  <r>
    <n v="50"/>
    <n v="4.6900000000000004"/>
    <x v="2"/>
    <x v="3"/>
    <n v="150"/>
    <n v="13.4"/>
    <n v="0.67"/>
    <n v="2.4300000000000002"/>
    <n v="51.81"/>
    <n v="18"/>
    <x v="0"/>
    <s v="VALID"/>
    <n v="0.13500000000000001"/>
    <x v="1"/>
    <n v="26.240000000000002"/>
    <s v="Low"/>
  </r>
  <r>
    <n v="150"/>
    <n v="7.97"/>
    <x v="3"/>
    <x v="3"/>
    <n v="150"/>
    <n v="81.8"/>
    <n v="5.16"/>
    <n v="9.0500000000000007"/>
    <n v="113.55"/>
    <n v="20"/>
    <x v="1"/>
    <s v="INVALID"/>
    <m/>
    <x v="2"/>
    <m/>
    <m/>
  </r>
  <r>
    <n v="200"/>
    <n v="8.6199999999999992"/>
    <x v="1"/>
    <x v="1"/>
    <n v="2500"/>
    <n v="50.6"/>
    <n v="10.45"/>
    <n v="5.2"/>
    <n v="60.32"/>
    <n v="17"/>
    <x v="1"/>
    <s v="VALID"/>
    <n v="0.30588235294117649"/>
    <x v="1"/>
    <n v="35.384999999999998"/>
    <s v="Medium"/>
  </r>
  <r>
    <n v="100"/>
    <n v="4.13"/>
    <x v="4"/>
    <x v="4"/>
    <n v="1500"/>
    <n v="34"/>
    <n v="13.27"/>
    <n v="4.9800000000000004"/>
    <n v="120.58"/>
    <n v="21"/>
    <x v="0"/>
    <s v="INVALID"/>
    <m/>
    <x v="2"/>
    <m/>
    <m/>
  </r>
  <r>
    <n v="1000"/>
    <n v="21.65"/>
    <x v="1"/>
    <x v="3"/>
    <n v="600"/>
    <n v="45.9"/>
    <n v="14.74"/>
    <n v="0.8"/>
    <n v="3.7"/>
    <n v="23"/>
    <x v="2"/>
    <s v="VALID"/>
    <n v="3.4782608695652174E-2"/>
    <x v="0"/>
    <n v="9.2200000000000006"/>
    <s v="Low"/>
  </r>
  <r>
    <n v="1000"/>
    <n v="21.54"/>
    <x v="4"/>
    <x v="4"/>
    <n v="600"/>
    <n v="33.299999999999997"/>
    <n v="1.88"/>
    <n v="2.09"/>
    <n v="9.6999999999999993"/>
    <n v="6"/>
    <x v="0"/>
    <s v="VALID"/>
    <n v="0.34833333333333333"/>
    <x v="1"/>
    <n v="5.7899999999999991"/>
    <s v="Low"/>
  </r>
  <r>
    <n v="250"/>
    <n v="9.52"/>
    <x v="2"/>
    <x v="0"/>
    <n v="600"/>
    <n v="83.7"/>
    <n v="19.54"/>
    <n v="9.39"/>
    <n v="98.63"/>
    <n v="13"/>
    <x v="1"/>
    <s v="VALID"/>
    <n v="0.72230769230769232"/>
    <x v="1"/>
    <n v="59.084999999999994"/>
    <s v="Medium"/>
  </r>
  <r>
    <n v="250"/>
    <n v="8.56"/>
    <x v="4"/>
    <x v="0"/>
    <n v="600"/>
    <n v="-2.6"/>
    <n v="8.07"/>
    <n v="8.43"/>
    <n v="98.48"/>
    <n v="7"/>
    <x v="1"/>
    <s v="VALID"/>
    <n v="1.2042857142857142"/>
    <x v="1"/>
    <n v="53.275000000000006"/>
    <s v="Medium"/>
  </r>
  <r>
    <n v="200"/>
    <n v="8.86"/>
    <x v="2"/>
    <x v="1"/>
    <n v="300"/>
    <n v="-40.4"/>
    <n v="9.44"/>
    <n v="7.99"/>
    <n v="90.18"/>
    <n v="3"/>
    <x v="1"/>
    <s v="VALID"/>
    <n v="2.6633333333333336"/>
    <x v="1"/>
    <n v="49.81"/>
    <s v="Medium"/>
  </r>
  <r>
    <n v="100"/>
    <n v="7.89"/>
    <x v="4"/>
    <x v="1"/>
    <n v="600"/>
    <n v="-32.200000000000003"/>
    <n v="19.920000000000002"/>
    <n v="3.05"/>
    <n v="38.659999999999997"/>
    <n v="11"/>
    <x v="0"/>
    <s v="VALID"/>
    <n v="0.27727272727272728"/>
    <x v="1"/>
    <n v="29.29"/>
    <s v="Low"/>
  </r>
  <r>
    <n v="100"/>
    <n v="5.25"/>
    <x v="0"/>
    <x v="2"/>
    <n v="600"/>
    <n v="-19.8"/>
    <n v="17.61"/>
    <n v="9.9600000000000009"/>
    <n v="189.71"/>
    <n v="19"/>
    <x v="1"/>
    <s v="INVALID"/>
    <m/>
    <x v="2"/>
    <m/>
    <m/>
  </r>
  <r>
    <n v="100"/>
    <n v="7.07"/>
    <x v="0"/>
    <x v="3"/>
    <n v="150"/>
    <n v="27.4"/>
    <n v="1.45"/>
    <n v="7.91"/>
    <n v="111.88"/>
    <n v="4"/>
    <x v="1"/>
    <s v="INVALID"/>
    <m/>
    <x v="2"/>
    <m/>
    <m/>
  </r>
  <r>
    <n v="200"/>
    <n v="11.23"/>
    <x v="0"/>
    <x v="2"/>
    <n v="1500"/>
    <n v="33.4"/>
    <n v="19.23"/>
    <n v="8.5500000000000007"/>
    <n v="76.14"/>
    <n v="22"/>
    <x v="1"/>
    <s v="VALID"/>
    <n v="0.38863636363636367"/>
    <x v="1"/>
    <n v="47.685000000000002"/>
    <s v="Medium"/>
  </r>
  <r>
    <n v="250"/>
    <n v="14.41"/>
    <x v="2"/>
    <x v="2"/>
    <n v="2500"/>
    <n v="-0.2"/>
    <n v="2.77"/>
    <n v="5.32"/>
    <n v="36.92"/>
    <n v="24"/>
    <x v="1"/>
    <s v="VALID"/>
    <n v="0.22166666666666668"/>
    <x v="0"/>
    <n v="19.845000000000002"/>
    <s v="Low"/>
  </r>
  <r>
    <n v="1000"/>
    <n v="27.26"/>
    <x v="2"/>
    <x v="1"/>
    <n v="600"/>
    <n v="54"/>
    <n v="7.23"/>
    <n v="2.15"/>
    <n v="7.89"/>
    <n v="5"/>
    <x v="0"/>
    <s v="VALID"/>
    <n v="0.43"/>
    <x v="0"/>
    <n v="7.5600000000000005"/>
    <s v="Low"/>
  </r>
  <r>
    <n v="600"/>
    <n v="13.68"/>
    <x v="0"/>
    <x v="0"/>
    <n v="300"/>
    <n v="84.8"/>
    <n v="2.0499999999999998"/>
    <n v="7.14"/>
    <n v="52.19"/>
    <n v="6"/>
    <x v="1"/>
    <s v="VALID"/>
    <n v="1.19"/>
    <x v="1"/>
    <n v="27.119999999999997"/>
    <s v="Low"/>
  </r>
  <r>
    <n v="1500"/>
    <n v="47.8"/>
    <x v="4"/>
    <x v="0"/>
    <n v="300"/>
    <n v="10.1"/>
    <n v="15.3"/>
    <n v="9.43"/>
    <n v="19.73"/>
    <n v="6"/>
    <x v="1"/>
    <s v="VALID"/>
    <n v="1.5716666666666665"/>
    <x v="1"/>
    <n v="17.515000000000001"/>
    <s v="Low"/>
  </r>
  <r>
    <n v="800"/>
    <n v="29.51"/>
    <x v="2"/>
    <x v="0"/>
    <n v="300"/>
    <n v="128.80000000000001"/>
    <n v="3.09"/>
    <n v="9.75"/>
    <n v="33.04"/>
    <n v="1"/>
    <x v="1"/>
    <s v="VALID"/>
    <n v="9.75"/>
    <x v="1"/>
    <n v="18.064999999999998"/>
    <s v="Low"/>
  </r>
  <r>
    <n v="150"/>
    <n v="7.48"/>
    <x v="4"/>
    <x v="4"/>
    <n v="900"/>
    <n v="80.5"/>
    <n v="8.07"/>
    <n v="0.18"/>
    <n v="2.41"/>
    <n v="11"/>
    <x v="2"/>
    <s v="VALID"/>
    <n v="1.6363636363636361E-2"/>
    <x v="1"/>
    <n v="5.24"/>
    <s v="Low"/>
  </r>
  <r>
    <n v="600"/>
    <n v="26.47"/>
    <x v="2"/>
    <x v="0"/>
    <n v="2500"/>
    <n v="36.200000000000003"/>
    <n v="7.17"/>
    <n v="8.48"/>
    <n v="32.04"/>
    <n v="18"/>
    <x v="1"/>
    <s v="VALID"/>
    <n v="0.47111111111111115"/>
    <x v="1"/>
    <n v="19.605"/>
    <s v="Low"/>
  </r>
  <r>
    <n v="300"/>
    <n v="13.68"/>
    <x v="0"/>
    <x v="4"/>
    <n v="900"/>
    <n v="12.3"/>
    <n v="17.18"/>
    <n v="4.66"/>
    <n v="34.06"/>
    <n v="21"/>
    <x v="0"/>
    <s v="VALID"/>
    <n v="0.22190476190476191"/>
    <x v="0"/>
    <n v="25.62"/>
    <s v="Low"/>
  </r>
  <r>
    <n v="300"/>
    <n v="9.59"/>
    <x v="0"/>
    <x v="1"/>
    <n v="1500"/>
    <n v="73"/>
    <n v="13.07"/>
    <n v="0.19"/>
    <n v="1.98"/>
    <n v="7"/>
    <x v="2"/>
    <s v="VALID"/>
    <n v="2.7142857142857142E-2"/>
    <x v="1"/>
    <n v="7.5250000000000004"/>
    <s v="Low"/>
  </r>
  <r>
    <n v="100"/>
    <n v="4.28"/>
    <x v="4"/>
    <x v="0"/>
    <n v="900"/>
    <n v="83.1"/>
    <n v="5.1100000000000003"/>
    <n v="7.92"/>
    <n v="185.05"/>
    <n v="1"/>
    <x v="1"/>
    <s v="INVALID"/>
    <m/>
    <x v="2"/>
    <m/>
    <m/>
  </r>
  <r>
    <n v="800"/>
    <n v="21.96"/>
    <x v="3"/>
    <x v="3"/>
    <n v="600"/>
    <n v="19"/>
    <n v="10.82"/>
    <n v="0.43"/>
    <n v="1.96"/>
    <n v="12"/>
    <x v="2"/>
    <s v="VALID"/>
    <n v="3.5833333333333335E-2"/>
    <x v="1"/>
    <n v="6.3900000000000006"/>
    <s v="Low"/>
  </r>
  <r>
    <n v="500"/>
    <n v="10.210000000000001"/>
    <x v="0"/>
    <x v="0"/>
    <n v="300"/>
    <n v="68.3"/>
    <n v="16.88"/>
    <n v="9.25"/>
    <n v="90.6"/>
    <n v="19"/>
    <x v="1"/>
    <s v="VALID"/>
    <n v="0.48684210526315791"/>
    <x v="1"/>
    <n v="53.739999999999995"/>
    <s v="Medium"/>
  </r>
  <r>
    <n v="500"/>
    <n v="19.32"/>
    <x v="2"/>
    <x v="4"/>
    <n v="900"/>
    <n v="90.4"/>
    <n v="18.760000000000002"/>
    <n v="4.4000000000000004"/>
    <n v="22.77"/>
    <n v="4"/>
    <x v="0"/>
    <s v="VALID"/>
    <n v="1.1000000000000001"/>
    <x v="1"/>
    <n v="20.765000000000001"/>
    <s v="Low"/>
  </r>
  <r>
    <n v="250"/>
    <n v="13.65"/>
    <x v="3"/>
    <x v="4"/>
    <n v="150"/>
    <n v="37.4"/>
    <n v="6.56"/>
    <n v="3.7"/>
    <n v="27.11"/>
    <n v="18"/>
    <x v="0"/>
    <s v="VALID"/>
    <n v="0.20555555555555557"/>
    <x v="1"/>
    <n v="16.835000000000001"/>
    <s v="Low"/>
  </r>
  <r>
    <n v="200"/>
    <n v="10.98"/>
    <x v="2"/>
    <x v="0"/>
    <n v="600"/>
    <n v="20.6"/>
    <n v="9.9"/>
    <n v="6.62"/>
    <n v="60.29"/>
    <n v="6"/>
    <x v="1"/>
    <s v="VALID"/>
    <n v="1.1033333333333333"/>
    <x v="1"/>
    <n v="35.094999999999999"/>
    <s v="Medium"/>
  </r>
  <r>
    <n v="800"/>
    <n v="31.24"/>
    <x v="3"/>
    <x v="1"/>
    <n v="300"/>
    <n v="108.5"/>
    <n v="3.05"/>
    <n v="9.35"/>
    <n v="29.93"/>
    <n v="13"/>
    <x v="1"/>
    <s v="VALID"/>
    <n v="0.71923076923076923"/>
    <x v="1"/>
    <n v="16.489999999999998"/>
    <s v="Low"/>
  </r>
  <r>
    <n v="500"/>
    <n v="20.02"/>
    <x v="4"/>
    <x v="4"/>
    <n v="900"/>
    <n v="17.100000000000001"/>
    <n v="9.57"/>
    <n v="1.08"/>
    <n v="5.39"/>
    <n v="7"/>
    <x v="2"/>
    <s v="VALID"/>
    <n v="0.1542857142857143"/>
    <x v="1"/>
    <n v="7.48"/>
    <s v="Low"/>
  </r>
  <r>
    <n v="500"/>
    <n v="11.35"/>
    <x v="4"/>
    <x v="4"/>
    <n v="600"/>
    <n v="57.8"/>
    <n v="18.93"/>
    <n v="2.5"/>
    <n v="22.03"/>
    <n v="17"/>
    <x v="0"/>
    <s v="VALID"/>
    <n v="0.14705882352941177"/>
    <x v="1"/>
    <n v="20.48"/>
    <s v="Low"/>
  </r>
  <r>
    <n v="600"/>
    <n v="29.1"/>
    <x v="3"/>
    <x v="4"/>
    <n v="1500"/>
    <n v="3.4"/>
    <n v="19.05"/>
    <n v="8.1999999999999993"/>
    <n v="28.18"/>
    <n v="7"/>
    <x v="1"/>
    <s v="VALID"/>
    <n v="1.1714285714285713"/>
    <x v="1"/>
    <n v="23.615000000000002"/>
    <s v="Low"/>
  </r>
  <r>
    <n v="600"/>
    <n v="17.64"/>
    <x v="0"/>
    <x v="0"/>
    <n v="150"/>
    <n v="44.9"/>
    <n v="0.62"/>
    <n v="5.22"/>
    <n v="29.59"/>
    <n v="10"/>
    <x v="1"/>
    <s v="VALID"/>
    <n v="0.52200000000000002"/>
    <x v="0"/>
    <n v="15.105"/>
    <s v="Low"/>
  </r>
  <r>
    <n v="150"/>
    <n v="8.75"/>
    <x v="3"/>
    <x v="0"/>
    <n v="900"/>
    <n v="3.7"/>
    <n v="16.84"/>
    <n v="3.84"/>
    <n v="43.89"/>
    <n v="17"/>
    <x v="0"/>
    <s v="VALID"/>
    <n v="0.22588235294117645"/>
    <x v="1"/>
    <n v="30.365000000000002"/>
    <s v="Medium"/>
  </r>
  <r>
    <n v="400"/>
    <n v="11.43"/>
    <x v="3"/>
    <x v="1"/>
    <n v="1500"/>
    <n v="77.599999999999994"/>
    <n v="16.88"/>
    <n v="0.56000000000000005"/>
    <n v="4.9000000000000004"/>
    <n v="10"/>
    <x v="2"/>
    <s v="VALID"/>
    <n v="5.6000000000000008E-2"/>
    <x v="1"/>
    <n v="10.89"/>
    <s v="Low"/>
  </r>
  <r>
    <n v="500"/>
    <n v="15.27"/>
    <x v="2"/>
    <x v="1"/>
    <n v="150"/>
    <n v="43.7"/>
    <n v="19.41"/>
    <n v="8.01"/>
    <n v="52.46"/>
    <n v="25"/>
    <x v="1"/>
    <s v="VALID"/>
    <n v="0.32040000000000002"/>
    <x v="0"/>
    <n v="35.935000000000002"/>
    <s v="Medium"/>
  </r>
  <r>
    <n v="100"/>
    <n v="5.45"/>
    <x v="4"/>
    <x v="1"/>
    <n v="600"/>
    <n v="12.4"/>
    <n v="14.13"/>
    <n v="8.86"/>
    <n v="162.57"/>
    <n v="11"/>
    <x v="1"/>
    <s v="INVALID"/>
    <m/>
    <x v="2"/>
    <m/>
    <m/>
  </r>
  <r>
    <n v="100"/>
    <n v="5.78"/>
    <x v="0"/>
    <x v="4"/>
    <n v="900"/>
    <n v="49.4"/>
    <n v="13.28"/>
    <n v="7.0000000000000007E-2"/>
    <n v="1.21"/>
    <n v="14"/>
    <x v="2"/>
    <s v="VALID"/>
    <n v="5.0000000000000001E-3"/>
    <x v="1"/>
    <n v="7.2449999999999992"/>
    <s v="Low"/>
  </r>
  <r>
    <n v="150"/>
    <n v="7.52"/>
    <x v="4"/>
    <x v="4"/>
    <n v="600"/>
    <n v="3.9"/>
    <n v="6.91"/>
    <n v="3.12"/>
    <n v="41.49"/>
    <n v="16"/>
    <x v="0"/>
    <s v="VALID"/>
    <n v="0.19500000000000001"/>
    <x v="1"/>
    <n v="24.200000000000003"/>
    <s v="Low"/>
  </r>
  <r>
    <n v="50"/>
    <n v="4.7300000000000004"/>
    <x v="2"/>
    <x v="1"/>
    <n v="150"/>
    <n v="-26.1"/>
    <n v="6.97"/>
    <n v="1.24"/>
    <n v="26.22"/>
    <n v="11"/>
    <x v="2"/>
    <s v="VALID"/>
    <n v="0.11272727272727273"/>
    <x v="1"/>
    <n v="16.594999999999999"/>
    <s v="Low"/>
  </r>
  <r>
    <n v="150"/>
    <n v="9.06"/>
    <x v="1"/>
    <x v="2"/>
    <n v="300"/>
    <n v="41.6"/>
    <n v="8.06"/>
    <n v="5.92"/>
    <n v="65.34"/>
    <n v="23"/>
    <x v="1"/>
    <s v="VALID"/>
    <n v="0.25739130434782609"/>
    <x v="1"/>
    <n v="36.700000000000003"/>
    <s v="Medium"/>
  </r>
  <r>
    <n v="250"/>
    <n v="11.12"/>
    <x v="1"/>
    <x v="2"/>
    <n v="150"/>
    <n v="50.1"/>
    <n v="10.85"/>
    <n v="0.34"/>
    <n v="3.06"/>
    <n v="21"/>
    <x v="2"/>
    <s v="VALID"/>
    <n v="1.6190476190476193E-2"/>
    <x v="1"/>
    <n v="6.9550000000000001"/>
    <s v="Low"/>
  </r>
  <r>
    <n v="200"/>
    <n v="7.76"/>
    <x v="1"/>
    <x v="1"/>
    <n v="600"/>
    <n v="73.900000000000006"/>
    <n v="6.25"/>
    <n v="0.82"/>
    <n v="10.57"/>
    <n v="10"/>
    <x v="2"/>
    <s v="VALID"/>
    <n v="8.199999999999999E-2"/>
    <x v="1"/>
    <n v="8.41"/>
    <s v="Low"/>
  </r>
  <r>
    <n v="1000"/>
    <n v="28.91"/>
    <x v="3"/>
    <x v="2"/>
    <n v="600"/>
    <n v="69.599999999999994"/>
    <n v="16.07"/>
    <n v="6.87"/>
    <n v="23.76"/>
    <n v="22"/>
    <x v="1"/>
    <s v="VALID"/>
    <n v="0.31227272727272726"/>
    <x v="1"/>
    <n v="19.914999999999999"/>
    <s v="Low"/>
  </r>
  <r>
    <n v="200"/>
    <n v="11.71"/>
    <x v="4"/>
    <x v="1"/>
    <n v="300"/>
    <n v="104.8"/>
    <n v="0.59"/>
    <n v="8.2899999999999991"/>
    <n v="70.790000000000006"/>
    <n v="21"/>
    <x v="1"/>
    <s v="VALID"/>
    <n v="0.3947619047619047"/>
    <x v="1"/>
    <n v="35.690000000000005"/>
    <s v="Medium"/>
  </r>
  <r>
    <n v="150"/>
    <n v="9.6199999999999992"/>
    <x v="3"/>
    <x v="1"/>
    <n v="150"/>
    <n v="126"/>
    <n v="8.4700000000000006"/>
    <n v="3.19"/>
    <n v="33.159999999999997"/>
    <n v="10"/>
    <x v="0"/>
    <s v="VALID"/>
    <n v="0.31900000000000001"/>
    <x v="1"/>
    <n v="20.814999999999998"/>
    <s v="Low"/>
  </r>
  <r>
    <n v="150"/>
    <n v="5.71"/>
    <x v="2"/>
    <x v="0"/>
    <n v="600"/>
    <n v="50.1"/>
    <n v="2.81"/>
    <n v="5.52"/>
    <n v="96.67"/>
    <n v="16"/>
    <x v="1"/>
    <s v="VALID"/>
    <n v="0.34499999999999997"/>
    <x v="1"/>
    <n v="49.74"/>
    <s v="Medium"/>
  </r>
  <r>
    <n v="250"/>
    <n v="8.98"/>
    <x v="2"/>
    <x v="3"/>
    <n v="2500"/>
    <n v="3"/>
    <n v="15.03"/>
    <n v="2.72"/>
    <n v="30.29"/>
    <n v="25"/>
    <x v="0"/>
    <s v="VALID"/>
    <n v="0.10880000000000001"/>
    <x v="1"/>
    <n v="22.66"/>
    <s v="Low"/>
  </r>
  <r>
    <n v="200"/>
    <n v="9.26"/>
    <x v="2"/>
    <x v="0"/>
    <n v="300"/>
    <n v="95.9"/>
    <n v="15.17"/>
    <n v="0.39"/>
    <n v="4.21"/>
    <n v="11"/>
    <x v="2"/>
    <s v="VALID"/>
    <n v="3.5454545454545454E-2"/>
    <x v="0"/>
    <n v="9.69"/>
    <s v="Low"/>
  </r>
  <r>
    <n v="50"/>
    <n v="4.88"/>
    <x v="0"/>
    <x v="3"/>
    <n v="600"/>
    <n v="23.9"/>
    <n v="12.19"/>
    <n v="1.94"/>
    <n v="39.75"/>
    <n v="2"/>
    <x v="2"/>
    <s v="VALID"/>
    <n v="0.97"/>
    <x v="1"/>
    <n v="25.97"/>
    <s v="Low"/>
  </r>
  <r>
    <n v="800"/>
    <n v="26.68"/>
    <x v="4"/>
    <x v="1"/>
    <n v="150"/>
    <n v="77.3"/>
    <n v="1.72"/>
    <n v="1.7"/>
    <n v="6.37"/>
    <n v="2"/>
    <x v="2"/>
    <s v="VALID"/>
    <n v="0.85"/>
    <x v="1"/>
    <n v="4.0449999999999999"/>
    <s v="Low"/>
  </r>
  <r>
    <n v="800"/>
    <n v="28.91"/>
    <x v="2"/>
    <x v="2"/>
    <n v="2500"/>
    <n v="113.9"/>
    <n v="7.13"/>
    <n v="6.97"/>
    <n v="24.11"/>
    <n v="11"/>
    <x v="1"/>
    <s v="VALID"/>
    <n v="0.63363636363636366"/>
    <x v="1"/>
    <n v="15.62"/>
    <s v="Low"/>
  </r>
  <r>
    <n v="1200"/>
    <n v="19.059999999999999"/>
    <x v="0"/>
    <x v="0"/>
    <n v="600"/>
    <n v="10"/>
    <n v="18.3"/>
    <n v="0.64"/>
    <n v="3.36"/>
    <n v="24"/>
    <x v="2"/>
    <s v="VALID"/>
    <n v="2.6666666666666668E-2"/>
    <x v="0"/>
    <n v="10.83"/>
    <s v="Low"/>
  </r>
  <r>
    <n v="600"/>
    <n v="17.16"/>
    <x v="2"/>
    <x v="2"/>
    <n v="150"/>
    <n v="47"/>
    <n v="4.92"/>
    <n v="7.12"/>
    <n v="41.49"/>
    <n v="2"/>
    <x v="1"/>
    <s v="VALID"/>
    <n v="3.56"/>
    <x v="1"/>
    <n v="23.205000000000002"/>
    <s v="Low"/>
  </r>
  <r>
    <n v="150"/>
    <n v="5.41"/>
    <x v="3"/>
    <x v="0"/>
    <n v="1500"/>
    <n v="44.1"/>
    <n v="9.25"/>
    <n v="8.4"/>
    <n v="155.27000000000001"/>
    <n v="8"/>
    <x v="1"/>
    <s v="INVALID"/>
    <m/>
    <x v="2"/>
    <m/>
    <m/>
  </r>
  <r>
    <n v="300"/>
    <n v="17.739999999999998"/>
    <x v="2"/>
    <x v="3"/>
    <n v="2500"/>
    <n v="28.4"/>
    <n v="1.77"/>
    <n v="0.85"/>
    <n v="4.79"/>
    <n v="15"/>
    <x v="2"/>
    <s v="VALID"/>
    <n v="5.6666666666666664E-2"/>
    <x v="0"/>
    <n v="3.2800000000000002"/>
    <s v="Low"/>
  </r>
  <r>
    <n v="1200"/>
    <n v="35.19"/>
    <x v="2"/>
    <x v="0"/>
    <n v="600"/>
    <n v="45.8"/>
    <n v="7.81"/>
    <n v="3.15"/>
    <n v="8.9499999999999993"/>
    <n v="22"/>
    <x v="0"/>
    <s v="VALID"/>
    <n v="0.14318181818181819"/>
    <x v="0"/>
    <n v="8.379999999999999"/>
    <s v="Low"/>
  </r>
  <r>
    <n v="300"/>
    <n v="13.22"/>
    <x v="0"/>
    <x v="4"/>
    <n v="300"/>
    <n v="-25"/>
    <n v="17.489999999999998"/>
    <n v="1.06"/>
    <n v="8.02"/>
    <n v="12"/>
    <x v="2"/>
    <s v="VALID"/>
    <n v="8.8333333333333333E-2"/>
    <x v="1"/>
    <n v="12.754999999999999"/>
    <s v="Low"/>
  </r>
  <r>
    <n v="1500"/>
    <n v="42.02"/>
    <x v="1"/>
    <x v="2"/>
    <n v="900"/>
    <n v="21.2"/>
    <n v="9.66"/>
    <n v="7.87"/>
    <n v="18.73"/>
    <n v="10"/>
    <x v="1"/>
    <s v="VALID"/>
    <n v="0.78700000000000003"/>
    <x v="1"/>
    <n v="14.195"/>
    <s v="Low"/>
  </r>
  <r>
    <n v="250"/>
    <n v="12.72"/>
    <x v="2"/>
    <x v="0"/>
    <n v="150"/>
    <n v="49"/>
    <n v="8.1199999999999992"/>
    <n v="2.68"/>
    <n v="21.07"/>
    <n v="13"/>
    <x v="0"/>
    <s v="VALID"/>
    <n v="0.20615384615384616"/>
    <x v="1"/>
    <n v="14.594999999999999"/>
    <s v="Low"/>
  </r>
  <r>
    <n v="500"/>
    <n v="21.07"/>
    <x v="2"/>
    <x v="0"/>
    <n v="600"/>
    <n v="83.4"/>
    <n v="9.5399999999999991"/>
    <n v="1.1599999999999999"/>
    <n v="5.51"/>
    <n v="1"/>
    <x v="2"/>
    <s v="VALID"/>
    <n v="1.1599999999999999"/>
    <x v="1"/>
    <n v="7.5249999999999995"/>
    <s v="Low"/>
  </r>
  <r>
    <n v="100"/>
    <n v="4.5199999999999996"/>
    <x v="4"/>
    <x v="3"/>
    <n v="300"/>
    <n v="-25.5"/>
    <n v="0.61"/>
    <n v="7.73"/>
    <n v="171.02"/>
    <n v="21"/>
    <x v="1"/>
    <s v="INVALID"/>
    <m/>
    <x v="2"/>
    <m/>
    <m/>
  </r>
  <r>
    <n v="600"/>
    <n v="12.67"/>
    <x v="0"/>
    <x v="2"/>
    <n v="600"/>
    <n v="60"/>
    <n v="0.91"/>
    <n v="8.3000000000000007"/>
    <n v="65.510000000000005"/>
    <n v="20"/>
    <x v="1"/>
    <s v="VALID"/>
    <n v="0.41500000000000004"/>
    <x v="1"/>
    <n v="33.21"/>
    <s v="Medium"/>
  </r>
  <r>
    <n v="400"/>
    <n v="15.28"/>
    <x v="0"/>
    <x v="2"/>
    <n v="600"/>
    <n v="13.1"/>
    <n v="4.66"/>
    <n v="0.1"/>
    <n v="0.65"/>
    <n v="22"/>
    <x v="2"/>
    <s v="VALID"/>
    <n v="4.5454545454545461E-3"/>
    <x v="1"/>
    <n v="2.6550000000000002"/>
    <s v="Low"/>
  </r>
  <r>
    <n v="1000"/>
    <n v="26.76"/>
    <x v="3"/>
    <x v="3"/>
    <n v="2500"/>
    <n v="44.5"/>
    <n v="19.02"/>
    <n v="3.99"/>
    <n v="14.91"/>
    <n v="2"/>
    <x v="0"/>
    <s v="VALID"/>
    <n v="1.9950000000000001"/>
    <x v="1"/>
    <n v="16.965"/>
    <s v="Low"/>
  </r>
  <r>
    <n v="1200"/>
    <n v="31.17"/>
    <x v="0"/>
    <x v="0"/>
    <n v="150"/>
    <n v="6.4"/>
    <n v="17.64"/>
    <n v="0.37"/>
    <n v="1.19"/>
    <n v="10"/>
    <x v="2"/>
    <s v="VALID"/>
    <n v="3.6999999999999998E-2"/>
    <x v="0"/>
    <n v="9.4150000000000009"/>
    <s v="Low"/>
  </r>
  <r>
    <n v="250"/>
    <n v="8.39"/>
    <x v="2"/>
    <x v="3"/>
    <n v="900"/>
    <n v="-18"/>
    <n v="19.43"/>
    <n v="4.67"/>
    <n v="55.66"/>
    <n v="14"/>
    <x v="0"/>
    <s v="VALID"/>
    <n v="0.33357142857142857"/>
    <x v="1"/>
    <n v="37.545000000000002"/>
    <s v="Medium"/>
  </r>
  <r>
    <n v="1200"/>
    <n v="27.97"/>
    <x v="4"/>
    <x v="1"/>
    <n v="150"/>
    <n v="22.8"/>
    <n v="8.2799999999999994"/>
    <n v="5.33"/>
    <n v="19.059999999999999"/>
    <n v="18"/>
    <x v="1"/>
    <s v="VALID"/>
    <n v="0.2961111111111111"/>
    <x v="1"/>
    <n v="13.669999999999998"/>
    <s v="Low"/>
  </r>
  <r>
    <n v="300"/>
    <n v="14.98"/>
    <x v="1"/>
    <x v="4"/>
    <n v="150"/>
    <n v="-36.299999999999997"/>
    <n v="8.76"/>
    <n v="9.4499999999999993"/>
    <n v="63.08"/>
    <n v="13"/>
    <x v="1"/>
    <s v="VALID"/>
    <n v="0.72692307692307689"/>
    <x v="1"/>
    <n v="35.92"/>
    <s v="Medium"/>
  </r>
  <r>
    <n v="1000"/>
    <n v="19.34"/>
    <x v="1"/>
    <x v="1"/>
    <n v="300"/>
    <n v="33.5"/>
    <n v="5.84"/>
    <n v="8.8699999999999992"/>
    <n v="45.86"/>
    <n v="23"/>
    <x v="1"/>
    <s v="VALID"/>
    <n v="0.38565217391304346"/>
    <x v="1"/>
    <n v="25.85"/>
    <s v="Low"/>
  </r>
  <r>
    <n v="500"/>
    <n v="21.07"/>
    <x v="4"/>
    <x v="0"/>
    <n v="900"/>
    <n v="121.1"/>
    <n v="19.73"/>
    <n v="6.19"/>
    <n v="29.38"/>
    <n v="9"/>
    <x v="1"/>
    <s v="VALID"/>
    <n v="0.68777777777777782"/>
    <x v="1"/>
    <n v="24.555"/>
    <s v="Low"/>
  </r>
  <r>
    <n v="400"/>
    <n v="17.350000000000001"/>
    <x v="0"/>
    <x v="0"/>
    <n v="900"/>
    <n v="9.6"/>
    <n v="13.27"/>
    <n v="7.76"/>
    <n v="44.73"/>
    <n v="20"/>
    <x v="1"/>
    <s v="VALID"/>
    <n v="0.38800000000000001"/>
    <x v="1"/>
    <n v="29"/>
    <s v="Low"/>
  </r>
  <r>
    <n v="1500"/>
    <n v="32.520000000000003"/>
    <x v="4"/>
    <x v="3"/>
    <n v="300"/>
    <n v="50.3"/>
    <n v="16.559999999999999"/>
    <n v="1.61"/>
    <n v="4.95"/>
    <n v="4"/>
    <x v="2"/>
    <s v="VALID"/>
    <n v="0.40250000000000002"/>
    <x v="1"/>
    <n v="10.754999999999999"/>
    <s v="Low"/>
  </r>
  <r>
    <n v="150"/>
    <n v="5.67"/>
    <x v="4"/>
    <x v="2"/>
    <n v="300"/>
    <n v="21.1"/>
    <n v="14.81"/>
    <n v="2.16"/>
    <n v="38.1"/>
    <n v="2"/>
    <x v="0"/>
    <s v="VALID"/>
    <n v="1.08"/>
    <x v="1"/>
    <n v="26.455000000000002"/>
    <s v="Low"/>
  </r>
  <r>
    <n v="50"/>
    <n v="5.84"/>
    <x v="1"/>
    <x v="0"/>
    <n v="1500"/>
    <n v="63.9"/>
    <n v="19.37"/>
    <n v="4.08"/>
    <n v="69.86"/>
    <n v="18"/>
    <x v="0"/>
    <s v="VALID"/>
    <n v="0.22666666666666668"/>
    <x v="1"/>
    <n v="44.615000000000002"/>
    <s v="Medium"/>
  </r>
  <r>
    <n v="250"/>
    <n v="7.48"/>
    <x v="4"/>
    <x v="0"/>
    <n v="2500"/>
    <n v="22.4"/>
    <n v="16.239999999999998"/>
    <n v="1.07"/>
    <n v="14.3"/>
    <n v="8"/>
    <x v="2"/>
    <s v="VALID"/>
    <n v="0.13375000000000001"/>
    <x v="0"/>
    <n v="15.27"/>
    <s v="Low"/>
  </r>
  <r>
    <n v="50"/>
    <n v="5.0999999999999996"/>
    <x v="0"/>
    <x v="3"/>
    <n v="1500"/>
    <n v="123.1"/>
    <n v="16.93"/>
    <n v="5.24"/>
    <n v="102.75"/>
    <n v="21"/>
    <x v="1"/>
    <s v="INVALID"/>
    <m/>
    <x v="2"/>
    <m/>
    <m/>
  </r>
  <r>
    <n v="600"/>
    <n v="26.1"/>
    <x v="0"/>
    <x v="0"/>
    <n v="900"/>
    <n v="-34"/>
    <n v="7.16"/>
    <n v="7"/>
    <n v="26.82"/>
    <n v="3"/>
    <x v="1"/>
    <s v="VALID"/>
    <n v="2.3333333333333335"/>
    <x v="0"/>
    <n v="16.990000000000002"/>
    <s v="Low"/>
  </r>
  <r>
    <n v="800"/>
    <n v="17.68"/>
    <x v="0"/>
    <x v="2"/>
    <n v="600"/>
    <n v="-8.1"/>
    <n v="11.35"/>
    <n v="9.76"/>
    <n v="55.2"/>
    <n v="15"/>
    <x v="1"/>
    <s v="VALID"/>
    <n v="0.65066666666666662"/>
    <x v="1"/>
    <n v="33.274999999999999"/>
    <s v="Medium"/>
  </r>
  <r>
    <n v="150"/>
    <n v="8.14"/>
    <x v="2"/>
    <x v="3"/>
    <n v="600"/>
    <n v="80.5"/>
    <n v="0.6"/>
    <n v="3.07"/>
    <n v="37.71"/>
    <n v="20"/>
    <x v="0"/>
    <s v="VALID"/>
    <n v="0.1535"/>
    <x v="1"/>
    <n v="19.155000000000001"/>
    <s v="Low"/>
  </r>
  <r>
    <n v="300"/>
    <n v="8.61"/>
    <x v="4"/>
    <x v="1"/>
    <n v="600"/>
    <n v="89.5"/>
    <n v="6.63"/>
    <n v="0.01"/>
    <n v="0.12"/>
    <n v="21"/>
    <x v="2"/>
    <s v="VALID"/>
    <n v="4.7619047619047619E-4"/>
    <x v="1"/>
    <n v="3.375"/>
    <s v="Low"/>
  </r>
  <r>
    <n v="1200"/>
    <n v="29.77"/>
    <x v="0"/>
    <x v="3"/>
    <n v="150"/>
    <n v="124.8"/>
    <n v="6.59"/>
    <n v="7.7"/>
    <n v="25.86"/>
    <n v="17"/>
    <x v="1"/>
    <s v="VALID"/>
    <n v="0.45294117647058824"/>
    <x v="1"/>
    <n v="16.225000000000001"/>
    <s v="Low"/>
  </r>
  <r>
    <n v="1500"/>
    <n v="33.67"/>
    <x v="0"/>
    <x v="4"/>
    <n v="900"/>
    <n v="63"/>
    <n v="18.34"/>
    <n v="3.72"/>
    <n v="11.05"/>
    <n v="8"/>
    <x v="0"/>
    <s v="VALID"/>
    <n v="0.46500000000000002"/>
    <x v="1"/>
    <n v="14.695"/>
    <s v="Low"/>
  </r>
  <r>
    <n v="1200"/>
    <n v="34.1"/>
    <x v="1"/>
    <x v="4"/>
    <n v="150"/>
    <n v="75.2"/>
    <n v="13.57"/>
    <n v="0.53"/>
    <n v="1.55"/>
    <n v="10"/>
    <x v="2"/>
    <s v="VALID"/>
    <n v="5.3000000000000005E-2"/>
    <x v="1"/>
    <n v="7.5600000000000005"/>
    <s v="Low"/>
  </r>
  <r>
    <n v="250"/>
    <n v="14.04"/>
    <x v="0"/>
    <x v="1"/>
    <n v="900"/>
    <n v="14.2"/>
    <n v="18.329999999999998"/>
    <n v="5"/>
    <n v="35.61"/>
    <n v="5"/>
    <x v="0"/>
    <s v="VALID"/>
    <n v="1"/>
    <x v="1"/>
    <n v="26.97"/>
    <s v="Low"/>
  </r>
  <r>
    <n v="500"/>
    <n v="11.64"/>
    <x v="1"/>
    <x v="1"/>
    <n v="300"/>
    <n v="25"/>
    <n v="10.3"/>
    <n v="7.78"/>
    <n v="66.84"/>
    <n v="24"/>
    <x v="1"/>
    <s v="VALID"/>
    <n v="0.32416666666666666"/>
    <x v="1"/>
    <n v="38.57"/>
    <s v="Medium"/>
  </r>
  <r>
    <n v="150"/>
    <n v="7.88"/>
    <x v="4"/>
    <x v="4"/>
    <n v="600"/>
    <n v="25.2"/>
    <n v="2.58"/>
    <n v="1.79"/>
    <n v="22.72"/>
    <n v="2"/>
    <x v="2"/>
    <s v="VALID"/>
    <n v="0.89500000000000002"/>
    <x v="1"/>
    <n v="12.649999999999999"/>
    <s v="Low"/>
  </r>
  <r>
    <n v="600"/>
    <n v="15.66"/>
    <x v="4"/>
    <x v="0"/>
    <n v="900"/>
    <n v="37.799999999999997"/>
    <n v="6.92"/>
    <n v="0.44"/>
    <n v="2.81"/>
    <n v="5"/>
    <x v="2"/>
    <s v="VALID"/>
    <n v="8.7999999999999995E-2"/>
    <x v="1"/>
    <n v="4.8650000000000002"/>
    <s v="Low"/>
  </r>
  <r>
    <n v="400"/>
    <n v="18.59"/>
    <x v="2"/>
    <x v="2"/>
    <n v="150"/>
    <n v="45.5"/>
    <n v="7.49"/>
    <n v="8.65"/>
    <n v="46.53"/>
    <n v="11"/>
    <x v="1"/>
    <s v="VALID"/>
    <n v="0.78636363636363638"/>
    <x v="1"/>
    <n v="27.01"/>
    <s v="Low"/>
  </r>
  <r>
    <n v="300"/>
    <n v="13.55"/>
    <x v="2"/>
    <x v="3"/>
    <n v="1500"/>
    <n v="29"/>
    <n v="7.94"/>
    <n v="4.79"/>
    <n v="35.35"/>
    <n v="7"/>
    <x v="0"/>
    <s v="VALID"/>
    <n v="0.68428571428571427"/>
    <x v="1"/>
    <n v="21.645"/>
    <s v="Low"/>
  </r>
  <r>
    <n v="250"/>
    <n v="9.01"/>
    <x v="2"/>
    <x v="4"/>
    <n v="1500"/>
    <n v="8.1"/>
    <n v="14.67"/>
    <n v="7.8"/>
    <n v="86.57"/>
    <n v="16"/>
    <x v="1"/>
    <s v="VALID"/>
    <n v="0.48749999999999999"/>
    <x v="0"/>
    <n v="50.62"/>
    <s v="Medium"/>
  </r>
  <r>
    <n v="400"/>
    <n v="12.1"/>
    <x v="2"/>
    <x v="2"/>
    <n v="2500"/>
    <n v="51.2"/>
    <n v="3.4"/>
    <n v="4.5199999999999996"/>
    <n v="37.36"/>
    <n v="16"/>
    <x v="0"/>
    <s v="VALID"/>
    <n v="0.28249999999999997"/>
    <x v="0"/>
    <n v="20.38"/>
    <s v="Low"/>
  </r>
  <r>
    <n v="600"/>
    <n v="22.48"/>
    <x v="3"/>
    <x v="0"/>
    <n v="600"/>
    <n v="73.3"/>
    <n v="14.86"/>
    <n v="5.51"/>
    <n v="24.51"/>
    <n v="12"/>
    <x v="1"/>
    <s v="VALID"/>
    <n v="0.45916666666666667"/>
    <x v="0"/>
    <n v="19.685000000000002"/>
    <s v="Low"/>
  </r>
  <r>
    <n v="300"/>
    <n v="10.32"/>
    <x v="0"/>
    <x v="1"/>
    <n v="150"/>
    <n v="10"/>
    <n v="13.16"/>
    <n v="5.12"/>
    <n v="49.61"/>
    <n v="19"/>
    <x v="1"/>
    <s v="VALID"/>
    <n v="0.26947368421052631"/>
    <x v="1"/>
    <n v="31.384999999999998"/>
    <s v="Medium"/>
  </r>
  <r>
    <n v="500"/>
    <n v="14.46"/>
    <x v="1"/>
    <x v="1"/>
    <n v="600"/>
    <n v="-15.3"/>
    <n v="15.12"/>
    <n v="2.94"/>
    <n v="20.329999999999998"/>
    <n v="23"/>
    <x v="0"/>
    <s v="VALID"/>
    <n v="0.12782608695652173"/>
    <x v="1"/>
    <n v="17.724999999999998"/>
    <s v="Low"/>
  </r>
  <r>
    <n v="1200"/>
    <n v="21.53"/>
    <x v="2"/>
    <x v="2"/>
    <n v="900"/>
    <n v="17.2"/>
    <n v="19.61"/>
    <n v="6.89"/>
    <n v="32"/>
    <n v="24"/>
    <x v="1"/>
    <s v="VALID"/>
    <n v="0.2870833333333333"/>
    <x v="1"/>
    <n v="25.805"/>
    <s v="Low"/>
  </r>
  <r>
    <n v="100"/>
    <n v="4.0999999999999996"/>
    <x v="2"/>
    <x v="1"/>
    <n v="900"/>
    <n v="-36.6"/>
    <n v="9.98"/>
    <n v="5.68"/>
    <n v="138.54"/>
    <n v="19"/>
    <x v="1"/>
    <s v="INVALID"/>
    <m/>
    <x v="2"/>
    <m/>
    <m/>
  </r>
  <r>
    <n v="1500"/>
    <n v="40.479999999999997"/>
    <x v="1"/>
    <x v="4"/>
    <n v="1500"/>
    <n v="98.3"/>
    <n v="9.9499999999999993"/>
    <n v="4.6100000000000003"/>
    <n v="11.39"/>
    <n v="18"/>
    <x v="0"/>
    <s v="VALID"/>
    <n v="0.25611111111111112"/>
    <x v="1"/>
    <n v="10.67"/>
    <s v="Low"/>
  </r>
  <r>
    <n v="150"/>
    <n v="6.56"/>
    <x v="4"/>
    <x v="0"/>
    <n v="150"/>
    <n v="76.900000000000006"/>
    <n v="9.65"/>
    <n v="6.62"/>
    <n v="100.91"/>
    <n v="18"/>
    <x v="1"/>
    <s v="INVALID"/>
    <m/>
    <x v="2"/>
    <m/>
    <m/>
  </r>
  <r>
    <n v="1200"/>
    <n v="33.44"/>
    <x v="3"/>
    <x v="4"/>
    <n v="300"/>
    <n v="69.900000000000006"/>
    <n v="8.39"/>
    <n v="7.09"/>
    <n v="21.2"/>
    <n v="5"/>
    <x v="1"/>
    <s v="VALID"/>
    <n v="1.4179999999999999"/>
    <x v="1"/>
    <n v="14.795"/>
    <s v="Low"/>
  </r>
  <r>
    <n v="250"/>
    <n v="14.39"/>
    <x v="4"/>
    <x v="2"/>
    <n v="1500"/>
    <n v="53.2"/>
    <n v="17.670000000000002"/>
    <n v="9.08"/>
    <n v="63.1"/>
    <n v="10"/>
    <x v="1"/>
    <s v="VALID"/>
    <n v="0.90800000000000003"/>
    <x v="1"/>
    <n v="40.385000000000005"/>
    <s v="Medium"/>
  </r>
  <r>
    <n v="800"/>
    <n v="19.010000000000002"/>
    <x v="4"/>
    <x v="1"/>
    <n v="150"/>
    <n v="67.599999999999994"/>
    <n v="16.13"/>
    <n v="7.98"/>
    <n v="41.98"/>
    <n v="5"/>
    <x v="1"/>
    <s v="VALID"/>
    <n v="1.5960000000000001"/>
    <x v="0"/>
    <n v="29.055"/>
    <s v="Low"/>
  </r>
  <r>
    <n v="400"/>
    <n v="15.24"/>
    <x v="0"/>
    <x v="2"/>
    <n v="150"/>
    <n v="38.5"/>
    <n v="7.57"/>
    <n v="1.6"/>
    <n v="10.5"/>
    <n v="13"/>
    <x v="2"/>
    <s v="VALID"/>
    <n v="0.12307692307692308"/>
    <x v="1"/>
    <n v="9.0350000000000001"/>
    <s v="Low"/>
  </r>
  <r>
    <n v="50"/>
    <n v="3.27"/>
    <x v="4"/>
    <x v="3"/>
    <n v="300"/>
    <n v="41"/>
    <n v="0.64"/>
    <n v="3.03"/>
    <n v="92.66"/>
    <n v="9"/>
    <x v="0"/>
    <s v="VALID"/>
    <n v="0.33666666666666667"/>
    <x v="1"/>
    <n v="46.65"/>
    <s v="Medium"/>
  </r>
  <r>
    <n v="300"/>
    <n v="7.91"/>
    <x v="2"/>
    <x v="3"/>
    <n v="1500"/>
    <n v="20.7"/>
    <n v="10.81"/>
    <n v="2.29"/>
    <n v="28.95"/>
    <n v="12"/>
    <x v="0"/>
    <s v="VALID"/>
    <n v="0.19083333333333333"/>
    <x v="1"/>
    <n v="19.88"/>
    <s v="Low"/>
  </r>
  <r>
    <n v="400"/>
    <n v="19.86"/>
    <x v="0"/>
    <x v="0"/>
    <n v="2500"/>
    <n v="43.1"/>
    <n v="2.27"/>
    <n v="2.1800000000000002"/>
    <n v="10.98"/>
    <n v="1"/>
    <x v="0"/>
    <s v="VALID"/>
    <n v="2.1800000000000002"/>
    <x v="0"/>
    <n v="6.625"/>
    <s v="Low"/>
  </r>
  <r>
    <n v="50"/>
    <n v="4.4400000000000004"/>
    <x v="0"/>
    <x v="4"/>
    <n v="900"/>
    <n v="79.400000000000006"/>
    <n v="6.13"/>
    <n v="6.24"/>
    <n v="140.54"/>
    <n v="24"/>
    <x v="1"/>
    <s v="INVALID"/>
    <m/>
    <x v="2"/>
    <m/>
    <m/>
  </r>
  <r>
    <n v="800"/>
    <n v="19.04"/>
    <x v="1"/>
    <x v="4"/>
    <n v="150"/>
    <n v="111"/>
    <n v="0.01"/>
    <n v="5.01"/>
    <n v="26.31"/>
    <n v="6"/>
    <x v="1"/>
    <s v="VALID"/>
    <n v="0.83499999999999996"/>
    <x v="1"/>
    <n v="13.16"/>
    <s v="Low"/>
  </r>
  <r>
    <n v="250"/>
    <n v="9.98"/>
    <x v="2"/>
    <x v="2"/>
    <n v="900"/>
    <n v="53.2"/>
    <n v="3.57"/>
    <n v="3.4"/>
    <n v="34.07"/>
    <n v="11"/>
    <x v="0"/>
    <s v="VALID"/>
    <n v="0.30909090909090908"/>
    <x v="1"/>
    <n v="18.82"/>
    <s v="Low"/>
  </r>
  <r>
    <n v="100"/>
    <n v="4.34"/>
    <x v="3"/>
    <x v="0"/>
    <n v="1500"/>
    <n v="22.6"/>
    <n v="7.12"/>
    <n v="1.62"/>
    <n v="37.33"/>
    <n v="3"/>
    <x v="2"/>
    <s v="VALID"/>
    <n v="0.54"/>
    <x v="1"/>
    <n v="22.224999999999998"/>
    <s v="Low"/>
  </r>
  <r>
    <n v="150"/>
    <n v="9.3800000000000008"/>
    <x v="4"/>
    <x v="2"/>
    <n v="1500"/>
    <n v="29.5"/>
    <n v="10.11"/>
    <n v="2.41"/>
    <n v="25.69"/>
    <n v="1"/>
    <x v="0"/>
    <s v="VALID"/>
    <n v="2.41"/>
    <x v="0"/>
    <n v="17.899999999999999"/>
    <s v="Low"/>
  </r>
  <r>
    <n v="400"/>
    <n v="15.39"/>
    <x v="3"/>
    <x v="0"/>
    <n v="150"/>
    <n v="119.6"/>
    <n v="16.37"/>
    <n v="8"/>
    <n v="51.98"/>
    <n v="14"/>
    <x v="1"/>
    <s v="VALID"/>
    <n v="0.5714285714285714"/>
    <x v="0"/>
    <n v="34.174999999999997"/>
    <s v="Medium"/>
  </r>
  <r>
    <n v="1500"/>
    <n v="37.590000000000003"/>
    <x v="4"/>
    <x v="3"/>
    <n v="900"/>
    <n v="69.7"/>
    <n v="11.87"/>
    <n v="1.39"/>
    <n v="3.7"/>
    <n v="7"/>
    <x v="2"/>
    <s v="VALID"/>
    <n v="0.19857142857142857"/>
    <x v="1"/>
    <n v="7.7850000000000001"/>
    <s v="Low"/>
  </r>
  <r>
    <n v="1500"/>
    <n v="30.85"/>
    <x v="0"/>
    <x v="1"/>
    <n v="900"/>
    <n v="18.5"/>
    <n v="12.39"/>
    <n v="8.3699999999999992"/>
    <n v="27.13"/>
    <n v="24"/>
    <x v="1"/>
    <s v="VALID"/>
    <n v="0.34874999999999995"/>
    <x v="1"/>
    <n v="19.759999999999998"/>
    <s v="Low"/>
  </r>
  <r>
    <n v="1200"/>
    <n v="36.08"/>
    <x v="0"/>
    <x v="2"/>
    <n v="1500"/>
    <n v="17.7"/>
    <n v="10.34"/>
    <n v="4.6100000000000003"/>
    <n v="12.78"/>
    <n v="14"/>
    <x v="0"/>
    <s v="VALID"/>
    <n v="0.32928571428571429"/>
    <x v="1"/>
    <n v="11.559999999999999"/>
    <s v="Low"/>
  </r>
  <r>
    <n v="1500"/>
    <n v="40.659999999999997"/>
    <x v="4"/>
    <x v="3"/>
    <n v="1500"/>
    <n v="90.8"/>
    <n v="8.74"/>
    <n v="0.53"/>
    <n v="1.3"/>
    <n v="17"/>
    <x v="2"/>
    <s v="VALID"/>
    <n v="3.1176470588235295E-2"/>
    <x v="0"/>
    <n v="5.0200000000000005"/>
    <s v="Low"/>
  </r>
  <r>
    <n v="200"/>
    <n v="7.73"/>
    <x v="4"/>
    <x v="0"/>
    <n v="150"/>
    <n v="51.4"/>
    <n v="17"/>
    <n v="0.49"/>
    <n v="6.34"/>
    <n v="4"/>
    <x v="2"/>
    <s v="VALID"/>
    <n v="0.1225"/>
    <x v="0"/>
    <n v="11.67"/>
    <s v="Low"/>
  </r>
  <r>
    <n v="250"/>
    <n v="10.72"/>
    <x v="2"/>
    <x v="0"/>
    <n v="900"/>
    <n v="-8.5"/>
    <n v="5.3"/>
    <n v="5.51"/>
    <n v="51.4"/>
    <n v="13"/>
    <x v="1"/>
    <s v="VALID"/>
    <n v="0.42384615384615382"/>
    <x v="1"/>
    <n v="28.349999999999998"/>
    <s v="Low"/>
  </r>
  <r>
    <n v="250"/>
    <n v="9.25"/>
    <x v="1"/>
    <x v="4"/>
    <n v="150"/>
    <n v="28.1"/>
    <n v="9.1999999999999993"/>
    <n v="4.5599999999999996"/>
    <n v="49.3"/>
    <n v="18"/>
    <x v="0"/>
    <s v="VALID"/>
    <n v="0.2533333333333333"/>
    <x v="1"/>
    <n v="29.25"/>
    <s v="Low"/>
  </r>
  <r>
    <n v="50"/>
    <n v="5.61"/>
    <x v="3"/>
    <x v="0"/>
    <n v="2500"/>
    <n v="1.3"/>
    <n v="3.5"/>
    <n v="9.5299999999999994"/>
    <n v="169.88"/>
    <n v="8"/>
    <x v="1"/>
    <s v="INVALID"/>
    <m/>
    <x v="2"/>
    <m/>
    <m/>
  </r>
  <r>
    <n v="150"/>
    <n v="9.7100000000000009"/>
    <x v="2"/>
    <x v="4"/>
    <n v="900"/>
    <n v="11.6"/>
    <n v="3.38"/>
    <n v="2.72"/>
    <n v="28.01"/>
    <n v="24"/>
    <x v="0"/>
    <s v="VALID"/>
    <n v="0.11333333333333334"/>
    <x v="0"/>
    <n v="15.695"/>
    <s v="Low"/>
  </r>
  <r>
    <n v="100"/>
    <n v="6.21"/>
    <x v="1"/>
    <x v="2"/>
    <n v="1500"/>
    <n v="50.5"/>
    <n v="19.940000000000001"/>
    <n v="4.78"/>
    <n v="76.97"/>
    <n v="4"/>
    <x v="0"/>
    <s v="VALID"/>
    <n v="1.1950000000000001"/>
    <x v="1"/>
    <n v="48.454999999999998"/>
    <s v="Medium"/>
  </r>
  <r>
    <n v="1500"/>
    <n v="22.39"/>
    <x v="2"/>
    <x v="2"/>
    <n v="1500"/>
    <n v="57.9"/>
    <n v="12.28"/>
    <n v="2.8"/>
    <n v="12.51"/>
    <n v="20"/>
    <x v="0"/>
    <s v="VALID"/>
    <n v="0.13999999999999999"/>
    <x v="0"/>
    <n v="12.395"/>
    <s v="Low"/>
  </r>
  <r>
    <n v="1500"/>
    <n v="45.28"/>
    <x v="0"/>
    <x v="2"/>
    <n v="900"/>
    <n v="9.1999999999999993"/>
    <n v="17.55"/>
    <n v="1.1299999999999999"/>
    <n v="2.5"/>
    <n v="6"/>
    <x v="2"/>
    <s v="VALID"/>
    <n v="0.18833333333333332"/>
    <x v="0"/>
    <n v="10.025"/>
    <s v="Low"/>
  </r>
  <r>
    <n v="1000"/>
    <n v="22.05"/>
    <x v="4"/>
    <x v="2"/>
    <n v="1500"/>
    <n v="29.4"/>
    <n v="0.25"/>
    <n v="7.56"/>
    <n v="34.29"/>
    <n v="4"/>
    <x v="1"/>
    <s v="VALID"/>
    <n v="1.89"/>
    <x v="1"/>
    <n v="17.27"/>
    <s v="Low"/>
  </r>
  <r>
    <n v="250"/>
    <n v="11.53"/>
    <x v="3"/>
    <x v="1"/>
    <n v="300"/>
    <n v="-9"/>
    <n v="9.6"/>
    <n v="1.84"/>
    <n v="15.96"/>
    <n v="22"/>
    <x v="2"/>
    <s v="VALID"/>
    <n v="8.3636363636363634E-2"/>
    <x v="0"/>
    <n v="12.780000000000001"/>
    <s v="Low"/>
  </r>
  <r>
    <n v="50"/>
    <n v="5.28"/>
    <x v="0"/>
    <x v="1"/>
    <n v="900"/>
    <n v="53.5"/>
    <n v="19.260000000000002"/>
    <n v="0.86"/>
    <n v="16.29"/>
    <n v="17"/>
    <x v="2"/>
    <s v="VALID"/>
    <n v="5.0588235294117649E-2"/>
    <x v="1"/>
    <n v="17.774999999999999"/>
    <s v="Low"/>
  </r>
  <r>
    <n v="1200"/>
    <n v="30.85"/>
    <x v="4"/>
    <x v="0"/>
    <n v="2500"/>
    <n v="67.599999999999994"/>
    <n v="7.07"/>
    <n v="8.9"/>
    <n v="28.85"/>
    <n v="19"/>
    <x v="1"/>
    <s v="VALID"/>
    <n v="0.46842105263157896"/>
    <x v="1"/>
    <n v="17.96"/>
    <s v="Low"/>
  </r>
  <r>
    <n v="1200"/>
    <n v="38.85"/>
    <x v="1"/>
    <x v="1"/>
    <n v="900"/>
    <n v="77.400000000000006"/>
    <n v="11.5"/>
    <n v="0.03"/>
    <n v="0.08"/>
    <n v="18"/>
    <x v="2"/>
    <s v="VALID"/>
    <n v="1.6666666666666666E-3"/>
    <x v="0"/>
    <n v="5.79"/>
    <s v="Low"/>
  </r>
  <r>
    <n v="1000"/>
    <n v="31.79"/>
    <x v="2"/>
    <x v="0"/>
    <n v="2500"/>
    <n v="19.899999999999999"/>
    <n v="7.87"/>
    <n v="8.4499999999999993"/>
    <n v="26.58"/>
    <n v="12"/>
    <x v="1"/>
    <s v="VALID"/>
    <n v="0.70416666666666661"/>
    <x v="1"/>
    <n v="17.224999999999998"/>
    <s v="Low"/>
  </r>
  <r>
    <n v="100"/>
    <n v="5.28"/>
    <x v="2"/>
    <x v="2"/>
    <n v="1500"/>
    <n v="-0.5"/>
    <n v="0.88"/>
    <n v="2.37"/>
    <n v="44.89"/>
    <n v="18"/>
    <x v="0"/>
    <s v="VALID"/>
    <n v="0.13166666666666668"/>
    <x v="0"/>
    <n v="22.885000000000002"/>
    <s v="Low"/>
  </r>
  <r>
    <n v="50"/>
    <n v="3.72"/>
    <x v="3"/>
    <x v="3"/>
    <n v="1500"/>
    <n v="89.2"/>
    <n v="7.29"/>
    <n v="2.2799999999999998"/>
    <n v="61.29"/>
    <n v="6"/>
    <x v="0"/>
    <s v="VALID"/>
    <n v="0.37999999999999995"/>
    <x v="0"/>
    <n v="34.29"/>
    <s v="Medium"/>
  </r>
  <r>
    <n v="300"/>
    <n v="12.36"/>
    <x v="4"/>
    <x v="4"/>
    <n v="1500"/>
    <n v="10.199999999999999"/>
    <n v="1.58"/>
    <n v="2.06"/>
    <n v="16.670000000000002"/>
    <n v="4"/>
    <x v="0"/>
    <s v="VALID"/>
    <n v="0.51500000000000001"/>
    <x v="0"/>
    <n v="9.125"/>
    <s v="Low"/>
  </r>
  <r>
    <n v="800"/>
    <n v="14.93"/>
    <x v="4"/>
    <x v="3"/>
    <n v="150"/>
    <n v="76.7"/>
    <n v="1.74"/>
    <n v="7.64"/>
    <n v="51.17"/>
    <n v="5"/>
    <x v="1"/>
    <s v="VALID"/>
    <n v="1.528"/>
    <x v="0"/>
    <n v="26.455000000000002"/>
    <s v="Low"/>
  </r>
  <r>
    <n v="250"/>
    <n v="13.81"/>
    <x v="4"/>
    <x v="0"/>
    <n v="300"/>
    <n v="-2.9"/>
    <n v="5.82"/>
    <n v="3.7"/>
    <n v="26.79"/>
    <n v="1"/>
    <x v="0"/>
    <s v="VALID"/>
    <n v="3.7"/>
    <x v="1"/>
    <n v="16.305"/>
    <s v="Low"/>
  </r>
  <r>
    <n v="150"/>
    <n v="9.06"/>
    <x v="4"/>
    <x v="3"/>
    <n v="1500"/>
    <n v="36.5"/>
    <n v="3.74"/>
    <n v="3.59"/>
    <n v="39.619999999999997"/>
    <n v="6"/>
    <x v="0"/>
    <s v="VALID"/>
    <n v="0.59833333333333327"/>
    <x v="1"/>
    <n v="21.68"/>
    <s v="Low"/>
  </r>
  <r>
    <n v="800"/>
    <n v="30.08"/>
    <x v="4"/>
    <x v="2"/>
    <n v="2500"/>
    <n v="78.400000000000006"/>
    <n v="0.68"/>
    <n v="3.95"/>
    <n v="13.13"/>
    <n v="7"/>
    <x v="0"/>
    <s v="VALID"/>
    <n v="0.56428571428571428"/>
    <x v="0"/>
    <n v="6.9050000000000002"/>
    <s v="Low"/>
  </r>
  <r>
    <n v="600"/>
    <n v="12.87"/>
    <x v="2"/>
    <x v="4"/>
    <n v="150"/>
    <n v="59.2"/>
    <n v="1.96"/>
    <n v="5.9"/>
    <n v="45.84"/>
    <n v="10"/>
    <x v="1"/>
    <s v="VALID"/>
    <n v="0.59000000000000008"/>
    <x v="0"/>
    <n v="23.900000000000002"/>
    <s v="Low"/>
  </r>
  <r>
    <n v="50"/>
    <n v="5.1100000000000003"/>
    <x v="2"/>
    <x v="3"/>
    <n v="300"/>
    <n v="2"/>
    <n v="16.71"/>
    <n v="1.89"/>
    <n v="36.99"/>
    <n v="22"/>
    <x v="2"/>
    <s v="VALID"/>
    <n v="8.5909090909090907E-2"/>
    <x v="1"/>
    <n v="26.85"/>
    <s v="Low"/>
  </r>
  <r>
    <n v="250"/>
    <n v="9.91"/>
    <x v="0"/>
    <x v="1"/>
    <n v="2500"/>
    <n v="42.7"/>
    <n v="10.050000000000001"/>
    <n v="0.38"/>
    <n v="3.83"/>
    <n v="25"/>
    <x v="2"/>
    <s v="VALID"/>
    <n v="1.52E-2"/>
    <x v="1"/>
    <n v="6.94"/>
    <s v="Low"/>
  </r>
  <r>
    <n v="300"/>
    <n v="10.62"/>
    <x v="3"/>
    <x v="4"/>
    <n v="2500"/>
    <n v="30.6"/>
    <n v="4.55"/>
    <n v="7.18"/>
    <n v="67.61"/>
    <n v="7"/>
    <x v="1"/>
    <s v="VALID"/>
    <n v="1.0257142857142856"/>
    <x v="0"/>
    <n v="36.08"/>
    <s v="Medium"/>
  </r>
  <r>
    <n v="250"/>
    <n v="13.79"/>
    <x v="3"/>
    <x v="3"/>
    <n v="300"/>
    <n v="93.5"/>
    <n v="12.87"/>
    <n v="4.1399999999999997"/>
    <n v="30.02"/>
    <n v="17"/>
    <x v="0"/>
    <s v="VALID"/>
    <n v="0.24352941176470586"/>
    <x v="0"/>
    <n v="21.445"/>
    <s v="Low"/>
  </r>
  <r>
    <n v="500"/>
    <n v="21.72"/>
    <x v="4"/>
    <x v="4"/>
    <n v="600"/>
    <n v="51.8"/>
    <n v="3.16"/>
    <n v="8.67"/>
    <n v="39.92"/>
    <n v="13"/>
    <x v="1"/>
    <s v="VALID"/>
    <n v="0.66692307692307695"/>
    <x v="1"/>
    <n v="21.54"/>
    <s v="Low"/>
  </r>
  <r>
    <n v="200"/>
    <n v="7.2"/>
    <x v="1"/>
    <x v="4"/>
    <n v="900"/>
    <n v="26.3"/>
    <n v="5.64"/>
    <n v="8.76"/>
    <n v="121.67"/>
    <n v="14"/>
    <x v="1"/>
    <s v="INVALID"/>
    <m/>
    <x v="2"/>
    <m/>
    <m/>
  </r>
  <r>
    <n v="100"/>
    <n v="6.92"/>
    <x v="3"/>
    <x v="0"/>
    <n v="150"/>
    <n v="48.5"/>
    <n v="19.88"/>
    <n v="2.12"/>
    <n v="30.64"/>
    <n v="21"/>
    <x v="0"/>
    <s v="VALID"/>
    <n v="0.10095238095238096"/>
    <x v="1"/>
    <n v="25.259999999999998"/>
    <s v="Low"/>
  </r>
  <r>
    <n v="800"/>
    <n v="26.21"/>
    <x v="3"/>
    <x v="0"/>
    <n v="600"/>
    <n v="117.5"/>
    <n v="3.85"/>
    <n v="7.0000000000000007E-2"/>
    <n v="0.27"/>
    <n v="10"/>
    <x v="2"/>
    <s v="VALID"/>
    <n v="7.000000000000001E-3"/>
    <x v="1"/>
    <n v="2.06"/>
    <s v="Low"/>
  </r>
  <r>
    <n v="800"/>
    <n v="22.69"/>
    <x v="4"/>
    <x v="1"/>
    <n v="900"/>
    <n v="55.8"/>
    <n v="10.82"/>
    <n v="2.11"/>
    <n v="9.3000000000000007"/>
    <n v="19"/>
    <x v="0"/>
    <s v="VALID"/>
    <n v="0.11105263157894736"/>
    <x v="1"/>
    <n v="10.06"/>
    <s v="Low"/>
  </r>
  <r>
    <n v="150"/>
    <n v="9.5"/>
    <x v="0"/>
    <x v="1"/>
    <n v="300"/>
    <n v="-14.4"/>
    <n v="15.66"/>
    <n v="2.94"/>
    <n v="30.95"/>
    <n v="11"/>
    <x v="0"/>
    <s v="VALID"/>
    <n v="0.26727272727272727"/>
    <x v="1"/>
    <n v="23.305"/>
    <s v="Low"/>
  </r>
  <r>
    <n v="150"/>
    <n v="7.12"/>
    <x v="0"/>
    <x v="2"/>
    <n v="150"/>
    <n v="43.5"/>
    <n v="11.39"/>
    <n v="5.19"/>
    <n v="72.89"/>
    <n v="22"/>
    <x v="1"/>
    <s v="VALID"/>
    <n v="0.23590909090909093"/>
    <x v="1"/>
    <n v="42.14"/>
    <s v="Medium"/>
  </r>
  <r>
    <n v="250"/>
    <n v="8.5299999999999994"/>
    <x v="4"/>
    <x v="1"/>
    <n v="300"/>
    <n v="51.8"/>
    <n v="18.04"/>
    <n v="8.17"/>
    <n v="95.78"/>
    <n v="6"/>
    <x v="1"/>
    <s v="VALID"/>
    <n v="1.3616666666666666"/>
    <x v="1"/>
    <n v="56.91"/>
    <s v="Medium"/>
  </r>
  <r>
    <n v="600"/>
    <n v="16.64"/>
    <x v="4"/>
    <x v="3"/>
    <n v="2500"/>
    <n v="45.3"/>
    <n v="8.27"/>
    <n v="7.75"/>
    <n v="46.57"/>
    <n v="14"/>
    <x v="1"/>
    <s v="VALID"/>
    <n v="0.5535714285714286"/>
    <x v="1"/>
    <n v="27.42"/>
    <s v="Low"/>
  </r>
  <r>
    <n v="150"/>
    <n v="5.43"/>
    <x v="2"/>
    <x v="3"/>
    <n v="2500"/>
    <n v="93"/>
    <n v="14.89"/>
    <n v="7.94"/>
    <n v="146.22"/>
    <n v="11"/>
    <x v="1"/>
    <s v="INVALID"/>
    <m/>
    <x v="2"/>
    <m/>
    <m/>
  </r>
  <r>
    <n v="50"/>
    <n v="5"/>
    <x v="1"/>
    <x v="1"/>
    <n v="900"/>
    <n v="12.8"/>
    <n v="7.87"/>
    <n v="4.72"/>
    <n v="94.4"/>
    <n v="4"/>
    <x v="0"/>
    <s v="VALID"/>
    <n v="1.18"/>
    <x v="0"/>
    <n v="51.135000000000005"/>
    <s v="Medium"/>
  </r>
  <r>
    <n v="400"/>
    <n v="18.8"/>
    <x v="3"/>
    <x v="2"/>
    <n v="600"/>
    <n v="84.4"/>
    <n v="13.84"/>
    <n v="6.85"/>
    <n v="36.44"/>
    <n v="8"/>
    <x v="1"/>
    <s v="VALID"/>
    <n v="0.85624999999999996"/>
    <x v="1"/>
    <n v="25.14"/>
    <s v="Low"/>
  </r>
  <r>
    <n v="150"/>
    <n v="7.25"/>
    <x v="0"/>
    <x v="0"/>
    <n v="600"/>
    <n v="11"/>
    <n v="1.34"/>
    <n v="0.78"/>
    <n v="10.76"/>
    <n v="12"/>
    <x v="2"/>
    <s v="VALID"/>
    <n v="6.5000000000000002E-2"/>
    <x v="1"/>
    <n v="6.05"/>
    <s v="Low"/>
  </r>
  <r>
    <n v="150"/>
    <n v="5.7"/>
    <x v="2"/>
    <x v="4"/>
    <n v="2500"/>
    <n v="37.299999999999997"/>
    <n v="19.64"/>
    <n v="3.25"/>
    <n v="57.02"/>
    <n v="9"/>
    <x v="0"/>
    <s v="VALID"/>
    <n v="0.3611111111111111"/>
    <x v="1"/>
    <n v="38.33"/>
    <s v="Medium"/>
  </r>
  <r>
    <n v="1500"/>
    <n v="36.36"/>
    <x v="1"/>
    <x v="0"/>
    <n v="300"/>
    <n v="53.7"/>
    <n v="15.07"/>
    <n v="3.33"/>
    <n v="9.16"/>
    <n v="4"/>
    <x v="0"/>
    <s v="VALID"/>
    <n v="0.83250000000000002"/>
    <x v="0"/>
    <n v="12.115"/>
    <s v="Low"/>
  </r>
  <r>
    <n v="300"/>
    <n v="17.100000000000001"/>
    <x v="3"/>
    <x v="2"/>
    <n v="900"/>
    <n v="94.3"/>
    <n v="1.3"/>
    <n v="2.8"/>
    <n v="16.37"/>
    <n v="16"/>
    <x v="0"/>
    <s v="VALID"/>
    <n v="0.17499999999999999"/>
    <x v="1"/>
    <n v="8.8350000000000009"/>
    <s v="Low"/>
  </r>
  <r>
    <n v="1200"/>
    <n v="35.94"/>
    <x v="3"/>
    <x v="3"/>
    <n v="2500"/>
    <n v="59.7"/>
    <n v="2.46"/>
    <n v="8.74"/>
    <n v="24.32"/>
    <n v="23"/>
    <x v="1"/>
    <s v="VALID"/>
    <n v="0.38"/>
    <x v="1"/>
    <n v="13.39"/>
    <s v="Low"/>
  </r>
  <r>
    <n v="250"/>
    <n v="9.07"/>
    <x v="1"/>
    <x v="0"/>
    <n v="300"/>
    <n v="4.5999999999999996"/>
    <n v="10.86"/>
    <n v="7.99"/>
    <n v="88.09"/>
    <n v="9"/>
    <x v="1"/>
    <s v="VALID"/>
    <n v="0.88777777777777778"/>
    <x v="0"/>
    <n v="49.475000000000001"/>
    <s v="Medium"/>
  </r>
  <r>
    <n v="400"/>
    <n v="18.5"/>
    <x v="1"/>
    <x v="0"/>
    <n v="1500"/>
    <n v="20.100000000000001"/>
    <n v="2.13"/>
    <n v="7.4"/>
    <n v="40"/>
    <n v="14"/>
    <x v="1"/>
    <s v="VALID"/>
    <n v="0.52857142857142858"/>
    <x v="1"/>
    <n v="21.065000000000001"/>
    <s v="Low"/>
  </r>
  <r>
    <n v="50"/>
    <n v="3.84"/>
    <x v="4"/>
    <x v="1"/>
    <n v="150"/>
    <n v="103.8"/>
    <n v="10.56"/>
    <n v="6.08"/>
    <n v="158.33000000000001"/>
    <n v="25"/>
    <x v="1"/>
    <s v="INVALID"/>
    <m/>
    <x v="2"/>
    <m/>
    <m/>
  </r>
  <r>
    <n v="600"/>
    <n v="28.54"/>
    <x v="3"/>
    <x v="2"/>
    <n v="300"/>
    <n v="-16.8"/>
    <n v="9.59"/>
    <n v="7.41"/>
    <n v="25.96"/>
    <n v="22"/>
    <x v="1"/>
    <s v="VALID"/>
    <n v="0.33681818181818185"/>
    <x v="1"/>
    <n v="17.774999999999999"/>
    <s v="Low"/>
  </r>
  <r>
    <n v="150"/>
    <n v="9.8000000000000007"/>
    <x v="2"/>
    <x v="1"/>
    <n v="900"/>
    <n v="15"/>
    <n v="19.89"/>
    <n v="2.78"/>
    <n v="28.37"/>
    <n v="24"/>
    <x v="0"/>
    <s v="VALID"/>
    <n v="0.11583333333333333"/>
    <x v="1"/>
    <n v="24.130000000000003"/>
    <s v="Low"/>
  </r>
  <r>
    <n v="400"/>
    <n v="10.84"/>
    <x v="4"/>
    <x v="2"/>
    <n v="600"/>
    <n v="52.6"/>
    <n v="19.760000000000002"/>
    <n v="0.73"/>
    <n v="6.73"/>
    <n v="11"/>
    <x v="2"/>
    <s v="VALID"/>
    <n v="6.6363636363636361E-2"/>
    <x v="1"/>
    <n v="13.245000000000001"/>
    <s v="Low"/>
  </r>
  <r>
    <n v="300"/>
    <n v="7.26"/>
    <x v="3"/>
    <x v="2"/>
    <n v="900"/>
    <n v="-42.6"/>
    <n v="4.7699999999999996"/>
    <n v="2.94"/>
    <n v="40.5"/>
    <n v="14"/>
    <x v="0"/>
    <s v="VALID"/>
    <n v="0.21"/>
    <x v="1"/>
    <n v="22.634999999999998"/>
    <s v="Low"/>
  </r>
  <r>
    <n v="1000"/>
    <n v="33.909999999999997"/>
    <x v="4"/>
    <x v="0"/>
    <n v="600"/>
    <n v="22.2"/>
    <n v="17.02"/>
    <n v="0.54"/>
    <n v="1.59"/>
    <n v="13"/>
    <x v="2"/>
    <s v="VALID"/>
    <n v="4.1538461538461538E-2"/>
    <x v="1"/>
    <n v="9.3049999999999997"/>
    <s v="Low"/>
  </r>
  <r>
    <n v="200"/>
    <n v="11.46"/>
    <x v="4"/>
    <x v="0"/>
    <n v="900"/>
    <n v="65.900000000000006"/>
    <n v="7.26"/>
    <n v="6.64"/>
    <n v="57.94"/>
    <n v="24"/>
    <x v="1"/>
    <s v="VALID"/>
    <n v="0.27666666666666667"/>
    <x v="1"/>
    <n v="32.6"/>
    <s v="Medium"/>
  </r>
  <r>
    <n v="1200"/>
    <n v="37.409999999999997"/>
    <x v="0"/>
    <x v="4"/>
    <n v="2500"/>
    <n v="37.299999999999997"/>
    <n v="1.59"/>
    <n v="1.39"/>
    <n v="3.72"/>
    <n v="15"/>
    <x v="2"/>
    <s v="VALID"/>
    <n v="9.2666666666666661E-2"/>
    <x v="1"/>
    <n v="2.6550000000000002"/>
    <s v="Low"/>
  </r>
  <r>
    <n v="800"/>
    <n v="19.489999999999998"/>
    <x v="3"/>
    <x v="2"/>
    <n v="600"/>
    <n v="12.4"/>
    <n v="18.09"/>
    <n v="6.92"/>
    <n v="35.51"/>
    <n v="13"/>
    <x v="1"/>
    <s v="VALID"/>
    <n v="0.53230769230769226"/>
    <x v="0"/>
    <n v="26.799999999999997"/>
    <s v="Low"/>
  </r>
  <r>
    <n v="200"/>
    <n v="8.69"/>
    <x v="0"/>
    <x v="4"/>
    <n v="2500"/>
    <n v="45.2"/>
    <n v="1.94"/>
    <n v="0.46"/>
    <n v="5.29"/>
    <n v="23"/>
    <x v="2"/>
    <s v="VALID"/>
    <n v="0.02"/>
    <x v="1"/>
    <n v="3.6150000000000002"/>
    <s v="Low"/>
  </r>
  <r>
    <n v="1000"/>
    <n v="26.68"/>
    <x v="4"/>
    <x v="0"/>
    <n v="900"/>
    <n v="28.9"/>
    <n v="10.81"/>
    <n v="7.59"/>
    <n v="28.45"/>
    <n v="16"/>
    <x v="1"/>
    <s v="VALID"/>
    <n v="0.47437499999999999"/>
    <x v="0"/>
    <n v="19.63"/>
    <s v="Low"/>
  </r>
  <r>
    <n v="1200"/>
    <n v="39.24"/>
    <x v="0"/>
    <x v="3"/>
    <n v="900"/>
    <n v="64.900000000000006"/>
    <n v="14.05"/>
    <n v="0.71"/>
    <n v="1.81"/>
    <n v="7"/>
    <x v="2"/>
    <s v="VALID"/>
    <n v="0.10142857142857142"/>
    <x v="1"/>
    <n v="7.9300000000000006"/>
    <s v="Low"/>
  </r>
  <r>
    <n v="1200"/>
    <n v="22.11"/>
    <x v="1"/>
    <x v="1"/>
    <n v="150"/>
    <n v="130.30000000000001"/>
    <n v="2.48"/>
    <n v="7.65"/>
    <n v="34.6"/>
    <n v="12"/>
    <x v="1"/>
    <s v="VALID"/>
    <n v="0.63750000000000007"/>
    <x v="1"/>
    <n v="18.54"/>
    <s v="Low"/>
  </r>
  <r>
    <n v="300"/>
    <n v="8.06"/>
    <x v="3"/>
    <x v="3"/>
    <n v="600"/>
    <n v="25.1"/>
    <n v="6.17"/>
    <n v="3.02"/>
    <n v="37.47"/>
    <n v="7"/>
    <x v="0"/>
    <s v="VALID"/>
    <n v="0.43142857142857144"/>
    <x v="1"/>
    <n v="21.82"/>
    <s v="Low"/>
  </r>
  <r>
    <n v="150"/>
    <n v="6.44"/>
    <x v="0"/>
    <x v="0"/>
    <n v="600"/>
    <n v="54.6"/>
    <n v="3.36"/>
    <n v="9.07"/>
    <n v="140.84"/>
    <n v="25"/>
    <x v="1"/>
    <s v="INVALID"/>
    <m/>
    <x v="2"/>
    <m/>
    <m/>
  </r>
  <r>
    <n v="400"/>
    <n v="16.46"/>
    <x v="1"/>
    <x v="3"/>
    <n v="600"/>
    <n v="83.5"/>
    <n v="8.7200000000000006"/>
    <n v="0.47"/>
    <n v="2.86"/>
    <n v="23"/>
    <x v="2"/>
    <s v="VALID"/>
    <n v="2.0434782608695651E-2"/>
    <x v="1"/>
    <n v="5.79"/>
    <s v="Low"/>
  </r>
  <r>
    <n v="1500"/>
    <n v="31.01"/>
    <x v="0"/>
    <x v="1"/>
    <n v="2500"/>
    <n v="23.6"/>
    <n v="7.25"/>
    <n v="1.59"/>
    <n v="5.13"/>
    <n v="23"/>
    <x v="2"/>
    <s v="VALID"/>
    <n v="6.9130434782608705E-2"/>
    <x v="1"/>
    <n v="6.1899999999999995"/>
    <s v="Low"/>
  </r>
  <r>
    <n v="1200"/>
    <n v="19.22"/>
    <x v="0"/>
    <x v="2"/>
    <n v="2500"/>
    <n v="77.7"/>
    <n v="14.18"/>
    <n v="6.42"/>
    <n v="33.4"/>
    <n v="7"/>
    <x v="1"/>
    <s v="VALID"/>
    <n v="0.91714285714285715"/>
    <x v="0"/>
    <n v="23.79"/>
    <s v="Low"/>
  </r>
  <r>
    <n v="1000"/>
    <n v="24.04"/>
    <x v="0"/>
    <x v="1"/>
    <n v="300"/>
    <n v="109.6"/>
    <n v="11.57"/>
    <n v="0.55000000000000004"/>
    <n v="2.29"/>
    <n v="5"/>
    <x v="2"/>
    <s v="VALID"/>
    <n v="0.11000000000000001"/>
    <x v="0"/>
    <n v="6.93"/>
    <s v="Low"/>
  </r>
  <r>
    <n v="600"/>
    <n v="24.78"/>
    <x v="2"/>
    <x v="3"/>
    <n v="600"/>
    <n v="41.9"/>
    <n v="14.82"/>
    <n v="8.49"/>
    <n v="34.26"/>
    <n v="18"/>
    <x v="1"/>
    <s v="VALID"/>
    <n v="0.47166666666666668"/>
    <x v="1"/>
    <n v="24.54"/>
    <s v="Low"/>
  </r>
  <r>
    <n v="1000"/>
    <n v="17.8"/>
    <x v="1"/>
    <x v="3"/>
    <n v="150"/>
    <n v="68.3"/>
    <n v="3.97"/>
    <n v="8.42"/>
    <n v="47.3"/>
    <n v="19"/>
    <x v="1"/>
    <s v="VALID"/>
    <n v="0.44315789473684208"/>
    <x v="1"/>
    <n v="25.634999999999998"/>
    <s v="Low"/>
  </r>
  <r>
    <n v="400"/>
    <n v="14.63"/>
    <x v="2"/>
    <x v="3"/>
    <n v="900"/>
    <n v="71.7"/>
    <n v="5.17"/>
    <n v="3.74"/>
    <n v="25.56"/>
    <n v="13"/>
    <x v="0"/>
    <s v="VALID"/>
    <n v="0.28769230769230769"/>
    <x v="1"/>
    <n v="15.364999999999998"/>
    <s v="Low"/>
  </r>
  <r>
    <n v="1000"/>
    <n v="23.09"/>
    <x v="2"/>
    <x v="4"/>
    <n v="150"/>
    <n v="97.5"/>
    <n v="5.43"/>
    <n v="7.98"/>
    <n v="34.56"/>
    <n v="14"/>
    <x v="1"/>
    <s v="VALID"/>
    <n v="0.57000000000000006"/>
    <x v="1"/>
    <n v="19.995000000000001"/>
    <s v="Low"/>
  </r>
  <r>
    <n v="250"/>
    <n v="14.41"/>
    <x v="2"/>
    <x v="0"/>
    <n v="1500"/>
    <n v="8.9"/>
    <n v="4.82"/>
    <n v="0.87"/>
    <n v="6.04"/>
    <n v="19"/>
    <x v="2"/>
    <s v="VALID"/>
    <n v="4.5789473684210526E-2"/>
    <x v="1"/>
    <n v="5.43"/>
    <s v="Low"/>
  </r>
  <r>
    <n v="250"/>
    <n v="10.15"/>
    <x v="1"/>
    <x v="0"/>
    <n v="2500"/>
    <n v="65.7"/>
    <n v="14.34"/>
    <n v="9.59"/>
    <n v="94.48"/>
    <n v="2"/>
    <x v="1"/>
    <s v="VALID"/>
    <n v="4.7949999999999999"/>
    <x v="0"/>
    <n v="54.410000000000004"/>
    <s v="Medium"/>
  </r>
  <r>
    <n v="1000"/>
    <n v="26.3"/>
    <x v="2"/>
    <x v="3"/>
    <n v="2500"/>
    <n v="34.4"/>
    <n v="19.5"/>
    <n v="6.68"/>
    <n v="25.4"/>
    <n v="10"/>
    <x v="1"/>
    <s v="VALID"/>
    <n v="0.66799999999999993"/>
    <x v="0"/>
    <n v="22.45"/>
    <s v="Low"/>
  </r>
  <r>
    <n v="1500"/>
    <n v="27.26"/>
    <x v="0"/>
    <x v="0"/>
    <n v="900"/>
    <n v="39.700000000000003"/>
    <n v="2.36"/>
    <n v="7.04"/>
    <n v="25.83"/>
    <n v="9"/>
    <x v="1"/>
    <s v="VALID"/>
    <n v="0.78222222222222226"/>
    <x v="0"/>
    <n v="14.094999999999999"/>
    <s v="Low"/>
  </r>
  <r>
    <n v="250"/>
    <n v="11.54"/>
    <x v="1"/>
    <x v="2"/>
    <n v="600"/>
    <n v="33.1"/>
    <n v="18.2"/>
    <n v="5.96"/>
    <n v="51.65"/>
    <n v="25"/>
    <x v="1"/>
    <s v="VALID"/>
    <n v="0.2384"/>
    <x v="1"/>
    <n v="34.924999999999997"/>
    <s v="Medium"/>
  </r>
  <r>
    <n v="250"/>
    <n v="11.08"/>
    <x v="0"/>
    <x v="0"/>
    <n v="900"/>
    <n v="75.3"/>
    <n v="5.85"/>
    <n v="4.92"/>
    <n v="44.4"/>
    <n v="21"/>
    <x v="0"/>
    <s v="VALID"/>
    <n v="0.23428571428571429"/>
    <x v="1"/>
    <n v="25.125"/>
    <s v="Low"/>
  </r>
  <r>
    <n v="300"/>
    <n v="7.51"/>
    <x v="1"/>
    <x v="2"/>
    <n v="300"/>
    <n v="118.2"/>
    <n v="10.35"/>
    <n v="1.69"/>
    <n v="22.5"/>
    <n v="11"/>
    <x v="2"/>
    <s v="VALID"/>
    <n v="0.15363636363636363"/>
    <x v="1"/>
    <n v="16.425000000000001"/>
    <s v="Low"/>
  </r>
  <r>
    <n v="800"/>
    <n v="17.38"/>
    <x v="3"/>
    <x v="3"/>
    <n v="1500"/>
    <n v="7.3"/>
    <n v="17.510000000000002"/>
    <n v="0.27"/>
    <n v="1.55"/>
    <n v="10"/>
    <x v="2"/>
    <s v="VALID"/>
    <n v="2.7000000000000003E-2"/>
    <x v="1"/>
    <n v="9.5300000000000011"/>
    <s v="Low"/>
  </r>
  <r>
    <n v="50"/>
    <n v="4.6100000000000003"/>
    <x v="3"/>
    <x v="3"/>
    <n v="150"/>
    <n v="62.2"/>
    <n v="0.31"/>
    <n v="0.81"/>
    <n v="17.57"/>
    <n v="13"/>
    <x v="2"/>
    <s v="VALID"/>
    <n v="6.2307692307692314E-2"/>
    <x v="0"/>
    <n v="8.94"/>
    <s v="Low"/>
  </r>
  <r>
    <n v="250"/>
    <n v="13.91"/>
    <x v="4"/>
    <x v="4"/>
    <n v="150"/>
    <n v="50.4"/>
    <n v="5.0999999999999996"/>
    <n v="6.97"/>
    <n v="50.11"/>
    <n v="20"/>
    <x v="1"/>
    <s v="VALID"/>
    <n v="0.34849999999999998"/>
    <x v="1"/>
    <n v="27.605"/>
    <s v="Low"/>
  </r>
  <r>
    <n v="200"/>
    <n v="6.18"/>
    <x v="3"/>
    <x v="2"/>
    <n v="1500"/>
    <n v="95.2"/>
    <n v="0.18"/>
    <n v="2.95"/>
    <n v="47.73"/>
    <n v="24"/>
    <x v="0"/>
    <s v="VALID"/>
    <n v="0.12291666666666667"/>
    <x v="1"/>
    <n v="23.954999999999998"/>
    <s v="Low"/>
  </r>
  <r>
    <n v="400"/>
    <n v="17.89"/>
    <x v="0"/>
    <x v="4"/>
    <n v="600"/>
    <n v="50.6"/>
    <n v="3.04"/>
    <n v="4.51"/>
    <n v="25.21"/>
    <n v="18"/>
    <x v="0"/>
    <s v="VALID"/>
    <n v="0.25055555555555553"/>
    <x v="0"/>
    <n v="14.125"/>
    <s v="Low"/>
  </r>
  <r>
    <n v="1200"/>
    <n v="29.45"/>
    <x v="2"/>
    <x v="4"/>
    <n v="300"/>
    <n v="52.3"/>
    <n v="10.23"/>
    <n v="8.92"/>
    <n v="30.29"/>
    <n v="25"/>
    <x v="1"/>
    <s v="VALID"/>
    <n v="0.35680000000000001"/>
    <x v="1"/>
    <n v="20.259999999999998"/>
    <s v="Low"/>
  </r>
  <r>
    <n v="600"/>
    <n v="19.72"/>
    <x v="1"/>
    <x v="1"/>
    <n v="1500"/>
    <n v="-16.8"/>
    <n v="10.41"/>
    <n v="2.66"/>
    <n v="13.49"/>
    <n v="3"/>
    <x v="0"/>
    <s v="VALID"/>
    <n v="0.88666666666666671"/>
    <x v="1"/>
    <n v="11.95"/>
    <s v="Low"/>
  </r>
  <r>
    <n v="300"/>
    <n v="15.03"/>
    <x v="4"/>
    <x v="0"/>
    <n v="600"/>
    <n v="54.8"/>
    <n v="14.85"/>
    <n v="7.96"/>
    <n v="52.96"/>
    <n v="5"/>
    <x v="1"/>
    <s v="VALID"/>
    <n v="1.5920000000000001"/>
    <x v="0"/>
    <n v="33.905000000000001"/>
    <s v="Medium"/>
  </r>
  <r>
    <n v="500"/>
    <n v="18.760000000000002"/>
    <x v="3"/>
    <x v="3"/>
    <n v="2500"/>
    <n v="45.7"/>
    <n v="13.43"/>
    <n v="0.11"/>
    <n v="0.59"/>
    <n v="12"/>
    <x v="2"/>
    <s v="VALID"/>
    <n v="9.1666666666666667E-3"/>
    <x v="1"/>
    <n v="7.01"/>
    <s v="Low"/>
  </r>
  <r>
    <n v="600"/>
    <n v="18.649999999999999"/>
    <x v="4"/>
    <x v="2"/>
    <n v="900"/>
    <n v="31.6"/>
    <n v="4.92"/>
    <n v="4.1500000000000004"/>
    <n v="22.25"/>
    <n v="12"/>
    <x v="0"/>
    <s v="VALID"/>
    <n v="0.34583333333333338"/>
    <x v="0"/>
    <n v="13.585000000000001"/>
    <s v="Low"/>
  </r>
  <r>
    <n v="200"/>
    <n v="6.48"/>
    <x v="2"/>
    <x v="0"/>
    <n v="300"/>
    <n v="15.5"/>
    <n v="2"/>
    <n v="9.5500000000000007"/>
    <n v="147.38"/>
    <n v="13"/>
    <x v="1"/>
    <s v="INVALID"/>
    <m/>
    <x v="2"/>
    <m/>
    <m/>
  </r>
  <r>
    <n v="500"/>
    <n v="19.579999999999998"/>
    <x v="0"/>
    <x v="4"/>
    <n v="900"/>
    <n v="89.8"/>
    <n v="6.51"/>
    <n v="4.78"/>
    <n v="24.41"/>
    <n v="7"/>
    <x v="0"/>
    <s v="VALID"/>
    <n v="0.68285714285714294"/>
    <x v="1"/>
    <n v="15.46"/>
    <s v="Low"/>
  </r>
  <r>
    <n v="50"/>
    <n v="3.59"/>
    <x v="3"/>
    <x v="0"/>
    <n v="300"/>
    <n v="63.5"/>
    <n v="4.6500000000000004"/>
    <n v="8.6199999999999992"/>
    <n v="240.11"/>
    <n v="2"/>
    <x v="1"/>
    <s v="INVALID"/>
    <m/>
    <x v="2"/>
    <m/>
    <m/>
  </r>
  <r>
    <n v="800"/>
    <n v="25.7"/>
    <x v="0"/>
    <x v="0"/>
    <n v="2500"/>
    <n v="77.7"/>
    <n v="13.12"/>
    <n v="8.1"/>
    <n v="31.52"/>
    <n v="18"/>
    <x v="1"/>
    <s v="VALID"/>
    <n v="0.44999999999999996"/>
    <x v="1"/>
    <n v="22.32"/>
    <s v="Low"/>
  </r>
  <r>
    <n v="400"/>
    <n v="19.8"/>
    <x v="3"/>
    <x v="2"/>
    <n v="1500"/>
    <n v="59.6"/>
    <n v="6.84"/>
    <n v="2.5"/>
    <n v="12.63"/>
    <n v="8"/>
    <x v="0"/>
    <s v="VALID"/>
    <n v="0.3125"/>
    <x v="0"/>
    <n v="9.7349999999999994"/>
    <s v="Low"/>
  </r>
  <r>
    <n v="300"/>
    <n v="7.67"/>
    <x v="3"/>
    <x v="3"/>
    <n v="600"/>
    <n v="24.5"/>
    <n v="3.81"/>
    <n v="3.54"/>
    <n v="46.15"/>
    <n v="18"/>
    <x v="0"/>
    <s v="VALID"/>
    <n v="0.19666666666666666"/>
    <x v="0"/>
    <n v="24.98"/>
    <s v="Low"/>
  </r>
  <r>
    <n v="800"/>
    <n v="30.43"/>
    <x v="1"/>
    <x v="3"/>
    <n v="300"/>
    <n v="-23.5"/>
    <n v="17.350000000000001"/>
    <n v="7.69"/>
    <n v="25.27"/>
    <n v="2"/>
    <x v="1"/>
    <s v="VALID"/>
    <n v="3.8450000000000002"/>
    <x v="1"/>
    <n v="21.310000000000002"/>
    <s v="Low"/>
  </r>
  <r>
    <n v="600"/>
    <n v="16.38"/>
    <x v="4"/>
    <x v="0"/>
    <n v="600"/>
    <n v="37.700000000000003"/>
    <n v="0.97"/>
    <n v="9.5500000000000007"/>
    <n v="58.3"/>
    <n v="8"/>
    <x v="1"/>
    <s v="VALID"/>
    <n v="1.1937500000000001"/>
    <x v="1"/>
    <n v="29.634999999999998"/>
    <s v="Low"/>
  </r>
  <r>
    <n v="300"/>
    <n v="16.23"/>
    <x v="1"/>
    <x v="1"/>
    <n v="1500"/>
    <n v="36"/>
    <n v="5.92"/>
    <n v="7.49"/>
    <n v="46.15"/>
    <n v="7"/>
    <x v="1"/>
    <s v="VALID"/>
    <n v="1.07"/>
    <x v="1"/>
    <n v="26.035"/>
    <s v="Low"/>
  </r>
  <r>
    <n v="1000"/>
    <n v="34.89"/>
    <x v="4"/>
    <x v="3"/>
    <n v="600"/>
    <n v="84.6"/>
    <n v="19.059999999999999"/>
    <n v="9.66"/>
    <n v="27.69"/>
    <n v="13"/>
    <x v="1"/>
    <s v="VALID"/>
    <n v="0.74307692307692308"/>
    <x v="0"/>
    <n v="23.375"/>
    <s v="Low"/>
  </r>
  <r>
    <n v="100"/>
    <n v="7.7"/>
    <x v="3"/>
    <x v="2"/>
    <n v="900"/>
    <n v="28.8"/>
    <n v="13.74"/>
    <n v="4.68"/>
    <n v="60.78"/>
    <n v="20"/>
    <x v="0"/>
    <s v="VALID"/>
    <n v="0.23399999999999999"/>
    <x v="1"/>
    <n v="37.26"/>
    <s v="Medium"/>
  </r>
  <r>
    <n v="1500"/>
    <n v="37.94"/>
    <x v="4"/>
    <x v="1"/>
    <n v="150"/>
    <n v="60.3"/>
    <n v="13.98"/>
    <n v="6.6"/>
    <n v="17.399999999999999"/>
    <n v="15"/>
    <x v="1"/>
    <s v="VALID"/>
    <n v="0.44"/>
    <x v="1"/>
    <n v="15.69"/>
    <s v="Low"/>
  </r>
  <r>
    <n v="300"/>
    <n v="12.84"/>
    <x v="4"/>
    <x v="4"/>
    <n v="300"/>
    <n v="81.8"/>
    <n v="16.55"/>
    <n v="2.9"/>
    <n v="22.59"/>
    <n v="22"/>
    <x v="0"/>
    <s v="VALID"/>
    <n v="0.13181818181818181"/>
    <x v="1"/>
    <n v="19.57"/>
    <s v="Low"/>
  </r>
  <r>
    <n v="1200"/>
    <n v="36.51"/>
    <x v="1"/>
    <x v="4"/>
    <n v="600"/>
    <n v="64.3"/>
    <n v="2.61"/>
    <n v="6"/>
    <n v="16.43"/>
    <n v="25"/>
    <x v="1"/>
    <s v="VALID"/>
    <n v="0.24"/>
    <x v="1"/>
    <n v="9.52"/>
    <s v="Low"/>
  </r>
  <r>
    <n v="150"/>
    <n v="8.25"/>
    <x v="0"/>
    <x v="2"/>
    <n v="600"/>
    <n v="34.799999999999997"/>
    <n v="11.25"/>
    <n v="8.85"/>
    <n v="107.27"/>
    <n v="22"/>
    <x v="1"/>
    <s v="INVALID"/>
    <m/>
    <x v="2"/>
    <m/>
    <m/>
  </r>
  <r>
    <n v="1000"/>
    <n v="17.059999999999999"/>
    <x v="4"/>
    <x v="4"/>
    <n v="300"/>
    <n v="-32.5"/>
    <n v="8.8000000000000007"/>
    <n v="2.63"/>
    <n v="15.42"/>
    <n v="2"/>
    <x v="0"/>
    <s v="VALID"/>
    <n v="1.3149999999999999"/>
    <x v="1"/>
    <n v="12.11"/>
    <s v="Low"/>
  </r>
  <r>
    <n v="1000"/>
    <n v="32.090000000000003"/>
    <x v="2"/>
    <x v="4"/>
    <n v="1500"/>
    <n v="25.5"/>
    <n v="13.34"/>
    <n v="4.12"/>
    <n v="12.84"/>
    <n v="20"/>
    <x v="0"/>
    <s v="VALID"/>
    <n v="0.20600000000000002"/>
    <x v="1"/>
    <n v="13.09"/>
    <s v="Low"/>
  </r>
  <r>
    <n v="100"/>
    <n v="5.0999999999999996"/>
    <x v="3"/>
    <x v="4"/>
    <n v="600"/>
    <n v="115.8"/>
    <n v="3.39"/>
    <n v="1.03"/>
    <n v="20.2"/>
    <n v="11"/>
    <x v="2"/>
    <s v="VALID"/>
    <n v="9.3636363636363643E-2"/>
    <x v="0"/>
    <n v="11.795"/>
    <s v="Low"/>
  </r>
  <r>
    <n v="500"/>
    <n v="11.45"/>
    <x v="4"/>
    <x v="4"/>
    <n v="300"/>
    <n v="29.5"/>
    <n v="0.28999999999999998"/>
    <n v="7.15"/>
    <n v="62.45"/>
    <n v="2"/>
    <x v="1"/>
    <s v="VALID"/>
    <n v="3.5750000000000002"/>
    <x v="1"/>
    <n v="31.37"/>
    <s v="Medium"/>
  </r>
  <r>
    <n v="100"/>
    <n v="5.64"/>
    <x v="3"/>
    <x v="1"/>
    <n v="900"/>
    <n v="20.9"/>
    <n v="6.42"/>
    <n v="4.88"/>
    <n v="86.52"/>
    <n v="2"/>
    <x v="0"/>
    <s v="VALID"/>
    <n v="2.44"/>
    <x v="1"/>
    <n v="46.47"/>
    <s v="Medium"/>
  </r>
  <r>
    <n v="1500"/>
    <n v="41.19"/>
    <x v="0"/>
    <x v="0"/>
    <n v="600"/>
    <n v="81"/>
    <n v="4.5999999999999996"/>
    <n v="9.33"/>
    <n v="22.65"/>
    <n v="22"/>
    <x v="1"/>
    <s v="VALID"/>
    <n v="0.42409090909090907"/>
    <x v="1"/>
    <n v="13.625"/>
    <s v="Low"/>
  </r>
  <r>
    <n v="250"/>
    <n v="6.62"/>
    <x v="4"/>
    <x v="1"/>
    <n v="1500"/>
    <n v="36.9"/>
    <n v="18.18"/>
    <n v="0.01"/>
    <n v="0.15"/>
    <n v="16"/>
    <x v="2"/>
    <s v="VALID"/>
    <n v="6.2500000000000001E-4"/>
    <x v="1"/>
    <n v="9.1649999999999991"/>
    <s v="Low"/>
  </r>
  <r>
    <n v="300"/>
    <n v="14.69"/>
    <x v="1"/>
    <x v="0"/>
    <n v="300"/>
    <n v="38.799999999999997"/>
    <n v="6.6"/>
    <n v="5.59"/>
    <n v="38.049999999999997"/>
    <n v="18"/>
    <x v="1"/>
    <s v="VALID"/>
    <n v="0.31055555555555553"/>
    <x v="0"/>
    <n v="22.324999999999999"/>
    <s v="Low"/>
  </r>
  <r>
    <n v="200"/>
    <n v="7.08"/>
    <x v="4"/>
    <x v="4"/>
    <n v="600"/>
    <n v="-7.9"/>
    <n v="10.46"/>
    <n v="4.7300000000000004"/>
    <n v="66.81"/>
    <n v="20"/>
    <x v="0"/>
    <s v="VALID"/>
    <n v="0.23650000000000002"/>
    <x v="1"/>
    <n v="38.635000000000005"/>
    <s v="Medium"/>
  </r>
  <r>
    <n v="50"/>
    <n v="3.2"/>
    <x v="1"/>
    <x v="0"/>
    <n v="900"/>
    <n v="75.5"/>
    <n v="19.11"/>
    <n v="7.07"/>
    <n v="220.94"/>
    <n v="4"/>
    <x v="1"/>
    <s v="INVALID"/>
    <m/>
    <x v="2"/>
    <m/>
    <m/>
  </r>
  <r>
    <n v="250"/>
    <n v="11.01"/>
    <x v="3"/>
    <x v="1"/>
    <n v="300"/>
    <n v="4.0999999999999996"/>
    <n v="19.649999999999999"/>
    <n v="2.08"/>
    <n v="18.89"/>
    <n v="3"/>
    <x v="0"/>
    <s v="VALID"/>
    <n v="0.69333333333333336"/>
    <x v="1"/>
    <n v="19.27"/>
    <s v="Low"/>
  </r>
  <r>
    <n v="250"/>
    <n v="7.62"/>
    <x v="1"/>
    <x v="0"/>
    <n v="900"/>
    <n v="51.7"/>
    <n v="13.11"/>
    <n v="5.51"/>
    <n v="72.31"/>
    <n v="11"/>
    <x v="1"/>
    <s v="VALID"/>
    <n v="0.50090909090909086"/>
    <x v="1"/>
    <n v="42.71"/>
    <s v="Medium"/>
  </r>
  <r>
    <n v="50"/>
    <n v="3.33"/>
    <x v="1"/>
    <x v="2"/>
    <n v="150"/>
    <n v="32.5"/>
    <n v="1.52"/>
    <n v="5.86"/>
    <n v="175.98"/>
    <n v="18"/>
    <x v="1"/>
    <s v="INVALID"/>
    <m/>
    <x v="2"/>
    <m/>
    <m/>
  </r>
  <r>
    <n v="400"/>
    <n v="10.62"/>
    <x v="3"/>
    <x v="3"/>
    <n v="150"/>
    <n v="52.7"/>
    <n v="15.45"/>
    <n v="5.39"/>
    <n v="50.75"/>
    <n v="21"/>
    <x v="1"/>
    <s v="VALID"/>
    <n v="0.25666666666666665"/>
    <x v="1"/>
    <n v="33.1"/>
    <s v="Medium"/>
  </r>
  <r>
    <n v="400"/>
    <n v="13.53"/>
    <x v="2"/>
    <x v="0"/>
    <n v="150"/>
    <n v="44.8"/>
    <n v="8.3699999999999992"/>
    <n v="0.52"/>
    <n v="3.84"/>
    <n v="10"/>
    <x v="2"/>
    <s v="VALID"/>
    <n v="5.2000000000000005E-2"/>
    <x v="1"/>
    <n v="6.1049999999999995"/>
    <s v="Low"/>
  </r>
  <r>
    <n v="800"/>
    <n v="12.09"/>
    <x v="2"/>
    <x v="2"/>
    <n v="1500"/>
    <n v="10.5"/>
    <n v="0.11"/>
    <n v="3.74"/>
    <n v="30.93"/>
    <n v="24"/>
    <x v="0"/>
    <s v="VALID"/>
    <n v="0.15583333333333335"/>
    <x v="1"/>
    <n v="15.52"/>
    <s v="Low"/>
  </r>
  <r>
    <n v="1500"/>
    <n v="43.41"/>
    <x v="0"/>
    <x v="2"/>
    <n v="300"/>
    <n v="42"/>
    <n v="2.09"/>
    <n v="1.95"/>
    <n v="4.49"/>
    <n v="12"/>
    <x v="2"/>
    <s v="VALID"/>
    <n v="0.16250000000000001"/>
    <x v="0"/>
    <n v="3.29"/>
    <s v="Low"/>
  </r>
  <r>
    <n v="50"/>
    <n v="5.21"/>
    <x v="3"/>
    <x v="2"/>
    <n v="2500"/>
    <n v="17.399999999999999"/>
    <n v="3.97"/>
    <n v="7.35"/>
    <n v="141.07"/>
    <n v="2"/>
    <x v="1"/>
    <s v="INVALID"/>
    <m/>
    <x v="2"/>
    <m/>
    <m/>
  </r>
  <r>
    <n v="500"/>
    <n v="18.46"/>
    <x v="2"/>
    <x v="3"/>
    <n v="2500"/>
    <n v="21"/>
    <n v="12.59"/>
    <n v="9.89"/>
    <n v="53.58"/>
    <n v="20"/>
    <x v="1"/>
    <s v="VALID"/>
    <n v="0.49450000000000005"/>
    <x v="0"/>
    <n v="33.085000000000001"/>
    <s v="Medium"/>
  </r>
  <r>
    <n v="50"/>
    <n v="4.03"/>
    <x v="2"/>
    <x v="1"/>
    <n v="150"/>
    <n v="32.700000000000003"/>
    <n v="19.88"/>
    <n v="0.2"/>
    <n v="4.96"/>
    <n v="6"/>
    <x v="2"/>
    <s v="VALID"/>
    <n v="3.3333333333333333E-2"/>
    <x v="0"/>
    <n v="12.42"/>
    <s v="Low"/>
  </r>
  <r>
    <n v="200"/>
    <n v="6.58"/>
    <x v="4"/>
    <x v="4"/>
    <n v="300"/>
    <n v="78.8"/>
    <n v="7.47"/>
    <n v="1.97"/>
    <n v="29.94"/>
    <n v="19"/>
    <x v="2"/>
    <s v="VALID"/>
    <n v="0.10368421052631578"/>
    <x v="1"/>
    <n v="18.705000000000002"/>
    <s v="Low"/>
  </r>
  <r>
    <n v="800"/>
    <n v="15.93"/>
    <x v="2"/>
    <x v="4"/>
    <n v="1500"/>
    <n v="31"/>
    <n v="16.53"/>
    <n v="0.34"/>
    <n v="2.13"/>
    <n v="20"/>
    <x v="2"/>
    <s v="VALID"/>
    <n v="1.7000000000000001E-2"/>
    <x v="1"/>
    <n v="9.33"/>
    <s v="Low"/>
  </r>
  <r>
    <n v="600"/>
    <n v="10.33"/>
    <x v="1"/>
    <x v="0"/>
    <n v="300"/>
    <n v="95.8"/>
    <n v="3.46"/>
    <n v="7.68"/>
    <n v="74.349999999999994"/>
    <n v="4"/>
    <x v="1"/>
    <s v="VALID"/>
    <n v="1.92"/>
    <x v="0"/>
    <n v="38.904999999999994"/>
    <s v="Medium"/>
  </r>
  <r>
    <n v="400"/>
    <n v="18.23"/>
    <x v="4"/>
    <x v="0"/>
    <n v="1500"/>
    <n v="49.1"/>
    <n v="1.07"/>
    <n v="1.63"/>
    <n v="8.94"/>
    <n v="4"/>
    <x v="2"/>
    <s v="VALID"/>
    <n v="0.40749999999999997"/>
    <x v="1"/>
    <n v="5.0049999999999999"/>
    <s v="Low"/>
  </r>
  <r>
    <n v="800"/>
    <n v="17.28"/>
    <x v="1"/>
    <x v="2"/>
    <n v="300"/>
    <n v="45.5"/>
    <n v="4.3899999999999997"/>
    <n v="0.91"/>
    <n v="5.27"/>
    <n v="3"/>
    <x v="2"/>
    <s v="VALID"/>
    <n v="0.30333333333333334"/>
    <x v="0"/>
    <n v="4.83"/>
    <s v="Low"/>
  </r>
  <r>
    <n v="150"/>
    <n v="6.29"/>
    <x v="3"/>
    <x v="3"/>
    <n v="1500"/>
    <n v="-2.9"/>
    <n v="10.56"/>
    <n v="0.23"/>
    <n v="3.66"/>
    <n v="23"/>
    <x v="2"/>
    <s v="VALID"/>
    <n v="0.01"/>
    <x v="1"/>
    <n v="7.11"/>
    <s v="Low"/>
  </r>
  <r>
    <n v="300"/>
    <n v="17.170000000000002"/>
    <x v="3"/>
    <x v="1"/>
    <n v="2500"/>
    <n v="46.2"/>
    <n v="8.3800000000000008"/>
    <n v="4.7"/>
    <n v="27.37"/>
    <n v="11"/>
    <x v="0"/>
    <s v="VALID"/>
    <n v="0.4272727272727273"/>
    <x v="0"/>
    <n v="17.875"/>
    <s v="Low"/>
  </r>
  <r>
    <n v="400"/>
    <n v="11.98"/>
    <x v="0"/>
    <x v="0"/>
    <n v="300"/>
    <n v="-44.1"/>
    <n v="16.96"/>
    <n v="1.54"/>
    <n v="12.85"/>
    <n v="8"/>
    <x v="2"/>
    <s v="VALID"/>
    <n v="0.1925"/>
    <x v="0"/>
    <n v="14.905000000000001"/>
    <s v="Low"/>
  </r>
  <r>
    <n v="250"/>
    <n v="8.74"/>
    <x v="0"/>
    <x v="0"/>
    <n v="2500"/>
    <n v="22.6"/>
    <n v="3.9"/>
    <n v="4.41"/>
    <n v="50.46"/>
    <n v="19"/>
    <x v="0"/>
    <s v="VALID"/>
    <n v="0.23210526315789473"/>
    <x v="1"/>
    <n v="27.18"/>
    <s v="Low"/>
  </r>
  <r>
    <n v="200"/>
    <n v="10.26"/>
    <x v="4"/>
    <x v="0"/>
    <n v="600"/>
    <n v="24.1"/>
    <n v="11.01"/>
    <n v="0.12"/>
    <n v="1.17"/>
    <n v="24"/>
    <x v="2"/>
    <s v="VALID"/>
    <n v="5.0000000000000001E-3"/>
    <x v="0"/>
    <n v="6.09"/>
    <s v="Low"/>
  </r>
  <r>
    <n v="500"/>
    <n v="23.22"/>
    <x v="1"/>
    <x v="0"/>
    <n v="900"/>
    <n v="46.8"/>
    <n v="13.79"/>
    <n v="3.08"/>
    <n v="13.26"/>
    <n v="18"/>
    <x v="0"/>
    <s v="VALID"/>
    <n v="0.1711111111111111"/>
    <x v="1"/>
    <n v="13.524999999999999"/>
    <s v="Low"/>
  </r>
  <r>
    <n v="500"/>
    <n v="13.5"/>
    <x v="1"/>
    <x v="3"/>
    <n v="300"/>
    <n v="-10.1"/>
    <n v="9.9"/>
    <n v="5.45"/>
    <n v="40.369999999999997"/>
    <n v="25"/>
    <x v="1"/>
    <s v="VALID"/>
    <n v="0.218"/>
    <x v="1"/>
    <n v="25.134999999999998"/>
    <s v="Low"/>
  </r>
  <r>
    <n v="250"/>
    <n v="8.83"/>
    <x v="3"/>
    <x v="0"/>
    <n v="2500"/>
    <n v="80.099999999999994"/>
    <n v="4.16"/>
    <n v="2.2200000000000002"/>
    <n v="25.14"/>
    <n v="20"/>
    <x v="0"/>
    <s v="VALID"/>
    <n v="0.11100000000000002"/>
    <x v="1"/>
    <n v="14.65"/>
    <s v="Low"/>
  </r>
  <r>
    <n v="100"/>
    <n v="6.22"/>
    <x v="3"/>
    <x v="3"/>
    <n v="1500"/>
    <n v="48.5"/>
    <n v="6.68"/>
    <n v="4.13"/>
    <n v="66.400000000000006"/>
    <n v="21"/>
    <x v="0"/>
    <s v="VALID"/>
    <n v="0.19666666666666666"/>
    <x v="0"/>
    <n v="36.540000000000006"/>
    <s v="Medium"/>
  </r>
  <r>
    <n v="50"/>
    <n v="4.59"/>
    <x v="4"/>
    <x v="4"/>
    <n v="600"/>
    <n v="53"/>
    <n v="19.59"/>
    <n v="9.6199999999999992"/>
    <n v="209.59"/>
    <n v="1"/>
    <x v="1"/>
    <s v="INVALID"/>
    <m/>
    <x v="2"/>
    <m/>
    <m/>
  </r>
  <r>
    <n v="250"/>
    <n v="13.97"/>
    <x v="3"/>
    <x v="0"/>
    <n v="2500"/>
    <n v="91.2"/>
    <n v="6.08"/>
    <n v="2.31"/>
    <n v="16.54"/>
    <n v="15"/>
    <x v="0"/>
    <s v="VALID"/>
    <n v="0.154"/>
    <x v="1"/>
    <n v="11.309999999999999"/>
    <s v="Low"/>
  </r>
  <r>
    <n v="250"/>
    <n v="7.81"/>
    <x v="4"/>
    <x v="1"/>
    <n v="2500"/>
    <n v="0.2"/>
    <n v="4.22"/>
    <n v="8.43"/>
    <n v="107.94"/>
    <n v="20"/>
    <x v="1"/>
    <s v="INVALID"/>
    <m/>
    <x v="2"/>
    <m/>
    <m/>
  </r>
  <r>
    <n v="500"/>
    <n v="17.25"/>
    <x v="3"/>
    <x v="2"/>
    <n v="900"/>
    <n v="115.9"/>
    <n v="3.95"/>
    <n v="3.41"/>
    <n v="19.77"/>
    <n v="3"/>
    <x v="0"/>
    <s v="VALID"/>
    <n v="1.1366666666666667"/>
    <x v="0"/>
    <n v="11.86"/>
    <s v="Low"/>
  </r>
  <r>
    <n v="1500"/>
    <n v="38.44"/>
    <x v="2"/>
    <x v="2"/>
    <n v="2500"/>
    <n v="84.5"/>
    <n v="19.2"/>
    <n v="7.43"/>
    <n v="19.329999999999998"/>
    <n v="15"/>
    <x v="1"/>
    <s v="VALID"/>
    <n v="0.49533333333333329"/>
    <x v="1"/>
    <n v="19.265000000000001"/>
    <s v="Low"/>
  </r>
  <r>
    <n v="1000"/>
    <n v="19.27"/>
    <x v="0"/>
    <x v="4"/>
    <n v="1500"/>
    <n v="14.9"/>
    <n v="1.18"/>
    <n v="5.13"/>
    <n v="26.62"/>
    <n v="11"/>
    <x v="1"/>
    <s v="VALID"/>
    <n v="0.46636363636363637"/>
    <x v="0"/>
    <n v="13.9"/>
    <s v="Low"/>
  </r>
  <r>
    <n v="600"/>
    <n v="27.65"/>
    <x v="0"/>
    <x v="2"/>
    <n v="1500"/>
    <n v="59.7"/>
    <n v="15.54"/>
    <n v="7.65"/>
    <n v="27.67"/>
    <n v="14"/>
    <x v="1"/>
    <s v="VALID"/>
    <n v="0.54642857142857149"/>
    <x v="0"/>
    <n v="21.605"/>
    <s v="Low"/>
  </r>
  <r>
    <n v="250"/>
    <n v="10.91"/>
    <x v="3"/>
    <x v="0"/>
    <n v="600"/>
    <n v="101"/>
    <n v="16.72"/>
    <n v="3.49"/>
    <n v="31.99"/>
    <n v="21"/>
    <x v="0"/>
    <s v="VALID"/>
    <n v="0.16619047619047619"/>
    <x v="0"/>
    <n v="24.354999999999997"/>
    <s v="Low"/>
  </r>
  <r>
    <n v="250"/>
    <n v="8.36"/>
    <x v="0"/>
    <x v="2"/>
    <n v="2500"/>
    <n v="13.4"/>
    <n v="0.78"/>
    <n v="2.6"/>
    <n v="31.1"/>
    <n v="14"/>
    <x v="0"/>
    <s v="VALID"/>
    <n v="0.18571428571428572"/>
    <x v="1"/>
    <n v="15.940000000000001"/>
    <s v="Low"/>
  </r>
  <r>
    <n v="1200"/>
    <n v="39.82"/>
    <x v="1"/>
    <x v="3"/>
    <n v="150"/>
    <n v="85.1"/>
    <n v="3.94"/>
    <n v="8.5"/>
    <n v="21.35"/>
    <n v="8"/>
    <x v="1"/>
    <s v="VALID"/>
    <n v="1.0625"/>
    <x v="0"/>
    <n v="12.645000000000001"/>
    <s v="Low"/>
  </r>
  <r>
    <n v="1200"/>
    <n v="29.76"/>
    <x v="2"/>
    <x v="0"/>
    <n v="1500"/>
    <n v="26.7"/>
    <n v="2.75"/>
    <n v="9.7100000000000009"/>
    <n v="32.630000000000003"/>
    <n v="14"/>
    <x v="1"/>
    <s v="VALID"/>
    <n v="0.69357142857142862"/>
    <x v="1"/>
    <n v="17.690000000000001"/>
    <s v="Low"/>
  </r>
  <r>
    <n v="250"/>
    <n v="14.25"/>
    <x v="3"/>
    <x v="1"/>
    <n v="600"/>
    <n v="78.3"/>
    <n v="8.49"/>
    <n v="4.82"/>
    <n v="33.82"/>
    <n v="11"/>
    <x v="0"/>
    <s v="VALID"/>
    <n v="0.43818181818181823"/>
    <x v="0"/>
    <n v="21.155000000000001"/>
    <s v="Low"/>
  </r>
  <r>
    <n v="100"/>
    <n v="7.2"/>
    <x v="1"/>
    <x v="2"/>
    <n v="300"/>
    <n v="56"/>
    <n v="4.5199999999999996"/>
    <n v="2.54"/>
    <n v="35.28"/>
    <n v="11"/>
    <x v="0"/>
    <s v="VALID"/>
    <n v="0.23090909090909092"/>
    <x v="1"/>
    <n v="19.899999999999999"/>
    <s v="Low"/>
  </r>
  <r>
    <n v="200"/>
    <n v="6"/>
    <x v="0"/>
    <x v="0"/>
    <n v="2500"/>
    <n v="54.9"/>
    <n v="6.59"/>
    <n v="2.97"/>
    <n v="49.5"/>
    <n v="3"/>
    <x v="0"/>
    <s v="VALID"/>
    <n v="0.9900000000000001"/>
    <x v="1"/>
    <n v="28.045000000000002"/>
    <s v="Low"/>
  </r>
  <r>
    <n v="150"/>
    <n v="7.85"/>
    <x v="4"/>
    <x v="4"/>
    <n v="1500"/>
    <n v="80.3"/>
    <n v="13.23"/>
    <n v="4.91"/>
    <n v="62.55"/>
    <n v="13"/>
    <x v="0"/>
    <s v="VALID"/>
    <n v="0.37769230769230772"/>
    <x v="0"/>
    <n v="37.89"/>
    <s v="Medium"/>
  </r>
  <r>
    <n v="200"/>
    <n v="6.59"/>
    <x v="4"/>
    <x v="3"/>
    <n v="900"/>
    <n v="21.4"/>
    <n v="12.65"/>
    <n v="1.39"/>
    <n v="21.09"/>
    <n v="17"/>
    <x v="2"/>
    <s v="VALID"/>
    <n v="8.1764705882352934E-2"/>
    <x v="0"/>
    <n v="16.87"/>
    <s v="Low"/>
  </r>
  <r>
    <n v="1500"/>
    <n v="23.28"/>
    <x v="1"/>
    <x v="4"/>
    <n v="300"/>
    <n v="55.9"/>
    <n v="7.31"/>
    <n v="3.44"/>
    <n v="14.78"/>
    <n v="24"/>
    <x v="0"/>
    <s v="VALID"/>
    <n v="0.14333333333333334"/>
    <x v="1"/>
    <n v="11.045"/>
    <s v="Low"/>
  </r>
  <r>
    <n v="200"/>
    <n v="8.9499999999999993"/>
    <x v="3"/>
    <x v="1"/>
    <n v="2500"/>
    <n v="-14.8"/>
    <n v="7.22"/>
    <n v="4.9000000000000004"/>
    <n v="54.75"/>
    <n v="20"/>
    <x v="0"/>
    <s v="VALID"/>
    <n v="0.24500000000000002"/>
    <x v="1"/>
    <n v="30.984999999999999"/>
    <s v="Medium"/>
  </r>
  <r>
    <n v="500"/>
    <n v="23.11"/>
    <x v="0"/>
    <x v="4"/>
    <n v="900"/>
    <n v="-25.8"/>
    <n v="0.55000000000000004"/>
    <n v="7.04"/>
    <n v="30.46"/>
    <n v="19"/>
    <x v="1"/>
    <s v="VALID"/>
    <n v="0.3705263157894737"/>
    <x v="0"/>
    <n v="15.505000000000001"/>
    <s v="Low"/>
  </r>
  <r>
    <n v="250"/>
    <n v="7.67"/>
    <x v="0"/>
    <x v="0"/>
    <n v="300"/>
    <n v="17"/>
    <n v="13.07"/>
    <n v="4.5599999999999996"/>
    <n v="59.45"/>
    <n v="14"/>
    <x v="0"/>
    <s v="VALID"/>
    <n v="0.32571428571428568"/>
    <x v="1"/>
    <n v="36.260000000000005"/>
    <s v="Medium"/>
  </r>
  <r>
    <n v="100"/>
    <n v="5.1100000000000003"/>
    <x v="1"/>
    <x v="3"/>
    <n v="300"/>
    <n v="29.8"/>
    <n v="9.35"/>
    <n v="8.5399999999999991"/>
    <n v="167.12"/>
    <n v="12"/>
    <x v="1"/>
    <s v="INVALID"/>
    <m/>
    <x v="2"/>
    <m/>
    <m/>
  </r>
  <r>
    <n v="150"/>
    <n v="5.98"/>
    <x v="0"/>
    <x v="0"/>
    <n v="150"/>
    <n v="30"/>
    <n v="16"/>
    <n v="8.4700000000000006"/>
    <n v="141.63999999999999"/>
    <n v="2"/>
    <x v="1"/>
    <s v="INVALID"/>
    <m/>
    <x v="2"/>
    <m/>
    <m/>
  </r>
  <r>
    <n v="500"/>
    <n v="11.8"/>
    <x v="4"/>
    <x v="3"/>
    <n v="1500"/>
    <n v="9"/>
    <n v="4.58"/>
    <n v="7.75"/>
    <n v="65.680000000000007"/>
    <n v="7"/>
    <x v="1"/>
    <s v="VALID"/>
    <n v="1.1071428571428572"/>
    <x v="1"/>
    <n v="35.130000000000003"/>
    <s v="Medium"/>
  </r>
  <r>
    <n v="100"/>
    <n v="7.56"/>
    <x v="1"/>
    <x v="1"/>
    <n v="150"/>
    <n v="38.4"/>
    <n v="9.0500000000000007"/>
    <n v="2.2200000000000002"/>
    <n v="29.37"/>
    <n v="25"/>
    <x v="0"/>
    <s v="VALID"/>
    <n v="8.8800000000000004E-2"/>
    <x v="0"/>
    <n v="19.21"/>
    <s v="Low"/>
  </r>
  <r>
    <n v="250"/>
    <n v="12.07"/>
    <x v="2"/>
    <x v="2"/>
    <n v="600"/>
    <n v="5.4"/>
    <n v="2.33"/>
    <n v="9.1999999999999993"/>
    <n v="76.22"/>
    <n v="17"/>
    <x v="1"/>
    <s v="VALID"/>
    <n v="0.54117647058823526"/>
    <x v="1"/>
    <n v="39.274999999999999"/>
    <s v="Medium"/>
  </r>
  <r>
    <n v="400"/>
    <n v="15.86"/>
    <x v="0"/>
    <x v="0"/>
    <n v="150"/>
    <n v="24"/>
    <n v="1.32"/>
    <n v="1.06"/>
    <n v="6.68"/>
    <n v="1"/>
    <x v="2"/>
    <s v="VALID"/>
    <n v="1.06"/>
    <x v="1"/>
    <n v="4"/>
    <s v="Low"/>
  </r>
  <r>
    <n v="150"/>
    <n v="5.86"/>
    <x v="1"/>
    <x v="0"/>
    <n v="900"/>
    <n v="-9"/>
    <n v="1.97"/>
    <n v="4.22"/>
    <n v="72.010000000000005"/>
    <n v="7"/>
    <x v="0"/>
    <s v="VALID"/>
    <n v="0.60285714285714287"/>
    <x v="1"/>
    <n v="36.99"/>
    <s v="Medium"/>
  </r>
  <r>
    <n v="250"/>
    <n v="10.98"/>
    <x v="0"/>
    <x v="2"/>
    <n v="300"/>
    <n v="-13"/>
    <n v="8.3000000000000007"/>
    <n v="5.05"/>
    <n v="45.99"/>
    <n v="23"/>
    <x v="1"/>
    <s v="VALID"/>
    <n v="0.21956521739130433"/>
    <x v="1"/>
    <n v="27.145000000000003"/>
    <s v="Low"/>
  </r>
  <r>
    <n v="1000"/>
    <n v="20.36"/>
    <x v="4"/>
    <x v="3"/>
    <n v="600"/>
    <n v="73.400000000000006"/>
    <n v="9.77"/>
    <n v="5.07"/>
    <n v="24.9"/>
    <n v="20"/>
    <x v="1"/>
    <s v="VALID"/>
    <n v="0.2535"/>
    <x v="1"/>
    <n v="17.335000000000001"/>
    <s v="Low"/>
  </r>
  <r>
    <n v="300"/>
    <n v="9.5"/>
    <x v="0"/>
    <x v="3"/>
    <n v="1500"/>
    <n v="63.9"/>
    <n v="1.68"/>
    <n v="1.77"/>
    <n v="18.63"/>
    <n v="20"/>
    <x v="2"/>
    <s v="VALID"/>
    <n v="8.8499999999999995E-2"/>
    <x v="1"/>
    <n v="10.154999999999999"/>
    <s v="Low"/>
  </r>
  <r>
    <n v="250"/>
    <n v="11.93"/>
    <x v="4"/>
    <x v="0"/>
    <n v="900"/>
    <n v="-1.5"/>
    <n v="13.99"/>
    <n v="9.0500000000000007"/>
    <n v="75.86"/>
    <n v="1"/>
    <x v="1"/>
    <s v="VALID"/>
    <n v="9.0500000000000007"/>
    <x v="0"/>
    <n v="44.924999999999997"/>
    <s v="Medium"/>
  </r>
  <r>
    <n v="100"/>
    <n v="6.48"/>
    <x v="0"/>
    <x v="1"/>
    <n v="1500"/>
    <n v="25.2"/>
    <n v="19.86"/>
    <n v="0.84"/>
    <n v="12.96"/>
    <n v="3"/>
    <x v="2"/>
    <s v="VALID"/>
    <n v="0.27999999999999997"/>
    <x v="1"/>
    <n v="16.41"/>
    <s v="Low"/>
  </r>
  <r>
    <n v="1500"/>
    <n v="32.42"/>
    <x v="0"/>
    <x v="0"/>
    <n v="2500"/>
    <n v="52.5"/>
    <n v="14.33"/>
    <n v="0.35"/>
    <n v="1.08"/>
    <n v="9"/>
    <x v="2"/>
    <s v="VALID"/>
    <n v="3.888888888888889E-2"/>
    <x v="0"/>
    <n v="7.7050000000000001"/>
    <s v="Low"/>
  </r>
  <r>
    <n v="50"/>
    <n v="5.91"/>
    <x v="4"/>
    <x v="0"/>
    <n v="1500"/>
    <n v="69.5"/>
    <n v="12.51"/>
    <n v="2.88"/>
    <n v="48.73"/>
    <n v="3"/>
    <x v="0"/>
    <s v="VALID"/>
    <n v="0.96"/>
    <x v="0"/>
    <n v="30.619999999999997"/>
    <s v="Medium"/>
  </r>
  <r>
    <n v="1200"/>
    <n v="38.4"/>
    <x v="0"/>
    <x v="1"/>
    <n v="150"/>
    <n v="55.4"/>
    <n v="4.88"/>
    <n v="5.01"/>
    <n v="13.05"/>
    <n v="4"/>
    <x v="1"/>
    <s v="VALID"/>
    <n v="1.2524999999999999"/>
    <x v="0"/>
    <n v="8.9649999999999999"/>
    <s v="Low"/>
  </r>
  <r>
    <n v="400"/>
    <n v="17.670000000000002"/>
    <x v="4"/>
    <x v="4"/>
    <n v="1500"/>
    <n v="93.7"/>
    <n v="2.4300000000000002"/>
    <n v="4.28"/>
    <n v="24.22"/>
    <n v="16"/>
    <x v="0"/>
    <s v="VALID"/>
    <n v="0.26750000000000002"/>
    <x v="1"/>
    <n v="13.324999999999999"/>
    <s v="Low"/>
  </r>
  <r>
    <n v="1500"/>
    <n v="32.43"/>
    <x v="0"/>
    <x v="3"/>
    <n v="1500"/>
    <n v="74.099999999999994"/>
    <n v="10.62"/>
    <n v="5.41"/>
    <n v="16.68"/>
    <n v="10"/>
    <x v="1"/>
    <s v="VALID"/>
    <n v="0.54100000000000004"/>
    <x v="0"/>
    <n v="13.649999999999999"/>
    <s v="Low"/>
  </r>
  <r>
    <n v="50"/>
    <n v="5.77"/>
    <x v="2"/>
    <x v="1"/>
    <n v="600"/>
    <n v="145.9"/>
    <n v="15.87"/>
    <n v="3.71"/>
    <n v="64.3"/>
    <n v="17"/>
    <x v="0"/>
    <s v="VALID"/>
    <n v="0.21823529411764706"/>
    <x v="0"/>
    <n v="40.085000000000001"/>
    <s v="Medium"/>
  </r>
  <r>
    <n v="500"/>
    <n v="24.6"/>
    <x v="3"/>
    <x v="0"/>
    <n v="2500"/>
    <n v="112.2"/>
    <n v="3.86"/>
    <n v="4.95"/>
    <n v="20.12"/>
    <n v="20"/>
    <x v="0"/>
    <s v="VALID"/>
    <n v="0.2475"/>
    <x v="1"/>
    <n v="11.99"/>
    <s v="Low"/>
  </r>
  <r>
    <n v="1000"/>
    <n v="17.02"/>
    <x v="4"/>
    <x v="3"/>
    <n v="2500"/>
    <n v="59.2"/>
    <n v="12.76"/>
    <n v="4.63"/>
    <n v="27.2"/>
    <n v="12"/>
    <x v="0"/>
    <s v="VALID"/>
    <n v="0.38583333333333331"/>
    <x v="0"/>
    <n v="19.98"/>
    <s v="Low"/>
  </r>
  <r>
    <n v="500"/>
    <n v="20.74"/>
    <x v="3"/>
    <x v="2"/>
    <n v="900"/>
    <n v="76.599999999999994"/>
    <n v="8.08"/>
    <n v="6.73"/>
    <n v="32.450000000000003"/>
    <n v="21"/>
    <x v="1"/>
    <s v="VALID"/>
    <n v="0.32047619047619047"/>
    <x v="0"/>
    <n v="20.265000000000001"/>
    <s v="Low"/>
  </r>
  <r>
    <n v="50"/>
    <n v="4.6399999999999997"/>
    <x v="2"/>
    <x v="1"/>
    <n v="300"/>
    <n v="43.9"/>
    <n v="10.26"/>
    <n v="6.19"/>
    <n v="133.41"/>
    <n v="12"/>
    <x v="1"/>
    <s v="INVALID"/>
    <m/>
    <x v="2"/>
    <m/>
    <m/>
  </r>
  <r>
    <n v="100"/>
    <n v="7.34"/>
    <x v="4"/>
    <x v="2"/>
    <n v="150"/>
    <n v="43.4"/>
    <n v="0.36"/>
    <n v="5.22"/>
    <n v="71.12"/>
    <n v="6"/>
    <x v="1"/>
    <s v="VALID"/>
    <n v="0.87"/>
    <x v="1"/>
    <n v="35.74"/>
    <s v="Medium"/>
  </r>
  <r>
    <n v="200"/>
    <n v="7.11"/>
    <x v="4"/>
    <x v="3"/>
    <n v="900"/>
    <n v="82.3"/>
    <n v="19.23"/>
    <n v="9.02"/>
    <n v="126.86"/>
    <n v="8"/>
    <x v="1"/>
    <s v="INVALID"/>
    <m/>
    <x v="2"/>
    <m/>
    <m/>
  </r>
  <r>
    <n v="150"/>
    <n v="8.14"/>
    <x v="2"/>
    <x v="2"/>
    <n v="900"/>
    <n v="49.4"/>
    <n v="13.53"/>
    <n v="1.68"/>
    <n v="20.64"/>
    <n v="18"/>
    <x v="2"/>
    <s v="VALID"/>
    <n v="9.3333333333333324E-2"/>
    <x v="1"/>
    <n v="17.085000000000001"/>
    <s v="Low"/>
  </r>
  <r>
    <n v="500"/>
    <n v="20.14"/>
    <x v="3"/>
    <x v="0"/>
    <n v="2500"/>
    <n v="-41.4"/>
    <n v="14.99"/>
    <n v="7.22"/>
    <n v="35.85"/>
    <n v="4"/>
    <x v="1"/>
    <s v="VALID"/>
    <n v="1.8049999999999999"/>
    <x v="1"/>
    <n v="25.42"/>
    <s v="Low"/>
  </r>
  <r>
    <n v="250"/>
    <n v="7.07"/>
    <x v="2"/>
    <x v="3"/>
    <n v="1500"/>
    <n v="83"/>
    <n v="0.67"/>
    <n v="4.25"/>
    <n v="60.11"/>
    <n v="11"/>
    <x v="0"/>
    <s v="VALID"/>
    <n v="0.38636363636363635"/>
    <x v="0"/>
    <n v="30.39"/>
    <s v="Medium"/>
  </r>
  <r>
    <n v="1500"/>
    <n v="39.119999999999997"/>
    <x v="3"/>
    <x v="2"/>
    <n v="2500"/>
    <n v="40.700000000000003"/>
    <n v="2.54"/>
    <n v="7.87"/>
    <n v="20.12"/>
    <n v="5"/>
    <x v="1"/>
    <s v="VALID"/>
    <n v="1.5740000000000001"/>
    <x v="0"/>
    <n v="11.33"/>
    <s v="Low"/>
  </r>
  <r>
    <n v="250"/>
    <n v="9.86"/>
    <x v="2"/>
    <x v="4"/>
    <n v="600"/>
    <n v="68.400000000000006"/>
    <n v="7.98"/>
    <n v="6.94"/>
    <n v="70.39"/>
    <n v="17"/>
    <x v="1"/>
    <s v="VALID"/>
    <n v="0.40823529411764709"/>
    <x v="0"/>
    <n v="39.185000000000002"/>
    <s v="Medium"/>
  </r>
  <r>
    <n v="1500"/>
    <n v="29.64"/>
    <x v="3"/>
    <x v="3"/>
    <n v="600"/>
    <n v="9.4"/>
    <n v="1.29"/>
    <n v="8.14"/>
    <n v="27.46"/>
    <n v="8"/>
    <x v="1"/>
    <s v="VALID"/>
    <n v="1.0175000000000001"/>
    <x v="1"/>
    <n v="14.375"/>
    <s v="Low"/>
  </r>
  <r>
    <n v="1000"/>
    <n v="20.64"/>
    <x v="3"/>
    <x v="4"/>
    <n v="150"/>
    <n v="11.9"/>
    <n v="15.55"/>
    <n v="9.0299999999999994"/>
    <n v="43.75"/>
    <n v="24"/>
    <x v="1"/>
    <s v="VALID"/>
    <n v="0.37624999999999997"/>
    <x v="1"/>
    <n v="29.65"/>
    <s v="Low"/>
  </r>
  <r>
    <n v="500"/>
    <n v="10.34"/>
    <x v="4"/>
    <x v="2"/>
    <n v="300"/>
    <n v="84"/>
    <n v="6.19"/>
    <n v="9.7100000000000009"/>
    <n v="93.91"/>
    <n v="20"/>
    <x v="1"/>
    <s v="VALID"/>
    <n v="0.48550000000000004"/>
    <x v="1"/>
    <n v="50.05"/>
    <s v="Medium"/>
  </r>
  <r>
    <n v="1500"/>
    <n v="44.48"/>
    <x v="3"/>
    <x v="2"/>
    <n v="1500"/>
    <n v="-29.6"/>
    <n v="13.89"/>
    <n v="0.34"/>
    <n v="0.76"/>
    <n v="16"/>
    <x v="2"/>
    <s v="VALID"/>
    <n v="2.1250000000000002E-2"/>
    <x v="1"/>
    <n v="7.3250000000000002"/>
    <s v="Low"/>
  </r>
  <r>
    <n v="300"/>
    <n v="16.190000000000001"/>
    <x v="4"/>
    <x v="3"/>
    <n v="300"/>
    <n v="7.5"/>
    <n v="5.6"/>
    <n v="3.21"/>
    <n v="19.829999999999998"/>
    <n v="22"/>
    <x v="0"/>
    <s v="VALID"/>
    <n v="0.1459090909090909"/>
    <x v="0"/>
    <n v="12.715"/>
    <s v="Low"/>
  </r>
  <r>
    <n v="400"/>
    <n v="10.36"/>
    <x v="3"/>
    <x v="2"/>
    <n v="300"/>
    <n v="47.7"/>
    <n v="12.23"/>
    <n v="8.44"/>
    <n v="81.47"/>
    <n v="1"/>
    <x v="1"/>
    <s v="VALID"/>
    <n v="8.44"/>
    <x v="1"/>
    <n v="46.85"/>
    <s v="Medium"/>
  </r>
  <r>
    <n v="200"/>
    <n v="11.25"/>
    <x v="0"/>
    <x v="4"/>
    <n v="150"/>
    <n v="49.9"/>
    <n v="14.66"/>
    <n v="0.79"/>
    <n v="7.02"/>
    <n v="21"/>
    <x v="2"/>
    <s v="VALID"/>
    <n v="3.7619047619047621E-2"/>
    <x v="1"/>
    <n v="10.84"/>
    <s v="Low"/>
  </r>
  <r>
    <n v="1500"/>
    <n v="48.21"/>
    <x v="2"/>
    <x v="4"/>
    <n v="300"/>
    <n v="-7.8"/>
    <n v="11.53"/>
    <n v="4.54"/>
    <n v="9.42"/>
    <n v="2"/>
    <x v="0"/>
    <s v="VALID"/>
    <n v="2.27"/>
    <x v="1"/>
    <n v="10.475"/>
    <s v="Low"/>
  </r>
  <r>
    <n v="500"/>
    <n v="24.71"/>
    <x v="3"/>
    <x v="1"/>
    <n v="1500"/>
    <n v="117"/>
    <n v="15.95"/>
    <n v="3.69"/>
    <n v="14.93"/>
    <n v="13"/>
    <x v="0"/>
    <s v="VALID"/>
    <n v="0.28384615384615386"/>
    <x v="1"/>
    <n v="15.44"/>
    <s v="Low"/>
  </r>
  <r>
    <n v="800"/>
    <n v="24.54"/>
    <x v="2"/>
    <x v="4"/>
    <n v="600"/>
    <n v="50.1"/>
    <n v="17.02"/>
    <n v="6.98"/>
    <n v="28.44"/>
    <n v="17"/>
    <x v="1"/>
    <s v="VALID"/>
    <n v="0.4105882352941177"/>
    <x v="0"/>
    <n v="22.73"/>
    <s v="Low"/>
  </r>
  <r>
    <n v="250"/>
    <n v="8.64"/>
    <x v="0"/>
    <x v="2"/>
    <n v="1500"/>
    <n v="21.6"/>
    <n v="2.68"/>
    <n v="3.21"/>
    <n v="37.15"/>
    <n v="20"/>
    <x v="0"/>
    <s v="VALID"/>
    <n v="0.1605"/>
    <x v="1"/>
    <n v="19.914999999999999"/>
    <s v="Low"/>
  </r>
  <r>
    <n v="800"/>
    <n v="28.92"/>
    <x v="4"/>
    <x v="4"/>
    <n v="900"/>
    <n v="42.4"/>
    <n v="10.210000000000001"/>
    <n v="8.9"/>
    <n v="30.77"/>
    <n v="21"/>
    <x v="1"/>
    <s v="VALID"/>
    <n v="0.4238095238095238"/>
    <x v="0"/>
    <n v="20.490000000000002"/>
    <s v="Low"/>
  </r>
  <r>
    <n v="300"/>
    <n v="7.69"/>
    <x v="2"/>
    <x v="2"/>
    <n v="300"/>
    <n v="54.7"/>
    <n v="18.170000000000002"/>
    <n v="6.39"/>
    <n v="83.09"/>
    <n v="16"/>
    <x v="1"/>
    <s v="VALID"/>
    <n v="0.39937499999999998"/>
    <x v="1"/>
    <n v="50.63"/>
    <s v="Medium"/>
  </r>
  <r>
    <n v="300"/>
    <n v="12.66"/>
    <x v="3"/>
    <x v="1"/>
    <n v="1500"/>
    <n v="135.4"/>
    <n v="2.77"/>
    <n v="5.85"/>
    <n v="46.21"/>
    <n v="25"/>
    <x v="1"/>
    <s v="VALID"/>
    <n v="0.23399999999999999"/>
    <x v="1"/>
    <n v="24.490000000000002"/>
    <s v="Low"/>
  </r>
  <r>
    <n v="150"/>
    <n v="7.37"/>
    <x v="2"/>
    <x v="4"/>
    <n v="300"/>
    <n v="24"/>
    <n v="17.39"/>
    <n v="5.32"/>
    <n v="72.180000000000007"/>
    <n v="16"/>
    <x v="1"/>
    <s v="VALID"/>
    <n v="0.33250000000000002"/>
    <x v="0"/>
    <n v="44.785000000000004"/>
    <s v="Medium"/>
  </r>
  <r>
    <n v="800"/>
    <n v="29.97"/>
    <x v="0"/>
    <x v="4"/>
    <n v="150"/>
    <n v="29.2"/>
    <n v="0.68"/>
    <n v="8.8800000000000008"/>
    <n v="29.63"/>
    <n v="6"/>
    <x v="1"/>
    <s v="VALID"/>
    <n v="1.4800000000000002"/>
    <x v="1"/>
    <n v="15.154999999999999"/>
    <s v="Low"/>
  </r>
  <r>
    <n v="250"/>
    <n v="6.91"/>
    <x v="0"/>
    <x v="4"/>
    <n v="600"/>
    <n v="117.5"/>
    <n v="9.0500000000000007"/>
    <n v="9.44"/>
    <n v="136.61000000000001"/>
    <n v="4"/>
    <x v="1"/>
    <s v="INVALID"/>
    <m/>
    <x v="2"/>
    <m/>
    <m/>
  </r>
  <r>
    <n v="1200"/>
    <n v="23.28"/>
    <x v="1"/>
    <x v="0"/>
    <n v="900"/>
    <n v="-3.5"/>
    <n v="5.46"/>
    <n v="2.8"/>
    <n v="12.03"/>
    <n v="2"/>
    <x v="0"/>
    <s v="VALID"/>
    <n v="1.4"/>
    <x v="1"/>
    <n v="8.7449999999999992"/>
    <s v="Low"/>
  </r>
  <r>
    <n v="150"/>
    <n v="5.13"/>
    <x v="4"/>
    <x v="2"/>
    <n v="300"/>
    <n v="70.599999999999994"/>
    <n v="4.04"/>
    <n v="4.43"/>
    <n v="86.35"/>
    <n v="16"/>
    <x v="0"/>
    <s v="VALID"/>
    <n v="0.27687499999999998"/>
    <x v="1"/>
    <n v="45.195"/>
    <s v="Medium"/>
  </r>
  <r>
    <n v="800"/>
    <n v="28.48"/>
    <x v="0"/>
    <x v="2"/>
    <n v="2500"/>
    <n v="73"/>
    <n v="5.76"/>
    <n v="1.51"/>
    <n v="5.3"/>
    <n v="19"/>
    <x v="2"/>
    <s v="VALID"/>
    <n v="7.9473684210526321E-2"/>
    <x v="1"/>
    <n v="5.5299999999999994"/>
    <s v="Low"/>
  </r>
  <r>
    <n v="100"/>
    <n v="6.36"/>
    <x v="0"/>
    <x v="2"/>
    <n v="600"/>
    <n v="144.69999999999999"/>
    <n v="19.8"/>
    <n v="7.5"/>
    <n v="117.92"/>
    <n v="9"/>
    <x v="1"/>
    <s v="INVALID"/>
    <m/>
    <x v="2"/>
    <m/>
    <m/>
  </r>
  <r>
    <n v="50"/>
    <n v="3.16"/>
    <x v="0"/>
    <x v="4"/>
    <n v="600"/>
    <n v="40.4"/>
    <n v="12.22"/>
    <n v="5.14"/>
    <n v="162.66"/>
    <n v="1"/>
    <x v="1"/>
    <s v="INVALID"/>
    <m/>
    <x v="2"/>
    <m/>
    <m/>
  </r>
  <r>
    <n v="1000"/>
    <n v="24.52"/>
    <x v="2"/>
    <x v="2"/>
    <n v="300"/>
    <n v="42.2"/>
    <n v="19.14"/>
    <n v="5.62"/>
    <n v="22.92"/>
    <n v="13"/>
    <x v="1"/>
    <s v="VALID"/>
    <n v="0.43230769230769234"/>
    <x v="1"/>
    <n v="21.03"/>
    <s v="Low"/>
  </r>
  <r>
    <n v="500"/>
    <n v="11.99"/>
    <x v="1"/>
    <x v="2"/>
    <n v="900"/>
    <n v="24.5"/>
    <n v="8.1199999999999992"/>
    <n v="3.88"/>
    <n v="32.36"/>
    <n v="16"/>
    <x v="0"/>
    <s v="VALID"/>
    <n v="0.24249999999999999"/>
    <x v="1"/>
    <n v="20.239999999999998"/>
    <s v="Low"/>
  </r>
  <r>
    <n v="100"/>
    <n v="5.28"/>
    <x v="3"/>
    <x v="0"/>
    <n v="1500"/>
    <n v="-15.4"/>
    <n v="7.52"/>
    <n v="0.93"/>
    <n v="17.61"/>
    <n v="5"/>
    <x v="2"/>
    <s v="VALID"/>
    <n v="0.186"/>
    <x v="1"/>
    <n v="12.565"/>
    <s v="Low"/>
  </r>
  <r>
    <n v="300"/>
    <n v="10.97"/>
    <x v="1"/>
    <x v="3"/>
    <n v="150"/>
    <n v="-42.6"/>
    <n v="11.52"/>
    <n v="4.7"/>
    <n v="42.84"/>
    <n v="16"/>
    <x v="0"/>
    <s v="VALID"/>
    <n v="0.29375000000000001"/>
    <x v="0"/>
    <n v="27.18"/>
    <s v="Low"/>
  </r>
  <r>
    <n v="1200"/>
    <n v="24.25"/>
    <x v="0"/>
    <x v="3"/>
    <n v="300"/>
    <n v="59.6"/>
    <n v="2.35"/>
    <n v="5.71"/>
    <n v="23.55"/>
    <n v="19"/>
    <x v="1"/>
    <s v="VALID"/>
    <n v="0.3005263157894737"/>
    <x v="1"/>
    <n v="12.950000000000001"/>
    <s v="Low"/>
  </r>
  <r>
    <n v="150"/>
    <n v="5.58"/>
    <x v="1"/>
    <x v="2"/>
    <n v="900"/>
    <n v="33.200000000000003"/>
    <n v="13.73"/>
    <n v="2.75"/>
    <n v="49.28"/>
    <n v="14"/>
    <x v="0"/>
    <s v="VALID"/>
    <n v="0.19642857142857142"/>
    <x v="1"/>
    <n v="31.505000000000003"/>
    <s v="Medium"/>
  </r>
  <r>
    <n v="1500"/>
    <n v="49.53"/>
    <x v="1"/>
    <x v="4"/>
    <n v="150"/>
    <n v="11.1"/>
    <n v="15.18"/>
    <n v="0.31"/>
    <n v="0.63"/>
    <n v="7"/>
    <x v="2"/>
    <s v="VALID"/>
    <n v="4.4285714285714282E-2"/>
    <x v="1"/>
    <n v="7.9050000000000002"/>
    <s v="Low"/>
  </r>
  <r>
    <n v="500"/>
    <n v="24.55"/>
    <x v="3"/>
    <x v="1"/>
    <n v="900"/>
    <n v="-4"/>
    <n v="18.89"/>
    <n v="7.2"/>
    <n v="29.33"/>
    <n v="17"/>
    <x v="1"/>
    <s v="VALID"/>
    <n v="0.42352941176470588"/>
    <x v="1"/>
    <n v="24.11"/>
    <s v="Low"/>
  </r>
  <r>
    <n v="300"/>
    <n v="16.899999999999999"/>
    <x v="3"/>
    <x v="3"/>
    <n v="2500"/>
    <n v="102.6"/>
    <n v="5.0199999999999996"/>
    <n v="8.27"/>
    <n v="48.93"/>
    <n v="3"/>
    <x v="1"/>
    <s v="VALID"/>
    <n v="2.7566666666666664"/>
    <x v="1"/>
    <n v="26.975000000000001"/>
    <s v="Low"/>
  </r>
  <r>
    <n v="1200"/>
    <n v="39.479999999999997"/>
    <x v="4"/>
    <x v="0"/>
    <n v="300"/>
    <n v="-48.4"/>
    <n v="18.95"/>
    <n v="7.62"/>
    <n v="19.3"/>
    <n v="15"/>
    <x v="1"/>
    <s v="VALID"/>
    <n v="0.50800000000000001"/>
    <x v="0"/>
    <n v="19.125"/>
    <s v="Low"/>
  </r>
  <r>
    <n v="400"/>
    <n v="13.2"/>
    <x v="1"/>
    <x v="3"/>
    <n v="2500"/>
    <n v="-18.2"/>
    <n v="17.05"/>
    <n v="7.78"/>
    <n v="58.94"/>
    <n v="2"/>
    <x v="1"/>
    <s v="VALID"/>
    <n v="3.89"/>
    <x v="1"/>
    <n v="37.994999999999997"/>
    <s v="Medium"/>
  </r>
  <r>
    <n v="800"/>
    <n v="23.08"/>
    <x v="3"/>
    <x v="4"/>
    <n v="900"/>
    <n v="52.5"/>
    <n v="10.44"/>
    <n v="4.1500000000000004"/>
    <n v="17.98"/>
    <n v="23"/>
    <x v="0"/>
    <s v="VALID"/>
    <n v="0.18043478260869567"/>
    <x v="0"/>
    <n v="14.21"/>
    <s v="Low"/>
  </r>
  <r>
    <n v="100"/>
    <n v="7.57"/>
    <x v="0"/>
    <x v="0"/>
    <n v="2500"/>
    <n v="18"/>
    <n v="4.41"/>
    <n v="7.7"/>
    <n v="101.72"/>
    <n v="18"/>
    <x v="1"/>
    <s v="INVALID"/>
    <m/>
    <x v="2"/>
    <m/>
    <m/>
  </r>
  <r>
    <n v="250"/>
    <n v="11.58"/>
    <x v="1"/>
    <x v="4"/>
    <n v="600"/>
    <n v="32"/>
    <n v="1.0900000000000001"/>
    <n v="1.9"/>
    <n v="16.41"/>
    <n v="7"/>
    <x v="2"/>
    <s v="VALID"/>
    <n v="0.27142857142857141"/>
    <x v="0"/>
    <n v="8.75"/>
    <s v="Low"/>
  </r>
  <r>
    <n v="50"/>
    <n v="4.12"/>
    <x v="0"/>
    <x v="1"/>
    <n v="600"/>
    <n v="-15.7"/>
    <n v="18.510000000000002"/>
    <n v="2.2400000000000002"/>
    <n v="54.37"/>
    <n v="1"/>
    <x v="0"/>
    <s v="VALID"/>
    <n v="2.2400000000000002"/>
    <x v="1"/>
    <n v="36.44"/>
    <s v="Medium"/>
  </r>
  <r>
    <n v="50"/>
    <n v="3.71"/>
    <x v="2"/>
    <x v="2"/>
    <n v="300"/>
    <n v="-1.3"/>
    <n v="1.0900000000000001"/>
    <n v="6.23"/>
    <n v="167.92"/>
    <n v="1"/>
    <x v="1"/>
    <s v="INVALID"/>
    <m/>
    <x v="2"/>
    <m/>
    <m/>
  </r>
  <r>
    <n v="200"/>
    <n v="11.79"/>
    <x v="1"/>
    <x v="0"/>
    <n v="900"/>
    <n v="-24.3"/>
    <n v="19.29"/>
    <n v="6.49"/>
    <n v="55.05"/>
    <n v="3"/>
    <x v="1"/>
    <s v="VALID"/>
    <n v="2.1633333333333336"/>
    <x v="1"/>
    <n v="37.17"/>
    <s v="Medium"/>
  </r>
  <r>
    <n v="250"/>
    <n v="7.79"/>
    <x v="0"/>
    <x v="4"/>
    <n v="1500"/>
    <n v="29.1"/>
    <n v="12.27"/>
    <n v="9.5500000000000007"/>
    <n v="122.59"/>
    <n v="7"/>
    <x v="1"/>
    <s v="INVALID"/>
    <m/>
    <x v="2"/>
    <m/>
    <m/>
  </r>
  <r>
    <n v="1200"/>
    <n v="33.47"/>
    <x v="2"/>
    <x v="0"/>
    <n v="600"/>
    <n v="32.200000000000003"/>
    <n v="1.96"/>
    <n v="4.88"/>
    <n v="14.58"/>
    <n v="2"/>
    <x v="0"/>
    <s v="VALID"/>
    <n v="2.44"/>
    <x v="0"/>
    <n v="8.27"/>
    <s v="Low"/>
  </r>
  <r>
    <n v="150"/>
    <n v="5.79"/>
    <x v="3"/>
    <x v="2"/>
    <n v="150"/>
    <n v="-1.8"/>
    <n v="12.67"/>
    <n v="2.89"/>
    <n v="49.91"/>
    <n v="16"/>
    <x v="0"/>
    <s v="VALID"/>
    <n v="0.18062500000000001"/>
    <x v="1"/>
    <n v="31.29"/>
    <s v="Medium"/>
  </r>
  <r>
    <n v="200"/>
    <n v="7.88"/>
    <x v="1"/>
    <x v="0"/>
    <n v="150"/>
    <n v="-44.1"/>
    <n v="4.0999999999999996"/>
    <n v="0.69"/>
    <n v="8.76"/>
    <n v="17"/>
    <x v="2"/>
    <s v="VALID"/>
    <n v="4.0588235294117647E-2"/>
    <x v="1"/>
    <n v="6.43"/>
    <s v="Low"/>
  </r>
  <r>
    <n v="500"/>
    <n v="23.77"/>
    <x v="3"/>
    <x v="4"/>
    <n v="1500"/>
    <n v="27.2"/>
    <n v="16.059999999999999"/>
    <n v="3.02"/>
    <n v="12.71"/>
    <n v="20"/>
    <x v="0"/>
    <s v="VALID"/>
    <n v="0.151"/>
    <x v="1"/>
    <n v="14.385"/>
    <s v="Low"/>
  </r>
  <r>
    <n v="50"/>
    <n v="4.47"/>
    <x v="3"/>
    <x v="0"/>
    <n v="1500"/>
    <n v="-48.4"/>
    <n v="12.34"/>
    <n v="0.96"/>
    <n v="21.48"/>
    <n v="20"/>
    <x v="2"/>
    <s v="VALID"/>
    <n v="4.8000000000000001E-2"/>
    <x v="0"/>
    <n v="16.91"/>
    <s v="Low"/>
  </r>
  <r>
    <n v="1000"/>
    <n v="22.01"/>
    <x v="0"/>
    <x v="0"/>
    <n v="900"/>
    <n v="9"/>
    <n v="1.63"/>
    <n v="1.29"/>
    <n v="5.86"/>
    <n v="14"/>
    <x v="2"/>
    <s v="VALID"/>
    <n v="9.2142857142857151E-2"/>
    <x v="0"/>
    <n v="3.7450000000000001"/>
    <s v="Low"/>
  </r>
  <r>
    <n v="1000"/>
    <n v="31.87"/>
    <x v="1"/>
    <x v="1"/>
    <n v="1500"/>
    <n v="68.599999999999994"/>
    <n v="11.36"/>
    <n v="7.71"/>
    <n v="24.19"/>
    <n v="20"/>
    <x v="1"/>
    <s v="VALID"/>
    <n v="0.38550000000000001"/>
    <x v="1"/>
    <n v="17.774999999999999"/>
    <s v="Low"/>
  </r>
  <r>
    <n v="1200"/>
    <n v="22.36"/>
    <x v="1"/>
    <x v="2"/>
    <n v="600"/>
    <n v="-1.7"/>
    <n v="14.85"/>
    <n v="0.6"/>
    <n v="2.68"/>
    <n v="22"/>
    <x v="2"/>
    <s v="VALID"/>
    <n v="2.7272727272727271E-2"/>
    <x v="0"/>
    <n v="8.7650000000000006"/>
    <s v="Low"/>
  </r>
  <r>
    <n v="1500"/>
    <n v="27.94"/>
    <x v="4"/>
    <x v="0"/>
    <n v="2500"/>
    <n v="12.6"/>
    <n v="8.0399999999999991"/>
    <n v="5.84"/>
    <n v="20.9"/>
    <n v="8"/>
    <x v="1"/>
    <s v="VALID"/>
    <n v="0.73"/>
    <x v="1"/>
    <n v="14.469999999999999"/>
    <s v="Low"/>
  </r>
  <r>
    <n v="500"/>
    <n v="12.94"/>
    <x v="0"/>
    <x v="3"/>
    <n v="900"/>
    <n v="92.1"/>
    <n v="14.83"/>
    <n v="4.63"/>
    <n v="35.78"/>
    <n v="6"/>
    <x v="0"/>
    <s v="VALID"/>
    <n v="0.77166666666666661"/>
    <x v="0"/>
    <n v="25.305"/>
    <s v="Low"/>
  </r>
  <r>
    <n v="1200"/>
    <n v="26.41"/>
    <x v="3"/>
    <x v="1"/>
    <n v="2500"/>
    <n v="-45.4"/>
    <n v="4.07"/>
    <n v="4.3"/>
    <n v="16.28"/>
    <n v="16"/>
    <x v="0"/>
    <s v="VALID"/>
    <n v="0.26874999999999999"/>
    <x v="1"/>
    <n v="10.175000000000001"/>
    <s v="Low"/>
  </r>
  <r>
    <n v="1200"/>
    <n v="29.7"/>
    <x v="1"/>
    <x v="4"/>
    <n v="2500"/>
    <n v="88.7"/>
    <n v="4.04"/>
    <n v="8.81"/>
    <n v="29.66"/>
    <n v="20"/>
    <x v="1"/>
    <s v="VALID"/>
    <n v="0.4405"/>
    <x v="0"/>
    <n v="16.850000000000001"/>
    <s v="Low"/>
  </r>
  <r>
    <n v="50"/>
    <n v="4.74"/>
    <x v="2"/>
    <x v="0"/>
    <n v="2500"/>
    <n v="76.400000000000006"/>
    <n v="8.8800000000000008"/>
    <n v="9.94"/>
    <n v="209.7"/>
    <n v="23"/>
    <x v="1"/>
    <s v="INVALID"/>
    <m/>
    <x v="2"/>
    <m/>
    <m/>
  </r>
  <r>
    <n v="200"/>
    <n v="10.82"/>
    <x v="2"/>
    <x v="4"/>
    <n v="300"/>
    <n v="47"/>
    <n v="10.63"/>
    <n v="0.19"/>
    <n v="1.76"/>
    <n v="3"/>
    <x v="2"/>
    <s v="VALID"/>
    <n v="6.3333333333333339E-2"/>
    <x v="0"/>
    <n v="6.1950000000000003"/>
    <s v="Low"/>
  </r>
  <r>
    <n v="600"/>
    <n v="27.32"/>
    <x v="2"/>
    <x v="2"/>
    <n v="600"/>
    <n v="51.3"/>
    <n v="12.75"/>
    <n v="0.2"/>
    <n v="0.73"/>
    <n v="8"/>
    <x v="2"/>
    <s v="VALID"/>
    <n v="2.5000000000000001E-2"/>
    <x v="1"/>
    <n v="6.74"/>
    <s v="Low"/>
  </r>
  <r>
    <n v="500"/>
    <n v="18.36"/>
    <x v="0"/>
    <x v="3"/>
    <n v="150"/>
    <n v="44.2"/>
    <n v="2.63"/>
    <n v="1.32"/>
    <n v="7.19"/>
    <n v="20"/>
    <x v="2"/>
    <s v="VALID"/>
    <n v="6.6000000000000003E-2"/>
    <x v="1"/>
    <n v="4.91"/>
    <s v="Low"/>
  </r>
  <r>
    <n v="250"/>
    <n v="11.54"/>
    <x v="2"/>
    <x v="1"/>
    <n v="1500"/>
    <n v="110.5"/>
    <n v="2.58"/>
    <n v="5.89"/>
    <n v="51.04"/>
    <n v="1"/>
    <x v="1"/>
    <s v="VALID"/>
    <n v="5.89"/>
    <x v="1"/>
    <n v="26.81"/>
    <s v="Low"/>
  </r>
  <r>
    <n v="150"/>
    <n v="8.32"/>
    <x v="2"/>
    <x v="0"/>
    <n v="900"/>
    <n v="73.5"/>
    <n v="15.64"/>
    <n v="3.38"/>
    <n v="40.619999999999997"/>
    <n v="10"/>
    <x v="0"/>
    <s v="VALID"/>
    <n v="0.33799999999999997"/>
    <x v="0"/>
    <n v="28.13"/>
    <s v="Low"/>
  </r>
  <r>
    <n v="100"/>
    <n v="6.31"/>
    <x v="1"/>
    <x v="0"/>
    <n v="2500"/>
    <n v="29.2"/>
    <n v="3.95"/>
    <n v="0.65"/>
    <n v="10.3"/>
    <n v="10"/>
    <x v="2"/>
    <s v="VALID"/>
    <n v="6.5000000000000002E-2"/>
    <x v="1"/>
    <n v="7.125"/>
    <s v="Low"/>
  </r>
  <r>
    <n v="300"/>
    <n v="8.56"/>
    <x v="3"/>
    <x v="2"/>
    <n v="150"/>
    <n v="114.4"/>
    <n v="6.52"/>
    <n v="4.8499999999999996"/>
    <n v="56.66"/>
    <n v="13"/>
    <x v="0"/>
    <s v="VALID"/>
    <n v="0.37307692307692303"/>
    <x v="0"/>
    <n v="31.589999999999996"/>
    <s v="Medium"/>
  </r>
  <r>
    <n v="50"/>
    <n v="4.45"/>
    <x v="1"/>
    <x v="3"/>
    <n v="1500"/>
    <n v="55.6"/>
    <n v="3.31"/>
    <n v="1.91"/>
    <n v="42.92"/>
    <n v="5"/>
    <x v="2"/>
    <s v="VALID"/>
    <n v="0.38200000000000001"/>
    <x v="1"/>
    <n v="23.115000000000002"/>
    <s v="Low"/>
  </r>
  <r>
    <n v="100"/>
    <n v="6.43"/>
    <x v="4"/>
    <x v="2"/>
    <n v="2500"/>
    <n v="38.5"/>
    <n v="4.9000000000000004"/>
    <n v="4.8600000000000003"/>
    <n v="75.58"/>
    <n v="13"/>
    <x v="0"/>
    <s v="VALID"/>
    <n v="0.37384615384615388"/>
    <x v="0"/>
    <n v="40.24"/>
    <s v="Medium"/>
  </r>
  <r>
    <n v="100"/>
    <n v="4.3099999999999996"/>
    <x v="4"/>
    <x v="3"/>
    <n v="150"/>
    <n v="41.2"/>
    <n v="9.5"/>
    <n v="3.69"/>
    <n v="85.61"/>
    <n v="18"/>
    <x v="0"/>
    <s v="VALID"/>
    <n v="0.20499999999999999"/>
    <x v="0"/>
    <n v="47.555"/>
    <s v="Medium"/>
  </r>
  <r>
    <n v="300"/>
    <n v="7.25"/>
    <x v="2"/>
    <x v="4"/>
    <n v="150"/>
    <n v="37.1"/>
    <n v="2.62"/>
    <n v="7.58"/>
    <n v="104.55"/>
    <n v="18"/>
    <x v="1"/>
    <s v="INVALID"/>
    <m/>
    <x v="2"/>
    <m/>
    <m/>
  </r>
  <r>
    <n v="200"/>
    <n v="9.94"/>
    <x v="0"/>
    <x v="0"/>
    <n v="900"/>
    <n v="45.4"/>
    <n v="3.75"/>
    <n v="1.49"/>
    <n v="14.99"/>
    <n v="4"/>
    <x v="2"/>
    <s v="VALID"/>
    <n v="0.3725"/>
    <x v="1"/>
    <n v="9.370000000000001"/>
    <s v="Low"/>
  </r>
  <r>
    <n v="150"/>
    <n v="7.81"/>
    <x v="2"/>
    <x v="1"/>
    <n v="300"/>
    <n v="67.2"/>
    <n v="4.1500000000000004"/>
    <n v="1.66"/>
    <n v="21.25"/>
    <n v="9"/>
    <x v="2"/>
    <s v="VALID"/>
    <n v="0.18444444444444444"/>
    <x v="1"/>
    <n v="12.7"/>
    <s v="Low"/>
  </r>
  <r>
    <n v="1000"/>
    <n v="15.99"/>
    <x v="0"/>
    <x v="1"/>
    <n v="900"/>
    <n v="78.099999999999994"/>
    <n v="9.93"/>
    <n v="8.75"/>
    <n v="54.72"/>
    <n v="24"/>
    <x v="1"/>
    <s v="VALID"/>
    <n v="0.36458333333333331"/>
    <x v="1"/>
    <n v="32.325000000000003"/>
    <s v="Medium"/>
  </r>
  <r>
    <n v="1200"/>
    <n v="22.08"/>
    <x v="1"/>
    <x v="2"/>
    <n v="1500"/>
    <n v="6.1"/>
    <n v="3.22"/>
    <n v="7.37"/>
    <n v="33.380000000000003"/>
    <n v="17"/>
    <x v="1"/>
    <s v="VALID"/>
    <n v="0.43352941176470589"/>
    <x v="1"/>
    <n v="18.3"/>
    <s v="Low"/>
  </r>
  <r>
    <n v="1200"/>
    <n v="34.78"/>
    <x v="0"/>
    <x v="4"/>
    <n v="1500"/>
    <n v="29.1"/>
    <n v="5.05"/>
    <n v="6.33"/>
    <n v="18.2"/>
    <n v="5"/>
    <x v="1"/>
    <s v="VALID"/>
    <n v="1.266"/>
    <x v="0"/>
    <n v="11.625"/>
    <s v="Low"/>
  </r>
  <r>
    <n v="600"/>
    <n v="16.989999999999998"/>
    <x v="3"/>
    <x v="2"/>
    <n v="300"/>
    <n v="15.1"/>
    <n v="8.26"/>
    <n v="8.26"/>
    <n v="48.62"/>
    <n v="8"/>
    <x v="1"/>
    <s v="VALID"/>
    <n v="1.0325"/>
    <x v="0"/>
    <n v="28.439999999999998"/>
    <s v="Low"/>
  </r>
  <r>
    <n v="250"/>
    <n v="7.3"/>
    <x v="2"/>
    <x v="3"/>
    <n v="2500"/>
    <n v="50.5"/>
    <n v="9.36"/>
    <n v="1.83"/>
    <n v="25.07"/>
    <n v="23"/>
    <x v="2"/>
    <s v="VALID"/>
    <n v="7.9565217391304358E-2"/>
    <x v="1"/>
    <n v="17.215"/>
    <s v="Low"/>
  </r>
  <r>
    <n v="300"/>
    <n v="15.46"/>
    <x v="2"/>
    <x v="1"/>
    <n v="150"/>
    <n v="-11.8"/>
    <n v="12.57"/>
    <n v="7.01"/>
    <n v="45.34"/>
    <n v="15"/>
    <x v="1"/>
    <s v="VALID"/>
    <n v="0.46733333333333332"/>
    <x v="0"/>
    <n v="28.955000000000002"/>
    <s v="Low"/>
  </r>
  <r>
    <n v="1200"/>
    <n v="33.99"/>
    <x v="0"/>
    <x v="4"/>
    <n v="1500"/>
    <n v="113.4"/>
    <n v="17.059999999999999"/>
    <n v="5.68"/>
    <n v="16.71"/>
    <n v="5"/>
    <x v="1"/>
    <s v="VALID"/>
    <n v="1.1359999999999999"/>
    <x v="1"/>
    <n v="16.884999999999998"/>
    <s v="Low"/>
  </r>
  <r>
    <n v="300"/>
    <n v="7.84"/>
    <x v="4"/>
    <x v="1"/>
    <n v="900"/>
    <n v="65.599999999999994"/>
    <n v="0.66"/>
    <n v="4.21"/>
    <n v="53.7"/>
    <n v="14"/>
    <x v="0"/>
    <s v="VALID"/>
    <n v="0.30071428571428571"/>
    <x v="0"/>
    <n v="27.18"/>
    <s v="Low"/>
  </r>
  <r>
    <n v="1500"/>
    <n v="47.97"/>
    <x v="1"/>
    <x v="1"/>
    <n v="2500"/>
    <n v="-17.8"/>
    <n v="2.89"/>
    <n v="4.41"/>
    <n v="9.19"/>
    <n v="15"/>
    <x v="0"/>
    <s v="VALID"/>
    <n v="0.29399999999999998"/>
    <x v="1"/>
    <n v="6.04"/>
    <s v="Low"/>
  </r>
  <r>
    <n v="500"/>
    <n v="20.29"/>
    <x v="4"/>
    <x v="4"/>
    <n v="300"/>
    <n v="5"/>
    <n v="15.01"/>
    <n v="9.06"/>
    <n v="44.65"/>
    <n v="23"/>
    <x v="1"/>
    <s v="VALID"/>
    <n v="0.39391304347826089"/>
    <x v="0"/>
    <n v="29.83"/>
    <s v="Low"/>
  </r>
  <r>
    <n v="1000"/>
    <n v="23.59"/>
    <x v="0"/>
    <x v="3"/>
    <n v="900"/>
    <n v="23"/>
    <n v="5.08"/>
    <n v="3.46"/>
    <n v="14.67"/>
    <n v="23"/>
    <x v="0"/>
    <s v="VALID"/>
    <n v="0.15043478260869564"/>
    <x v="1"/>
    <n v="9.875"/>
    <s v="Low"/>
  </r>
  <r>
    <n v="400"/>
    <n v="11.3"/>
    <x v="0"/>
    <x v="3"/>
    <n v="300"/>
    <n v="41.5"/>
    <n v="11.66"/>
    <n v="2.21"/>
    <n v="19.559999999999999"/>
    <n v="23"/>
    <x v="0"/>
    <s v="VALID"/>
    <n v="9.6086956521739125E-2"/>
    <x v="1"/>
    <n v="15.61"/>
    <s v="Low"/>
  </r>
  <r>
    <n v="250"/>
    <n v="14.97"/>
    <x v="0"/>
    <x v="1"/>
    <n v="150"/>
    <n v="-17.100000000000001"/>
    <n v="10"/>
    <n v="4.7300000000000004"/>
    <n v="31.6"/>
    <n v="21"/>
    <x v="0"/>
    <s v="VALID"/>
    <n v="0.22523809523809527"/>
    <x v="1"/>
    <n v="20.8"/>
    <s v="Low"/>
  </r>
  <r>
    <n v="200"/>
    <n v="8.26"/>
    <x v="4"/>
    <x v="1"/>
    <n v="300"/>
    <n v="38.200000000000003"/>
    <n v="14.73"/>
    <n v="7.27"/>
    <n v="88.01"/>
    <n v="6"/>
    <x v="1"/>
    <s v="VALID"/>
    <n v="1.2116666666666667"/>
    <x v="1"/>
    <n v="51.370000000000005"/>
    <s v="Medium"/>
  </r>
  <r>
    <n v="50"/>
    <n v="3.43"/>
    <x v="2"/>
    <x v="0"/>
    <n v="1500"/>
    <n v="6.9"/>
    <n v="8.99"/>
    <n v="0.14000000000000001"/>
    <n v="4.08"/>
    <n v="22"/>
    <x v="2"/>
    <s v="VALID"/>
    <n v="6.3636363636363638E-3"/>
    <x v="1"/>
    <n v="6.5350000000000001"/>
    <s v="Low"/>
  </r>
  <r>
    <n v="50"/>
    <n v="5.01"/>
    <x v="4"/>
    <x v="1"/>
    <n v="1500"/>
    <n v="19"/>
    <n v="19.39"/>
    <n v="2.58"/>
    <n v="51.5"/>
    <n v="15"/>
    <x v="0"/>
    <s v="VALID"/>
    <n v="0.17200000000000001"/>
    <x v="0"/>
    <n v="35.445"/>
    <s v="Medium"/>
  </r>
  <r>
    <n v="1000"/>
    <n v="26.39"/>
    <x v="0"/>
    <x v="0"/>
    <n v="2500"/>
    <n v="17.3"/>
    <n v="14.12"/>
    <n v="0.19"/>
    <n v="0.72"/>
    <n v="25"/>
    <x v="2"/>
    <s v="VALID"/>
    <n v="7.6E-3"/>
    <x v="0"/>
    <n v="7.42"/>
    <s v="Low"/>
  </r>
  <r>
    <n v="150"/>
    <n v="7.36"/>
    <x v="3"/>
    <x v="1"/>
    <n v="2500"/>
    <n v="93.3"/>
    <n v="19.899999999999999"/>
    <n v="2.14"/>
    <n v="29.08"/>
    <n v="15"/>
    <x v="0"/>
    <s v="VALID"/>
    <n v="0.14266666666666666"/>
    <x v="0"/>
    <n v="24.49"/>
    <s v="Low"/>
  </r>
  <r>
    <n v="150"/>
    <n v="8.92"/>
    <x v="0"/>
    <x v="4"/>
    <n v="1500"/>
    <n v="45.3"/>
    <n v="17.739999999999998"/>
    <n v="1.08"/>
    <n v="12.11"/>
    <n v="2"/>
    <x v="2"/>
    <s v="VALID"/>
    <n v="0.54"/>
    <x v="0"/>
    <n v="14.924999999999999"/>
    <s v="Low"/>
  </r>
  <r>
    <n v="100"/>
    <n v="5.16"/>
    <x v="0"/>
    <x v="4"/>
    <n v="600"/>
    <n v="77.7"/>
    <n v="16.22"/>
    <n v="8.2100000000000009"/>
    <n v="159.11000000000001"/>
    <n v="14"/>
    <x v="1"/>
    <s v="INVALID"/>
    <m/>
    <x v="2"/>
    <m/>
    <m/>
  </r>
  <r>
    <n v="100"/>
    <n v="4.0999999999999996"/>
    <x v="1"/>
    <x v="2"/>
    <n v="900"/>
    <n v="52"/>
    <n v="12.02"/>
    <n v="8.56"/>
    <n v="208.78"/>
    <n v="21"/>
    <x v="1"/>
    <s v="INVALID"/>
    <m/>
    <x v="2"/>
    <m/>
    <m/>
  </r>
  <r>
    <n v="300"/>
    <n v="15.08"/>
    <x v="1"/>
    <x v="4"/>
    <n v="1500"/>
    <n v="26.8"/>
    <n v="11.1"/>
    <n v="6.99"/>
    <n v="46.35"/>
    <n v="8"/>
    <x v="1"/>
    <s v="VALID"/>
    <n v="0.87375000000000003"/>
    <x v="1"/>
    <n v="28.725000000000001"/>
    <s v="Low"/>
  </r>
  <r>
    <n v="300"/>
    <n v="12.3"/>
    <x v="3"/>
    <x v="3"/>
    <n v="900"/>
    <n v="-1.9"/>
    <n v="0.49"/>
    <n v="8.94"/>
    <n v="72.680000000000007"/>
    <n v="3"/>
    <x v="1"/>
    <s v="VALID"/>
    <n v="2.98"/>
    <x v="0"/>
    <n v="36.585000000000001"/>
    <s v="Medium"/>
  </r>
  <r>
    <n v="1500"/>
    <n v="25.42"/>
    <x v="4"/>
    <x v="2"/>
    <n v="1500"/>
    <n v="12.3"/>
    <n v="4.53"/>
    <n v="0.27"/>
    <n v="1.06"/>
    <n v="4"/>
    <x v="2"/>
    <s v="VALID"/>
    <n v="6.7500000000000004E-2"/>
    <x v="1"/>
    <n v="2.7949999999999999"/>
    <s v="Low"/>
  </r>
  <r>
    <n v="1500"/>
    <n v="38.49"/>
    <x v="0"/>
    <x v="2"/>
    <n v="1500"/>
    <n v="47.9"/>
    <n v="9.7899999999999991"/>
    <n v="5.75"/>
    <n v="14.94"/>
    <n v="13"/>
    <x v="1"/>
    <s v="VALID"/>
    <n v="0.44230769230769229"/>
    <x v="0"/>
    <n v="12.364999999999998"/>
    <s v="Low"/>
  </r>
  <r>
    <n v="250"/>
    <n v="14.81"/>
    <x v="2"/>
    <x v="0"/>
    <n v="2500"/>
    <n v="70.8"/>
    <n v="7.22"/>
    <n v="9.39"/>
    <n v="63.4"/>
    <n v="19"/>
    <x v="1"/>
    <s v="VALID"/>
    <n v="0.49421052631578949"/>
    <x v="0"/>
    <n v="35.31"/>
    <s v="Medium"/>
  </r>
  <r>
    <n v="100"/>
    <n v="4.26"/>
    <x v="4"/>
    <x v="3"/>
    <n v="900"/>
    <n v="17.399999999999999"/>
    <n v="12.07"/>
    <n v="0.69"/>
    <n v="16.2"/>
    <n v="24"/>
    <x v="2"/>
    <s v="VALID"/>
    <n v="2.8749999999999998E-2"/>
    <x v="0"/>
    <n v="14.135"/>
    <s v="Low"/>
  </r>
  <r>
    <n v="150"/>
    <n v="6.8"/>
    <x v="4"/>
    <x v="2"/>
    <n v="900"/>
    <n v="-0.7"/>
    <n v="17.579999999999998"/>
    <n v="3.43"/>
    <n v="50.44"/>
    <n v="7"/>
    <x v="0"/>
    <s v="VALID"/>
    <n v="0.49000000000000005"/>
    <x v="1"/>
    <n v="34.01"/>
    <s v="Medium"/>
  </r>
  <r>
    <n v="600"/>
    <n v="15.01"/>
    <x v="2"/>
    <x v="3"/>
    <n v="300"/>
    <n v="105.3"/>
    <n v="0.89"/>
    <n v="7.62"/>
    <n v="50.77"/>
    <n v="2"/>
    <x v="1"/>
    <s v="VALID"/>
    <n v="3.81"/>
    <x v="1"/>
    <n v="25.830000000000002"/>
    <s v="Low"/>
  </r>
  <r>
    <n v="500"/>
    <n v="16.93"/>
    <x v="3"/>
    <x v="3"/>
    <n v="1500"/>
    <n v="56.6"/>
    <n v="3.99"/>
    <n v="9.35"/>
    <n v="55.23"/>
    <n v="1"/>
    <x v="1"/>
    <s v="VALID"/>
    <n v="9.35"/>
    <x v="1"/>
    <n v="29.61"/>
    <s v="Low"/>
  </r>
  <r>
    <n v="200"/>
    <n v="8.15"/>
    <x v="3"/>
    <x v="3"/>
    <n v="150"/>
    <n v="-38.299999999999997"/>
    <n v="8.1199999999999992"/>
    <n v="4.0199999999999996"/>
    <n v="49.33"/>
    <n v="17"/>
    <x v="0"/>
    <s v="VALID"/>
    <n v="0.2364705882352941"/>
    <x v="0"/>
    <n v="28.724999999999998"/>
    <s v="Low"/>
  </r>
  <r>
    <n v="200"/>
    <n v="11.54"/>
    <x v="3"/>
    <x v="1"/>
    <n v="150"/>
    <n v="-18.600000000000001"/>
    <n v="9.17"/>
    <n v="5.72"/>
    <n v="49.57"/>
    <n v="12"/>
    <x v="1"/>
    <s v="VALID"/>
    <n v="0.47666666666666663"/>
    <x v="1"/>
    <n v="29.37"/>
    <s v="Low"/>
  </r>
  <r>
    <n v="1000"/>
    <n v="21.38"/>
    <x v="1"/>
    <x v="3"/>
    <n v="600"/>
    <n v="23.1"/>
    <n v="14.04"/>
    <n v="8.89"/>
    <n v="41.58"/>
    <n v="6"/>
    <x v="1"/>
    <s v="VALID"/>
    <n v="1.4816666666666667"/>
    <x v="1"/>
    <n v="27.81"/>
    <s v="Low"/>
  </r>
  <r>
    <n v="100"/>
    <n v="7.35"/>
    <x v="0"/>
    <x v="3"/>
    <n v="600"/>
    <n v="131.19999999999999"/>
    <n v="3.24"/>
    <n v="4.92"/>
    <n v="66.94"/>
    <n v="5"/>
    <x v="0"/>
    <s v="VALID"/>
    <n v="0.98399999999999999"/>
    <x v="1"/>
    <n v="35.089999999999996"/>
    <s v="Medium"/>
  </r>
  <r>
    <n v="1500"/>
    <n v="41.08"/>
    <x v="3"/>
    <x v="2"/>
    <n v="1500"/>
    <n v="16.600000000000001"/>
    <n v="9.56"/>
    <n v="2.27"/>
    <n v="5.53"/>
    <n v="14"/>
    <x v="0"/>
    <s v="VALID"/>
    <n v="0.16214285714285714"/>
    <x v="1"/>
    <n v="7.5449999999999999"/>
    <s v="Low"/>
  </r>
  <r>
    <n v="1200"/>
    <n v="36.4"/>
    <x v="2"/>
    <x v="2"/>
    <n v="150"/>
    <n v="33.200000000000003"/>
    <n v="4.5599999999999996"/>
    <n v="2.09"/>
    <n v="5.74"/>
    <n v="21"/>
    <x v="0"/>
    <s v="VALID"/>
    <n v="9.9523809523809514E-2"/>
    <x v="0"/>
    <n v="5.15"/>
    <s v="Low"/>
  </r>
  <r>
    <n v="100"/>
    <n v="4.3499999999999996"/>
    <x v="1"/>
    <x v="2"/>
    <n v="1500"/>
    <n v="16.899999999999999"/>
    <n v="11.22"/>
    <n v="9.5299999999999994"/>
    <n v="219.08"/>
    <n v="10"/>
    <x v="1"/>
    <s v="INVALID"/>
    <m/>
    <x v="2"/>
    <m/>
    <m/>
  </r>
  <r>
    <n v="250"/>
    <n v="7.87"/>
    <x v="0"/>
    <x v="4"/>
    <n v="2500"/>
    <n v="8.1"/>
    <n v="1.97"/>
    <n v="7.41"/>
    <n v="94.16"/>
    <n v="16"/>
    <x v="1"/>
    <s v="VALID"/>
    <n v="0.46312500000000001"/>
    <x v="0"/>
    <n v="48.064999999999998"/>
    <s v="Medium"/>
  </r>
  <r>
    <n v="800"/>
    <n v="24.15"/>
    <x v="3"/>
    <x v="3"/>
    <n v="900"/>
    <n v="-50"/>
    <n v="17.82"/>
    <n v="1.27"/>
    <n v="5.26"/>
    <n v="24"/>
    <x v="2"/>
    <s v="VALID"/>
    <n v="5.2916666666666667E-2"/>
    <x v="0"/>
    <n v="11.54"/>
    <s v="Low"/>
  </r>
  <r>
    <n v="200"/>
    <n v="8.1"/>
    <x v="3"/>
    <x v="0"/>
    <n v="150"/>
    <n v="-19.2"/>
    <n v="2.78"/>
    <n v="4.34"/>
    <n v="53.58"/>
    <n v="1"/>
    <x v="0"/>
    <s v="VALID"/>
    <n v="4.34"/>
    <x v="1"/>
    <n v="28.18"/>
    <s v="Low"/>
  </r>
  <r>
    <n v="100"/>
    <n v="4.08"/>
    <x v="2"/>
    <x v="1"/>
    <n v="2500"/>
    <n v="66.900000000000006"/>
    <n v="1.39"/>
    <n v="9.4499999999999993"/>
    <n v="231.62"/>
    <n v="20"/>
    <x v="1"/>
    <s v="INVALID"/>
    <m/>
    <x v="2"/>
    <m/>
    <m/>
  </r>
  <r>
    <n v="1500"/>
    <n v="23.13"/>
    <x v="2"/>
    <x v="4"/>
    <n v="900"/>
    <n v="147"/>
    <n v="16.41"/>
    <n v="9.6300000000000008"/>
    <n v="41.63"/>
    <n v="22"/>
    <x v="1"/>
    <s v="VALID"/>
    <n v="0.43772727272727274"/>
    <x v="0"/>
    <n v="29.020000000000003"/>
    <s v="Low"/>
  </r>
  <r>
    <n v="800"/>
    <n v="14.72"/>
    <x v="0"/>
    <x v="1"/>
    <n v="1500"/>
    <n v="16.3"/>
    <n v="3.1"/>
    <n v="3.54"/>
    <n v="24.05"/>
    <n v="2"/>
    <x v="0"/>
    <s v="VALID"/>
    <n v="1.77"/>
    <x v="1"/>
    <n v="13.575000000000001"/>
    <s v="Low"/>
  </r>
  <r>
    <n v="200"/>
    <n v="6.68"/>
    <x v="3"/>
    <x v="4"/>
    <n v="900"/>
    <n v="85.8"/>
    <n v="18.29"/>
    <n v="6.76"/>
    <n v="101.2"/>
    <n v="12"/>
    <x v="1"/>
    <s v="INVALID"/>
    <m/>
    <x v="2"/>
    <m/>
    <m/>
  </r>
  <r>
    <n v="50"/>
    <n v="4.3499999999999996"/>
    <x v="3"/>
    <x v="2"/>
    <n v="300"/>
    <n v="17.7"/>
    <n v="19.18"/>
    <n v="3.69"/>
    <n v="84.83"/>
    <n v="17"/>
    <x v="0"/>
    <s v="VALID"/>
    <n v="0.21705882352941175"/>
    <x v="1"/>
    <n v="52.004999999999995"/>
    <s v="Medium"/>
  </r>
  <r>
    <n v="400"/>
    <n v="16.149999999999999"/>
    <x v="1"/>
    <x v="4"/>
    <n v="600"/>
    <n v="89.6"/>
    <n v="3.36"/>
    <n v="6.01"/>
    <n v="37.21"/>
    <n v="3"/>
    <x v="1"/>
    <s v="VALID"/>
    <n v="2.0033333333333334"/>
    <x v="1"/>
    <n v="20.285"/>
    <s v="Low"/>
  </r>
  <r>
    <n v="800"/>
    <n v="28.05"/>
    <x v="2"/>
    <x v="2"/>
    <n v="150"/>
    <n v="52"/>
    <n v="8.76"/>
    <n v="0.42"/>
    <n v="1.5"/>
    <n v="4"/>
    <x v="2"/>
    <s v="VALID"/>
    <n v="0.105"/>
    <x v="1"/>
    <n v="5.13"/>
    <s v="Low"/>
  </r>
  <r>
    <n v="1200"/>
    <n v="18.36"/>
    <x v="3"/>
    <x v="3"/>
    <n v="900"/>
    <n v="-2.2000000000000002"/>
    <n v="16.53"/>
    <n v="6.54"/>
    <n v="35.619999999999997"/>
    <n v="21"/>
    <x v="1"/>
    <s v="VALID"/>
    <n v="0.31142857142857144"/>
    <x v="1"/>
    <n v="26.074999999999999"/>
    <s v="Low"/>
  </r>
  <r>
    <n v="100"/>
    <n v="5.83"/>
    <x v="0"/>
    <x v="0"/>
    <n v="150"/>
    <n v="46.4"/>
    <n v="15.07"/>
    <n v="1.24"/>
    <n v="21.27"/>
    <n v="5"/>
    <x v="2"/>
    <s v="VALID"/>
    <n v="0.248"/>
    <x v="1"/>
    <n v="18.170000000000002"/>
    <s v="Low"/>
  </r>
  <r>
    <n v="1000"/>
    <n v="22.79"/>
    <x v="3"/>
    <x v="4"/>
    <n v="600"/>
    <n v="24.3"/>
    <n v="11.82"/>
    <n v="8.2200000000000006"/>
    <n v="36.07"/>
    <n v="2"/>
    <x v="1"/>
    <s v="VALID"/>
    <n v="4.1100000000000003"/>
    <x v="1"/>
    <n v="23.945"/>
    <s v="Low"/>
  </r>
  <r>
    <n v="300"/>
    <n v="12.24"/>
    <x v="3"/>
    <x v="3"/>
    <n v="300"/>
    <n v="24.6"/>
    <n v="9.5299999999999994"/>
    <n v="4.75"/>
    <n v="38.81"/>
    <n v="20"/>
    <x v="0"/>
    <s v="VALID"/>
    <n v="0.23749999999999999"/>
    <x v="1"/>
    <n v="24.17"/>
    <s v="Low"/>
  </r>
  <r>
    <n v="100"/>
    <n v="4.29"/>
    <x v="3"/>
    <x v="1"/>
    <n v="600"/>
    <n v="142.69999999999999"/>
    <n v="14.33"/>
    <n v="4.17"/>
    <n v="97.2"/>
    <n v="17"/>
    <x v="0"/>
    <s v="VALID"/>
    <n v="0.24529411764705883"/>
    <x v="1"/>
    <n v="55.765000000000001"/>
    <s v="Medium"/>
  </r>
  <r>
    <n v="400"/>
    <n v="11.94"/>
    <x v="1"/>
    <x v="0"/>
    <n v="300"/>
    <n v="11.7"/>
    <n v="15.29"/>
    <n v="1.67"/>
    <n v="13.99"/>
    <n v="12"/>
    <x v="2"/>
    <s v="VALID"/>
    <n v="0.13916666666666666"/>
    <x v="1"/>
    <n v="14.64"/>
    <s v="Low"/>
  </r>
  <r>
    <n v="200"/>
    <n v="7.19"/>
    <x v="0"/>
    <x v="1"/>
    <n v="300"/>
    <n v="11.7"/>
    <n v="1.68"/>
    <n v="3.99"/>
    <n v="55.49"/>
    <n v="7"/>
    <x v="0"/>
    <s v="VALID"/>
    <n v="0.57000000000000006"/>
    <x v="1"/>
    <n v="28.585000000000001"/>
    <s v="Low"/>
  </r>
  <r>
    <n v="600"/>
    <n v="23.85"/>
    <x v="3"/>
    <x v="1"/>
    <n v="2500"/>
    <n v="49.6"/>
    <n v="5.78"/>
    <n v="1.82"/>
    <n v="7.63"/>
    <n v="1"/>
    <x v="2"/>
    <s v="VALID"/>
    <n v="1.82"/>
    <x v="1"/>
    <n v="6.7050000000000001"/>
    <s v="Low"/>
  </r>
  <r>
    <n v="1500"/>
    <n v="48.84"/>
    <x v="3"/>
    <x v="3"/>
    <n v="2500"/>
    <n v="52.1"/>
    <n v="3.51"/>
    <n v="9.8000000000000007"/>
    <n v="20.07"/>
    <n v="23"/>
    <x v="1"/>
    <s v="VALID"/>
    <n v="0.42608695652173917"/>
    <x v="0"/>
    <n v="11.79"/>
    <s v="Low"/>
  </r>
  <r>
    <n v="250"/>
    <n v="9.25"/>
    <x v="0"/>
    <x v="1"/>
    <n v="300"/>
    <n v="74.2"/>
    <n v="3.69"/>
    <n v="2.64"/>
    <n v="28.54"/>
    <n v="6"/>
    <x v="0"/>
    <s v="VALID"/>
    <n v="0.44"/>
    <x v="0"/>
    <n v="16.114999999999998"/>
    <s v="Low"/>
  </r>
  <r>
    <n v="600"/>
    <n v="29.46"/>
    <x v="1"/>
    <x v="0"/>
    <n v="600"/>
    <n v="46.6"/>
    <n v="11.64"/>
    <n v="0.45"/>
    <n v="1.53"/>
    <n v="5"/>
    <x v="2"/>
    <s v="VALID"/>
    <n v="0.09"/>
    <x v="1"/>
    <n v="6.585"/>
    <s v="Low"/>
  </r>
  <r>
    <n v="500"/>
    <n v="11.26"/>
    <x v="4"/>
    <x v="3"/>
    <n v="1500"/>
    <n v="77.900000000000006"/>
    <n v="14.86"/>
    <n v="8.67"/>
    <n v="77"/>
    <n v="14"/>
    <x v="1"/>
    <s v="VALID"/>
    <n v="0.61928571428571433"/>
    <x v="1"/>
    <n v="45.93"/>
    <s v="Medium"/>
  </r>
  <r>
    <n v="200"/>
    <n v="12"/>
    <x v="1"/>
    <x v="2"/>
    <n v="2500"/>
    <n v="1"/>
    <n v="6.49"/>
    <n v="8.7799999999999994"/>
    <n v="73.17"/>
    <n v="17"/>
    <x v="1"/>
    <s v="VALID"/>
    <n v="0.51647058823529413"/>
    <x v="0"/>
    <n v="39.83"/>
    <s v="Medium"/>
  </r>
  <r>
    <n v="250"/>
    <n v="10.56"/>
    <x v="0"/>
    <x v="3"/>
    <n v="150"/>
    <n v="116.2"/>
    <n v="7.59"/>
    <n v="4.16"/>
    <n v="39.39"/>
    <n v="24"/>
    <x v="0"/>
    <s v="VALID"/>
    <n v="0.17333333333333334"/>
    <x v="0"/>
    <n v="23.490000000000002"/>
    <s v="Low"/>
  </r>
  <r>
    <n v="600"/>
    <n v="10.09"/>
    <x v="4"/>
    <x v="0"/>
    <n v="300"/>
    <n v="-20.100000000000001"/>
    <n v="3.04"/>
    <n v="6.15"/>
    <n v="60.95"/>
    <n v="14"/>
    <x v="1"/>
    <s v="VALID"/>
    <n v="0.43928571428571433"/>
    <x v="1"/>
    <n v="31.995000000000001"/>
    <s v="Medium"/>
  </r>
  <r>
    <n v="200"/>
    <n v="10.57"/>
    <x v="0"/>
    <x v="2"/>
    <n v="900"/>
    <n v="98.1"/>
    <n v="0.33"/>
    <n v="6.77"/>
    <n v="64.05"/>
    <n v="12"/>
    <x v="1"/>
    <s v="VALID"/>
    <n v="0.56416666666666659"/>
    <x v="1"/>
    <n v="32.19"/>
    <s v="Medium"/>
  </r>
  <r>
    <n v="1500"/>
    <n v="45.56"/>
    <x v="3"/>
    <x v="1"/>
    <n v="600"/>
    <n v="138.5"/>
    <n v="15.72"/>
    <n v="8.7899999999999991"/>
    <n v="19.29"/>
    <n v="4"/>
    <x v="1"/>
    <s v="VALID"/>
    <n v="2.1974999999999998"/>
    <x v="1"/>
    <n v="17.504999999999999"/>
    <s v="Low"/>
  </r>
  <r>
    <n v="250"/>
    <n v="8.27"/>
    <x v="3"/>
    <x v="1"/>
    <n v="1500"/>
    <n v="38.700000000000003"/>
    <n v="3.44"/>
    <n v="8.0399999999999991"/>
    <n v="97.22"/>
    <n v="17"/>
    <x v="1"/>
    <s v="VALID"/>
    <n v="0.4729411764705882"/>
    <x v="1"/>
    <n v="50.33"/>
    <s v="Medium"/>
  </r>
  <r>
    <n v="1500"/>
    <n v="48.66"/>
    <x v="1"/>
    <x v="2"/>
    <n v="150"/>
    <n v="-6.2"/>
    <n v="5.48"/>
    <n v="5.24"/>
    <n v="10.77"/>
    <n v="6"/>
    <x v="1"/>
    <s v="VALID"/>
    <n v="0.87333333333333341"/>
    <x v="0"/>
    <n v="8.125"/>
    <s v="Low"/>
  </r>
  <r>
    <n v="50"/>
    <n v="5.24"/>
    <x v="3"/>
    <x v="4"/>
    <n v="150"/>
    <n v="79.599999999999994"/>
    <n v="12.7"/>
    <n v="0.08"/>
    <n v="1.53"/>
    <n v="7"/>
    <x v="2"/>
    <s v="VALID"/>
    <n v="1.1428571428571429E-2"/>
    <x v="1"/>
    <n v="7.1149999999999993"/>
    <s v="Low"/>
  </r>
  <r>
    <n v="150"/>
    <n v="8.31"/>
    <x v="0"/>
    <x v="3"/>
    <n v="900"/>
    <n v="-16.7"/>
    <n v="2.76"/>
    <n v="7.64"/>
    <n v="91.94"/>
    <n v="4"/>
    <x v="1"/>
    <s v="VALID"/>
    <n v="1.91"/>
    <x v="1"/>
    <n v="47.35"/>
    <s v="Medium"/>
  </r>
  <r>
    <n v="250"/>
    <n v="9.3699999999999992"/>
    <x v="1"/>
    <x v="0"/>
    <n v="2500"/>
    <n v="54.6"/>
    <n v="7.99"/>
    <n v="8.9600000000000009"/>
    <n v="95.62"/>
    <n v="16"/>
    <x v="1"/>
    <s v="VALID"/>
    <n v="0.56000000000000005"/>
    <x v="1"/>
    <n v="51.805"/>
    <s v="Medium"/>
  </r>
  <r>
    <n v="400"/>
    <n v="19.059999999999999"/>
    <x v="3"/>
    <x v="0"/>
    <n v="2500"/>
    <n v="63.1"/>
    <n v="2.78"/>
    <n v="2.1800000000000002"/>
    <n v="11.44"/>
    <n v="23"/>
    <x v="0"/>
    <s v="VALID"/>
    <n v="9.4782608695652179E-2"/>
    <x v="0"/>
    <n v="7.1099999999999994"/>
    <s v="Low"/>
  </r>
  <r>
    <n v="1000"/>
    <n v="22.01"/>
    <x v="3"/>
    <x v="0"/>
    <n v="300"/>
    <n v="12.7"/>
    <n v="9.65"/>
    <n v="8.81"/>
    <n v="40.03"/>
    <n v="15"/>
    <x v="1"/>
    <s v="VALID"/>
    <n v="0.58733333333333337"/>
    <x v="0"/>
    <n v="24.84"/>
    <s v="Low"/>
  </r>
  <r>
    <n v="1200"/>
    <n v="30.98"/>
    <x v="3"/>
    <x v="2"/>
    <n v="300"/>
    <n v="82.6"/>
    <n v="12.91"/>
    <n v="2.38"/>
    <n v="7.68"/>
    <n v="18"/>
    <x v="0"/>
    <s v="VALID"/>
    <n v="0.13222222222222221"/>
    <x v="1"/>
    <n v="10.295"/>
    <s v="Low"/>
  </r>
  <r>
    <n v="1000"/>
    <n v="21.91"/>
    <x v="2"/>
    <x v="2"/>
    <n v="150"/>
    <n v="105.7"/>
    <n v="14.23"/>
    <n v="0.76"/>
    <n v="3.47"/>
    <n v="7"/>
    <x v="2"/>
    <s v="VALID"/>
    <n v="0.10857142857142857"/>
    <x v="1"/>
    <n v="8.85"/>
    <s v="Low"/>
  </r>
  <r>
    <n v="800"/>
    <n v="24.25"/>
    <x v="0"/>
    <x v="2"/>
    <n v="150"/>
    <n v="-28.4"/>
    <n v="8.1"/>
    <n v="8.0399999999999991"/>
    <n v="33.15"/>
    <n v="9"/>
    <x v="1"/>
    <s v="VALID"/>
    <n v="0.8933333333333332"/>
    <x v="1"/>
    <n v="20.625"/>
    <s v="Low"/>
  </r>
  <r>
    <n v="300"/>
    <n v="17.77"/>
    <x v="1"/>
    <x v="0"/>
    <n v="600"/>
    <n v="74"/>
    <n v="12.62"/>
    <n v="5.54"/>
    <n v="31.18"/>
    <n v="9"/>
    <x v="1"/>
    <s v="VALID"/>
    <n v="0.61555555555555552"/>
    <x v="1"/>
    <n v="21.9"/>
    <s v="Low"/>
  </r>
  <r>
    <n v="800"/>
    <n v="30.5"/>
    <x v="4"/>
    <x v="2"/>
    <n v="2500"/>
    <n v="60.4"/>
    <n v="9.08"/>
    <n v="3.44"/>
    <n v="11.28"/>
    <n v="23"/>
    <x v="0"/>
    <s v="VALID"/>
    <n v="0.14956521739130435"/>
    <x v="1"/>
    <n v="10.18"/>
    <s v="Low"/>
  </r>
  <r>
    <n v="1500"/>
    <n v="47.92"/>
    <x v="3"/>
    <x v="2"/>
    <n v="600"/>
    <n v="63.2"/>
    <n v="1.66"/>
    <n v="7.53"/>
    <n v="15.71"/>
    <n v="17"/>
    <x v="1"/>
    <s v="VALID"/>
    <n v="0.44294117647058823"/>
    <x v="0"/>
    <n v="8.6850000000000005"/>
    <s v="Low"/>
  </r>
  <r>
    <n v="600"/>
    <n v="29.21"/>
    <x v="1"/>
    <x v="4"/>
    <n v="900"/>
    <n v="1.6"/>
    <n v="14.94"/>
    <n v="5.67"/>
    <n v="19.41"/>
    <n v="3"/>
    <x v="1"/>
    <s v="VALID"/>
    <n v="1.89"/>
    <x v="1"/>
    <n v="17.175000000000001"/>
    <s v="Low"/>
  </r>
  <r>
    <n v="100"/>
    <n v="4.3099999999999996"/>
    <x v="2"/>
    <x v="1"/>
    <n v="600"/>
    <n v="30.5"/>
    <n v="15.37"/>
    <n v="2.58"/>
    <n v="59.86"/>
    <n v="11"/>
    <x v="0"/>
    <s v="VALID"/>
    <n v="0.23454545454545456"/>
    <x v="1"/>
    <n v="37.615000000000002"/>
    <s v="Medium"/>
  </r>
  <r>
    <n v="800"/>
    <n v="29.61"/>
    <x v="3"/>
    <x v="1"/>
    <n v="2500"/>
    <n v="-7.2"/>
    <n v="5.57"/>
    <n v="9.94"/>
    <n v="33.57"/>
    <n v="11"/>
    <x v="1"/>
    <s v="VALID"/>
    <n v="0.90363636363636357"/>
    <x v="1"/>
    <n v="19.57"/>
    <s v="Low"/>
  </r>
  <r>
    <n v="250"/>
    <n v="7.35"/>
    <x v="1"/>
    <x v="4"/>
    <n v="900"/>
    <n v="43.5"/>
    <n v="14.63"/>
    <n v="2.84"/>
    <n v="38.64"/>
    <n v="6"/>
    <x v="0"/>
    <s v="VALID"/>
    <n v="0.47333333333333333"/>
    <x v="0"/>
    <n v="26.635000000000002"/>
    <s v="Low"/>
  </r>
  <r>
    <n v="100"/>
    <n v="6.37"/>
    <x v="0"/>
    <x v="3"/>
    <n v="900"/>
    <n v="37.799999999999997"/>
    <n v="2.89"/>
    <n v="7.99"/>
    <n v="125.43"/>
    <n v="13"/>
    <x v="1"/>
    <s v="INVALID"/>
    <m/>
    <x v="2"/>
    <m/>
    <m/>
  </r>
  <r>
    <n v="600"/>
    <n v="23.46"/>
    <x v="3"/>
    <x v="3"/>
    <n v="900"/>
    <n v="2.8"/>
    <n v="13.95"/>
    <n v="6.4"/>
    <n v="27.28"/>
    <n v="1"/>
    <x v="1"/>
    <s v="VALID"/>
    <n v="6.4"/>
    <x v="1"/>
    <n v="20.615000000000002"/>
    <s v="Low"/>
  </r>
  <r>
    <n v="300"/>
    <n v="8.9600000000000009"/>
    <x v="3"/>
    <x v="2"/>
    <n v="2500"/>
    <n v="43.2"/>
    <n v="3.8"/>
    <n v="1.19"/>
    <n v="13.28"/>
    <n v="12"/>
    <x v="2"/>
    <s v="VALID"/>
    <n v="9.9166666666666667E-2"/>
    <x v="1"/>
    <n v="8.5399999999999991"/>
    <s v="Low"/>
  </r>
  <r>
    <n v="300"/>
    <n v="9.7100000000000009"/>
    <x v="3"/>
    <x v="1"/>
    <n v="1500"/>
    <n v="-22.9"/>
    <n v="8.9"/>
    <n v="4.1500000000000004"/>
    <n v="42.74"/>
    <n v="10"/>
    <x v="0"/>
    <s v="VALID"/>
    <n v="0.41500000000000004"/>
    <x v="0"/>
    <n v="25.82"/>
    <s v="Low"/>
  </r>
  <r>
    <n v="400"/>
    <n v="9.89"/>
    <x v="2"/>
    <x v="1"/>
    <n v="1500"/>
    <n v="11"/>
    <n v="16.309999999999999"/>
    <n v="0.86"/>
    <n v="8.6999999999999993"/>
    <n v="19"/>
    <x v="2"/>
    <s v="VALID"/>
    <n v="4.5263157894736838E-2"/>
    <x v="0"/>
    <n v="12.504999999999999"/>
    <s v="Low"/>
  </r>
  <r>
    <n v="150"/>
    <n v="7.34"/>
    <x v="3"/>
    <x v="2"/>
    <n v="1500"/>
    <n v="16.899999999999999"/>
    <n v="6.6"/>
    <n v="3.21"/>
    <n v="43.73"/>
    <n v="16"/>
    <x v="0"/>
    <s v="VALID"/>
    <n v="0.200625"/>
    <x v="0"/>
    <n v="25.164999999999999"/>
    <s v="Low"/>
  </r>
  <r>
    <n v="150"/>
    <n v="5.98"/>
    <x v="0"/>
    <x v="3"/>
    <n v="1500"/>
    <n v="-7.2"/>
    <n v="11.61"/>
    <n v="6.32"/>
    <n v="105.69"/>
    <n v="1"/>
    <x v="1"/>
    <s v="INVALID"/>
    <m/>
    <x v="2"/>
    <m/>
    <m/>
  </r>
  <r>
    <n v="500"/>
    <n v="17.559999999999999"/>
    <x v="4"/>
    <x v="4"/>
    <n v="300"/>
    <n v="19.399999999999999"/>
    <n v="17.52"/>
    <n v="6.12"/>
    <n v="34.85"/>
    <n v="20"/>
    <x v="1"/>
    <s v="VALID"/>
    <n v="0.30599999999999999"/>
    <x v="0"/>
    <n v="26.185000000000002"/>
    <s v="Low"/>
  </r>
  <r>
    <n v="400"/>
    <n v="18.18"/>
    <x v="0"/>
    <x v="2"/>
    <n v="600"/>
    <n v="133.9"/>
    <n v="2.06"/>
    <n v="1.64"/>
    <n v="9.02"/>
    <n v="23"/>
    <x v="2"/>
    <s v="VALID"/>
    <n v="7.1304347826086953E-2"/>
    <x v="1"/>
    <n v="5.54"/>
    <s v="Low"/>
  </r>
  <r>
    <n v="200"/>
    <n v="8.2899999999999991"/>
    <x v="1"/>
    <x v="0"/>
    <n v="1500"/>
    <n v="58"/>
    <n v="4.7300000000000004"/>
    <n v="1.65"/>
    <n v="19.899999999999999"/>
    <n v="10"/>
    <x v="2"/>
    <s v="VALID"/>
    <n v="0.16499999999999998"/>
    <x v="1"/>
    <n v="12.315"/>
    <s v="Low"/>
  </r>
  <r>
    <n v="500"/>
    <n v="22.11"/>
    <x v="3"/>
    <x v="1"/>
    <n v="600"/>
    <n v="35.1"/>
    <n v="10.4"/>
    <n v="3"/>
    <n v="13.57"/>
    <n v="8"/>
    <x v="0"/>
    <s v="VALID"/>
    <n v="0.375"/>
    <x v="0"/>
    <n v="11.984999999999999"/>
    <s v="Low"/>
  </r>
  <r>
    <n v="1500"/>
    <n v="47.99"/>
    <x v="3"/>
    <x v="4"/>
    <n v="150"/>
    <n v="51.8"/>
    <n v="2.0099999999999998"/>
    <n v="5.34"/>
    <n v="11.13"/>
    <n v="5"/>
    <x v="1"/>
    <s v="VALID"/>
    <n v="1.0680000000000001"/>
    <x v="1"/>
    <n v="6.57"/>
    <s v="Low"/>
  </r>
  <r>
    <n v="600"/>
    <n v="25.19"/>
    <x v="3"/>
    <x v="2"/>
    <n v="600"/>
    <n v="-40.9"/>
    <n v="1.9"/>
    <n v="5.63"/>
    <n v="22.35"/>
    <n v="25"/>
    <x v="1"/>
    <s v="VALID"/>
    <n v="0.22519999999999998"/>
    <x v="1"/>
    <n v="12.125"/>
    <s v="Low"/>
  </r>
  <r>
    <n v="1200"/>
    <n v="36.86"/>
    <x v="0"/>
    <x v="3"/>
    <n v="1500"/>
    <n v="54.1"/>
    <n v="3.7"/>
    <n v="7.92"/>
    <n v="21.49"/>
    <n v="15"/>
    <x v="1"/>
    <s v="VALID"/>
    <n v="0.52800000000000002"/>
    <x v="1"/>
    <n v="12.594999999999999"/>
    <s v="Low"/>
  </r>
  <r>
    <n v="200"/>
    <n v="7.28"/>
    <x v="1"/>
    <x v="4"/>
    <n v="600"/>
    <n v="54.1"/>
    <n v="19.07"/>
    <n v="9.18"/>
    <n v="126.1"/>
    <n v="11"/>
    <x v="1"/>
    <s v="INVALID"/>
    <m/>
    <x v="2"/>
    <m/>
    <m/>
  </r>
  <r>
    <n v="500"/>
    <n v="15.64"/>
    <x v="3"/>
    <x v="4"/>
    <n v="300"/>
    <n v="41.6"/>
    <n v="3.71"/>
    <n v="3.73"/>
    <n v="23.85"/>
    <n v="22"/>
    <x v="0"/>
    <s v="VALID"/>
    <n v="0.16954545454545455"/>
    <x v="1"/>
    <n v="13.780000000000001"/>
    <s v="Low"/>
  </r>
  <r>
    <n v="200"/>
    <n v="11.87"/>
    <x v="4"/>
    <x v="0"/>
    <n v="600"/>
    <n v="35.4"/>
    <n v="19.72"/>
    <n v="9.6"/>
    <n v="80.88"/>
    <n v="8"/>
    <x v="1"/>
    <s v="VALID"/>
    <n v="1.2"/>
    <x v="1"/>
    <n v="50.3"/>
    <s v="Medium"/>
  </r>
  <r>
    <n v="150"/>
    <n v="9.2799999999999994"/>
    <x v="2"/>
    <x v="4"/>
    <n v="600"/>
    <n v="-23.7"/>
    <n v="16.37"/>
    <n v="2.7"/>
    <n v="29.09"/>
    <n v="7"/>
    <x v="0"/>
    <s v="VALID"/>
    <n v="0.38571428571428573"/>
    <x v="1"/>
    <n v="22.73"/>
    <s v="Low"/>
  </r>
  <r>
    <n v="800"/>
    <n v="30.78"/>
    <x v="3"/>
    <x v="4"/>
    <n v="900"/>
    <n v="87.8"/>
    <n v="18.36"/>
    <n v="4.88"/>
    <n v="15.85"/>
    <n v="4"/>
    <x v="0"/>
    <s v="VALID"/>
    <n v="1.22"/>
    <x v="1"/>
    <n v="17.105"/>
    <s v="Low"/>
  </r>
  <r>
    <n v="150"/>
    <n v="8.2899999999999991"/>
    <x v="4"/>
    <x v="2"/>
    <n v="2500"/>
    <n v="13.4"/>
    <n v="19.59"/>
    <n v="5.66"/>
    <n v="68.28"/>
    <n v="2"/>
    <x v="1"/>
    <s v="VALID"/>
    <n v="2.83"/>
    <x v="1"/>
    <n v="43.935000000000002"/>
    <s v="Medium"/>
  </r>
  <r>
    <n v="100"/>
    <n v="4.2300000000000004"/>
    <x v="3"/>
    <x v="2"/>
    <n v="300"/>
    <n v="24.2"/>
    <n v="17.16"/>
    <n v="6.84"/>
    <n v="161.69999999999999"/>
    <n v="17"/>
    <x v="1"/>
    <s v="INVALID"/>
    <m/>
    <x v="2"/>
    <m/>
    <m/>
  </r>
  <r>
    <n v="150"/>
    <n v="8.26"/>
    <x v="3"/>
    <x v="3"/>
    <n v="900"/>
    <n v="107.8"/>
    <n v="16.91"/>
    <n v="1.18"/>
    <n v="14.29"/>
    <n v="10"/>
    <x v="2"/>
    <s v="VALID"/>
    <n v="0.11799999999999999"/>
    <x v="1"/>
    <n v="15.6"/>
    <s v="Low"/>
  </r>
  <r>
    <n v="150"/>
    <n v="9.4700000000000006"/>
    <x v="4"/>
    <x v="4"/>
    <n v="150"/>
    <n v="85.9"/>
    <n v="15.5"/>
    <n v="5.94"/>
    <n v="62.72"/>
    <n v="12"/>
    <x v="1"/>
    <s v="VALID"/>
    <n v="0.49500000000000005"/>
    <x v="1"/>
    <n v="39.11"/>
    <s v="Medium"/>
  </r>
  <r>
    <n v="300"/>
    <n v="11.52"/>
    <x v="2"/>
    <x v="4"/>
    <n v="900"/>
    <n v="-11"/>
    <n v="12"/>
    <n v="4.9800000000000004"/>
    <n v="43.23"/>
    <n v="5"/>
    <x v="0"/>
    <s v="VALID"/>
    <n v="0.99600000000000011"/>
    <x v="1"/>
    <n v="27.614999999999998"/>
    <s v="Low"/>
  </r>
  <r>
    <n v="50"/>
    <n v="5.95"/>
    <x v="4"/>
    <x v="0"/>
    <n v="1500"/>
    <n v="14.8"/>
    <n v="16.27"/>
    <n v="9.25"/>
    <n v="155.46"/>
    <n v="11"/>
    <x v="1"/>
    <s v="INVALID"/>
    <m/>
    <x v="2"/>
    <m/>
    <m/>
  </r>
  <r>
    <n v="800"/>
    <n v="28.69"/>
    <x v="4"/>
    <x v="4"/>
    <n v="600"/>
    <n v="11.4"/>
    <n v="16.63"/>
    <n v="0.91"/>
    <n v="3.17"/>
    <n v="14"/>
    <x v="2"/>
    <s v="VALID"/>
    <n v="6.5000000000000002E-2"/>
    <x v="0"/>
    <n v="9.8999999999999986"/>
    <s v="Low"/>
  </r>
  <r>
    <n v="250"/>
    <n v="13.4"/>
    <x v="1"/>
    <x v="3"/>
    <n v="2500"/>
    <n v="69.8"/>
    <n v="3.74"/>
    <n v="0.85"/>
    <n v="6.34"/>
    <n v="14"/>
    <x v="2"/>
    <s v="VALID"/>
    <n v="6.0714285714285714E-2"/>
    <x v="1"/>
    <n v="5.04"/>
    <s v="Low"/>
  </r>
  <r>
    <n v="500"/>
    <n v="19.43"/>
    <x v="4"/>
    <x v="1"/>
    <n v="600"/>
    <n v="20.9"/>
    <n v="4.03"/>
    <n v="3.7"/>
    <n v="19.04"/>
    <n v="16"/>
    <x v="0"/>
    <s v="VALID"/>
    <n v="0.23125000000000001"/>
    <x v="0"/>
    <n v="11.535"/>
    <s v="Low"/>
  </r>
  <r>
    <n v="1500"/>
    <n v="34.85"/>
    <x v="1"/>
    <x v="4"/>
    <n v="150"/>
    <n v="96.2"/>
    <n v="5.16"/>
    <n v="9.98"/>
    <n v="28.64"/>
    <n v="15"/>
    <x v="1"/>
    <s v="VALID"/>
    <n v="0.66533333333333333"/>
    <x v="1"/>
    <n v="16.899999999999999"/>
    <s v="Low"/>
  </r>
  <r>
    <n v="800"/>
    <n v="12.53"/>
    <x v="0"/>
    <x v="0"/>
    <n v="150"/>
    <n v="6.5"/>
    <n v="6.54"/>
    <n v="1.07"/>
    <n v="8.5399999999999991"/>
    <n v="23"/>
    <x v="2"/>
    <s v="VALID"/>
    <n v="4.6521739130434787E-2"/>
    <x v="1"/>
    <n v="7.5399999999999991"/>
    <s v="Low"/>
  </r>
  <r>
    <n v="100"/>
    <n v="6.77"/>
    <x v="1"/>
    <x v="1"/>
    <n v="600"/>
    <n v="44.7"/>
    <n v="15.9"/>
    <n v="6.22"/>
    <n v="91.88"/>
    <n v="15"/>
    <x v="1"/>
    <s v="VALID"/>
    <n v="0.41466666666666663"/>
    <x v="1"/>
    <n v="53.89"/>
    <s v="Medium"/>
  </r>
  <r>
    <n v="300"/>
    <n v="15.05"/>
    <x v="2"/>
    <x v="3"/>
    <n v="600"/>
    <n v="37.9"/>
    <n v="6.6"/>
    <n v="5.39"/>
    <n v="35.81"/>
    <n v="12"/>
    <x v="1"/>
    <s v="VALID"/>
    <n v="0.44916666666666666"/>
    <x v="1"/>
    <n v="21.205000000000002"/>
    <s v="Low"/>
  </r>
  <r>
    <n v="300"/>
    <n v="15.01"/>
    <x v="2"/>
    <x v="0"/>
    <n v="300"/>
    <n v="92"/>
    <n v="16.53"/>
    <n v="4.3099999999999996"/>
    <n v="28.71"/>
    <n v="10"/>
    <x v="0"/>
    <s v="VALID"/>
    <n v="0.43099999999999994"/>
    <x v="1"/>
    <n v="22.62"/>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800"/>
    <n v="15.48"/>
    <x v="0"/>
    <x v="0"/>
    <n v="300"/>
    <n v="84.9"/>
    <n v="16.04"/>
    <n v="4.91"/>
    <n v="31.72"/>
    <n v="2"/>
    <s v="Moderate"/>
    <s v="VALID"/>
    <n v="2.4550000000000001"/>
    <s v="Medium"/>
    <n v="23.88"/>
    <s v="Low"/>
  </r>
  <r>
    <n v="800"/>
    <n v="22"/>
    <x v="1"/>
    <x v="1"/>
    <n v="150"/>
    <n v="14.1"/>
    <n v="7.38"/>
    <n v="7.32"/>
    <n v="33.270000000000003"/>
    <n v="4"/>
    <s v="Critical"/>
    <s v="VALID"/>
    <n v="1.83"/>
    <s v="Low"/>
    <n v="20.325000000000003"/>
    <s v="Low"/>
  </r>
  <r>
    <n v="400"/>
    <n v="12.05"/>
    <x v="0"/>
    <x v="2"/>
    <n v="2500"/>
    <n v="0.6"/>
    <n v="2.12"/>
    <n v="6.32"/>
    <n v="52.45"/>
    <n v="7"/>
    <s v="Critical"/>
    <s v="VALID"/>
    <n v="0.90285714285714291"/>
    <s v="Low"/>
    <n v="27.285"/>
    <s v="Low"/>
  </r>
  <r>
    <n v="1500"/>
    <n v="38.72"/>
    <x v="0"/>
    <x v="3"/>
    <n v="1500"/>
    <n v="52.7"/>
    <n v="5.58"/>
    <n v="6.2"/>
    <n v="16.010000000000002"/>
    <n v="19"/>
    <s v="Critical"/>
    <s v="VALID"/>
    <n v="0.32631578947368423"/>
    <s v="Medium"/>
    <n v="10.795000000000002"/>
    <s v="Low"/>
  </r>
  <r>
    <n v="1500"/>
    <n v="24.32"/>
    <x v="2"/>
    <x v="4"/>
    <n v="1500"/>
    <n v="11.7"/>
    <n v="12.29"/>
    <n v="8.58"/>
    <n v="35.28"/>
    <n v="20"/>
    <s v="Critical"/>
    <s v="VALID"/>
    <n v="0.42899999999999999"/>
    <s v="Medium"/>
    <n v="23.785"/>
    <s v="Low"/>
  </r>
  <r>
    <n v="600"/>
    <n v="16.75"/>
    <x v="3"/>
    <x v="2"/>
    <n v="600"/>
    <n v="67.3"/>
    <n v="2.06"/>
    <n v="5.21"/>
    <n v="31.1"/>
    <n v="11"/>
    <s v="Critical"/>
    <s v="VALID"/>
    <n v="0.47363636363636363"/>
    <s v="Medium"/>
    <n v="16.580000000000002"/>
    <s v="Low"/>
  </r>
  <r>
    <n v="200"/>
    <n v="9.94"/>
    <x v="0"/>
    <x v="1"/>
    <n v="1500"/>
    <n v="89.6"/>
    <n v="1.34"/>
    <n v="5.86"/>
    <n v="58.95"/>
    <n v="6"/>
    <s v="Critical"/>
    <s v="VALID"/>
    <n v="0.97666666666666668"/>
    <s v="Low"/>
    <n v="30.145000000000003"/>
    <s v="Medium"/>
  </r>
  <r>
    <n v="300"/>
    <n v="13.87"/>
    <x v="0"/>
    <x v="1"/>
    <n v="900"/>
    <n v="40.799999999999997"/>
    <n v="5.57"/>
    <n v="3.02"/>
    <n v="21.77"/>
    <n v="21"/>
    <s v="Moderate"/>
    <s v="VALID"/>
    <n v="0.1438095238095238"/>
    <s v="Medium"/>
    <n v="13.67"/>
    <s v="Low"/>
  </r>
  <r>
    <n v="150"/>
    <n v="8.86"/>
    <x v="3"/>
    <x v="4"/>
    <n v="300"/>
    <n v="3.2"/>
    <n v="13.84"/>
    <n v="2.4700000000000002"/>
    <n v="27.88"/>
    <n v="19"/>
    <s v="Moderate"/>
    <s v="VALID"/>
    <n v="0.13"/>
    <s v="Low"/>
    <n v="20.86"/>
    <s v="Low"/>
  </r>
  <r>
    <n v="800"/>
    <n v="25.78"/>
    <x v="4"/>
    <x v="0"/>
    <n v="150"/>
    <n v="11.6"/>
    <n v="18.68"/>
    <n v="0.53"/>
    <n v="2.06"/>
    <n v="1"/>
    <s v="Normal"/>
    <s v="VALID"/>
    <n v="0.53"/>
    <s v="Low"/>
    <n v="10.37"/>
    <s v="Low"/>
  </r>
  <r>
    <n v="300"/>
    <n v="11.52"/>
    <x v="4"/>
    <x v="0"/>
    <n v="900"/>
    <n v="100.4"/>
    <n v="12.23"/>
    <n v="8.8000000000000007"/>
    <n v="76.39"/>
    <n v="13"/>
    <s v="Critical"/>
    <s v="VALID"/>
    <n v="0.67692307692307696"/>
    <s v="Low"/>
    <n v="44.31"/>
    <s v="Medium"/>
  </r>
  <r>
    <n v="1000"/>
    <n v="20.58"/>
    <x v="1"/>
    <x v="4"/>
    <n v="900"/>
    <n v="67.5"/>
    <n v="14.33"/>
    <n v="7.32"/>
    <n v="35.57"/>
    <n v="6"/>
    <s v="Critical"/>
    <s v="VALID"/>
    <n v="1.22"/>
    <s v="Low"/>
    <n v="24.95"/>
    <s v="Low"/>
  </r>
  <r>
    <n v="300"/>
    <n v="13.03"/>
    <x v="4"/>
    <x v="1"/>
    <n v="600"/>
    <n v="9.6999999999999993"/>
    <n v="14.93"/>
    <n v="0.85"/>
    <n v="6.52"/>
    <n v="6"/>
    <s v="Normal"/>
    <s v="VALID"/>
    <n v="0.14166666666666666"/>
    <s v="Low"/>
    <n v="10.725"/>
    <s v="Low"/>
  </r>
  <r>
    <n v="150"/>
    <n v="5.19"/>
    <x v="2"/>
    <x v="0"/>
    <n v="300"/>
    <n v="43.6"/>
    <n v="16.02"/>
    <n v="6.12"/>
    <n v="117.92"/>
    <n v="13"/>
    <s v="Critical"/>
    <s v="INVALID"/>
    <n v="0.47076923076923077"/>
    <m/>
    <m/>
    <m/>
  </r>
  <r>
    <n v="300"/>
    <n v="15.48"/>
    <x v="0"/>
    <x v="3"/>
    <n v="600"/>
    <n v="63.4"/>
    <n v="13.65"/>
    <n v="9.2100000000000009"/>
    <n v="59.5"/>
    <n v="7"/>
    <s v="Critical"/>
    <s v="VALID"/>
    <n v="1.3157142857142858"/>
    <s v="Low"/>
    <n v="36.575000000000003"/>
    <s v="Medium"/>
  </r>
  <r>
    <n v="100"/>
    <n v="6"/>
    <x v="3"/>
    <x v="4"/>
    <n v="1500"/>
    <n v="60.1"/>
    <n v="18.79"/>
    <n v="7.01"/>
    <n v="116.83"/>
    <n v="21"/>
    <s v="Critical"/>
    <s v="INVALID"/>
    <n v="0.33380952380952378"/>
    <m/>
    <m/>
    <m/>
  </r>
  <r>
    <n v="600"/>
    <n v="10.56"/>
    <x v="4"/>
    <x v="1"/>
    <n v="1500"/>
    <n v="145.1"/>
    <n v="11.2"/>
    <n v="1.61"/>
    <n v="15.25"/>
    <n v="8"/>
    <s v="Normal"/>
    <s v="VALID"/>
    <n v="0.20125000000000001"/>
    <s v="Medium"/>
    <n v="13.225"/>
    <s v="Low"/>
  </r>
  <r>
    <n v="300"/>
    <n v="10.87"/>
    <x v="1"/>
    <x v="0"/>
    <n v="900"/>
    <n v="63.9"/>
    <n v="10.99"/>
    <n v="0.04"/>
    <n v="0.37"/>
    <n v="18"/>
    <s v="Normal"/>
    <s v="VALID"/>
    <n v="2.2222222222222222E-3"/>
    <s v="Medium"/>
    <n v="5.68"/>
    <s v="Low"/>
  </r>
  <r>
    <n v="100"/>
    <n v="7.21"/>
    <x v="1"/>
    <x v="1"/>
    <n v="600"/>
    <n v="13.6"/>
    <n v="4.51"/>
    <n v="3.16"/>
    <n v="43.83"/>
    <n v="22"/>
    <s v="Moderate"/>
    <s v="VALID"/>
    <n v="0.14363636363636365"/>
    <s v="Low"/>
    <n v="24.169999999999998"/>
    <s v="Low"/>
  </r>
  <r>
    <n v="100"/>
    <n v="5.49"/>
    <x v="0"/>
    <x v="3"/>
    <n v="900"/>
    <n v="52.6"/>
    <n v="16.25"/>
    <n v="4.2300000000000004"/>
    <n v="77.05"/>
    <n v="13"/>
    <s v="Moderate"/>
    <s v="VALID"/>
    <n v="0.32538461538461544"/>
    <s v="Low"/>
    <n v="46.65"/>
    <s v="Medium"/>
  </r>
  <r>
    <n v="300"/>
    <n v="11.14"/>
    <x v="4"/>
    <x v="1"/>
    <n v="900"/>
    <n v="33"/>
    <n v="16.23"/>
    <n v="9.67"/>
    <n v="86.8"/>
    <n v="24"/>
    <s v="Critical"/>
    <s v="VALID"/>
    <n v="0.40291666666666665"/>
    <s v="Low"/>
    <n v="51.515000000000001"/>
    <s v="Medium"/>
  </r>
  <r>
    <n v="100"/>
    <n v="5.68"/>
    <x v="0"/>
    <x v="1"/>
    <n v="1500"/>
    <n v="45.3"/>
    <n v="12.17"/>
    <n v="7.59"/>
    <n v="133.63"/>
    <n v="10"/>
    <s v="Critical"/>
    <s v="INVALID"/>
    <m/>
    <m/>
    <m/>
    <m/>
  </r>
  <r>
    <n v="1000"/>
    <n v="32.89"/>
    <x v="4"/>
    <x v="0"/>
    <n v="600"/>
    <n v="56.9"/>
    <n v="4.01"/>
    <n v="0.84"/>
    <n v="2.5499999999999998"/>
    <n v="7"/>
    <s v="Normal"/>
    <s v="VALID"/>
    <n v="0.12"/>
    <s v="Medium"/>
    <n v="3.28"/>
    <s v="Low"/>
  </r>
  <r>
    <n v="250"/>
    <n v="12.89"/>
    <x v="0"/>
    <x v="1"/>
    <n v="300"/>
    <n v="145.6"/>
    <n v="2.4500000000000002"/>
    <n v="4.1900000000000004"/>
    <n v="32.51"/>
    <n v="16"/>
    <s v="Moderate"/>
    <s v="VALID"/>
    <n v="0.26187500000000002"/>
    <s v="Low"/>
    <n v="17.48"/>
    <s v="Low"/>
  </r>
  <r>
    <n v="1000"/>
    <n v="32.869999999999997"/>
    <x v="4"/>
    <x v="0"/>
    <n v="600"/>
    <n v="21.6"/>
    <n v="17.260000000000002"/>
    <n v="8.39"/>
    <n v="25.52"/>
    <n v="3"/>
    <s v="Critical"/>
    <s v="VALID"/>
    <n v="2.7966666666666669"/>
    <s v="Low"/>
    <n v="21.39"/>
    <s v="Low"/>
  </r>
  <r>
    <n v="1500"/>
    <n v="28.73"/>
    <x v="2"/>
    <x v="1"/>
    <n v="300"/>
    <n v="117.3"/>
    <n v="4.55"/>
    <n v="1.97"/>
    <n v="6.86"/>
    <n v="12"/>
    <s v="Normal"/>
    <s v="VALID"/>
    <n v="0.16416666666666666"/>
    <s v="Low"/>
    <n v="5.7050000000000001"/>
    <s v="Low"/>
  </r>
  <r>
    <n v="100"/>
    <n v="4.62"/>
    <x v="2"/>
    <x v="3"/>
    <n v="1500"/>
    <n v="52.5"/>
    <n v="16.62"/>
    <n v="1.79"/>
    <n v="38.74"/>
    <n v="3"/>
    <s v="Normal"/>
    <s v="VALID"/>
    <n v="0.59666666666666668"/>
    <s v="Low"/>
    <n v="27.68"/>
    <s v="Low"/>
  </r>
  <r>
    <n v="150"/>
    <n v="6.81"/>
    <x v="3"/>
    <x v="4"/>
    <n v="1500"/>
    <n v="62.4"/>
    <n v="16.100000000000001"/>
    <n v="5.52"/>
    <n v="81.06"/>
    <n v="4"/>
    <s v="Critical"/>
    <s v="VALID"/>
    <n v="1.38"/>
    <s v="Medium"/>
    <n v="48.58"/>
    <s v="Medium"/>
  </r>
  <r>
    <n v="1500"/>
    <n v="30.19"/>
    <x v="4"/>
    <x v="1"/>
    <n v="150"/>
    <n v="109"/>
    <n v="13"/>
    <n v="0.22"/>
    <n v="0.73"/>
    <n v="14"/>
    <s v="Normal"/>
    <s v="VALID"/>
    <n v="1.5714285714285715E-2"/>
    <s v="Medium"/>
    <n v="6.8650000000000002"/>
    <s v="Low"/>
  </r>
  <r>
    <n v="1000"/>
    <n v="24.79"/>
    <x v="2"/>
    <x v="0"/>
    <n v="1500"/>
    <n v="4.7"/>
    <n v="4.6500000000000004"/>
    <n v="4.76"/>
    <n v="19.2"/>
    <n v="17"/>
    <s v="Moderate"/>
    <s v="VALID"/>
    <n v="0.27999999999999997"/>
    <s v="Low"/>
    <n v="11.925000000000001"/>
    <s v="Low"/>
  </r>
  <r>
    <n v="250"/>
    <n v="7.16"/>
    <x v="2"/>
    <x v="3"/>
    <n v="2500"/>
    <n v="-23.1"/>
    <n v="10.24"/>
    <n v="4.96"/>
    <n v="69.27"/>
    <n v="14"/>
    <s v="Moderate"/>
    <s v="VALID"/>
    <n v="0.35428571428571426"/>
    <s v="Medium"/>
    <n v="39.754999999999995"/>
    <s v="Medium"/>
  </r>
  <r>
    <n v="150"/>
    <n v="5.97"/>
    <x v="1"/>
    <x v="1"/>
    <n v="150"/>
    <n v="35.4"/>
    <n v="14.28"/>
    <n v="0.2"/>
    <n v="3.35"/>
    <n v="24"/>
    <s v="Normal"/>
    <s v="VALID"/>
    <n v="8.3333333333333332E-3"/>
    <s v="Medium"/>
    <n v="8.8149999999999995"/>
    <s v="Low"/>
  </r>
  <r>
    <n v="250"/>
    <n v="13.7"/>
    <x v="0"/>
    <x v="4"/>
    <n v="2500"/>
    <n v="18.3"/>
    <n v="0.28000000000000003"/>
    <n v="5.94"/>
    <n v="43.36"/>
    <n v="13"/>
    <s v="Critical"/>
    <s v="VALID"/>
    <n v="0.45692307692307693"/>
    <s v="Low"/>
    <n v="21.82"/>
    <s v="Low"/>
  </r>
  <r>
    <n v="300"/>
    <n v="9.65"/>
    <x v="0"/>
    <x v="3"/>
    <n v="900"/>
    <n v="58.2"/>
    <n v="16.16"/>
    <n v="5.04"/>
    <n v="52.23"/>
    <n v="19"/>
    <s v="Critical"/>
    <s v="VALID"/>
    <n v="0.26526315789473687"/>
    <s v="Medium"/>
    <n v="34.195"/>
    <s v="Medium"/>
  </r>
  <r>
    <n v="50"/>
    <n v="4.55"/>
    <x v="1"/>
    <x v="0"/>
    <n v="600"/>
    <n v="51.7"/>
    <n v="14.89"/>
    <n v="8.91"/>
    <n v="195.82"/>
    <n v="1"/>
    <s v="Critical"/>
    <s v="INVALID"/>
    <n v="8.91"/>
    <m/>
    <m/>
    <m/>
  </r>
  <r>
    <n v="50"/>
    <n v="4.05"/>
    <x v="1"/>
    <x v="0"/>
    <n v="150"/>
    <n v="63"/>
    <n v="16.940000000000001"/>
    <n v="9.5299999999999994"/>
    <n v="235.31"/>
    <n v="1"/>
    <s v="Critical"/>
    <s v="INVALID"/>
    <n v="9.5299999999999994"/>
    <m/>
    <m/>
    <m/>
  </r>
  <r>
    <n v="50"/>
    <n v="4.1100000000000003"/>
    <x v="3"/>
    <x v="4"/>
    <n v="150"/>
    <n v="44.5"/>
    <n v="7.24"/>
    <n v="3.39"/>
    <n v="82.48"/>
    <n v="15"/>
    <s v="Moderate"/>
    <s v="VALID"/>
    <n v="0.22600000000000001"/>
    <s v="Low"/>
    <n v="44.86"/>
    <s v="Medium"/>
  </r>
  <r>
    <n v="150"/>
    <n v="8.15"/>
    <x v="1"/>
    <x v="1"/>
    <n v="150"/>
    <n v="-23.9"/>
    <n v="2.62"/>
    <n v="0.2"/>
    <n v="2.4500000000000002"/>
    <n v="5"/>
    <s v="Normal"/>
    <s v="VALID"/>
    <n v="0.04"/>
    <s v="Low"/>
    <n v="2.5350000000000001"/>
    <s v="Low"/>
  </r>
  <r>
    <n v="1000"/>
    <n v="17.260000000000002"/>
    <x v="3"/>
    <x v="0"/>
    <n v="1500"/>
    <n v="-8"/>
    <n v="1.79"/>
    <n v="5.56"/>
    <n v="32.21"/>
    <n v="9"/>
    <s v="Critical"/>
    <s v="VALID"/>
    <n v="0.61777777777777776"/>
    <s v="Low"/>
    <n v="17"/>
    <s v="Low"/>
  </r>
  <r>
    <n v="250"/>
    <n v="7.17"/>
    <x v="3"/>
    <x v="0"/>
    <n v="150"/>
    <n v="84.7"/>
    <n v="16.86"/>
    <n v="2.91"/>
    <n v="40.590000000000003"/>
    <n v="14"/>
    <s v="Moderate"/>
    <s v="VALID"/>
    <n v="0.20785714285714288"/>
    <s v="Medium"/>
    <n v="28.725000000000001"/>
    <s v="Low"/>
  </r>
  <r>
    <n v="1200"/>
    <n v="24.53"/>
    <x v="3"/>
    <x v="0"/>
    <n v="600"/>
    <n v="62.4"/>
    <n v="16.22"/>
    <n v="4.93"/>
    <n v="20.100000000000001"/>
    <n v="10"/>
    <s v="Moderate"/>
    <s v="VALID"/>
    <n v="0.49299999999999999"/>
    <s v="Low"/>
    <n v="18.16"/>
    <s v="Low"/>
  </r>
  <r>
    <n v="600"/>
    <n v="17.32"/>
    <x v="0"/>
    <x v="4"/>
    <n v="150"/>
    <n v="59.8"/>
    <n v="0.84"/>
    <n v="7.74"/>
    <n v="44.69"/>
    <n v="1"/>
    <s v="Critical"/>
    <s v="VALID"/>
    <n v="7.74"/>
    <s v="Low"/>
    <n v="22.765000000000001"/>
    <s v="Low"/>
  </r>
  <r>
    <n v="1000"/>
    <n v="30.64"/>
    <x v="0"/>
    <x v="1"/>
    <n v="2500"/>
    <n v="148.69999999999999"/>
    <n v="3.25"/>
    <n v="1.06"/>
    <n v="3.46"/>
    <n v="11"/>
    <s v="Normal"/>
    <s v="VALID"/>
    <n v="9.6363636363636374E-2"/>
    <s v="Low"/>
    <n v="3.355"/>
    <s v="Low"/>
  </r>
  <r>
    <n v="100"/>
    <n v="5.96"/>
    <x v="4"/>
    <x v="1"/>
    <n v="150"/>
    <n v="116.7"/>
    <n v="2.42"/>
    <n v="0.45"/>
    <n v="7.55"/>
    <n v="23"/>
    <s v="Normal"/>
    <s v="VALID"/>
    <n v="1.9565217391304349E-2"/>
    <s v="Medium"/>
    <n v="4.9849999999999994"/>
    <s v="Low"/>
  </r>
  <r>
    <n v="400"/>
    <n v="12.67"/>
    <x v="0"/>
    <x v="3"/>
    <n v="150"/>
    <n v="0.1"/>
    <n v="17.04"/>
    <n v="0.37"/>
    <n v="2.92"/>
    <n v="5"/>
    <s v="Normal"/>
    <s v="VALID"/>
    <n v="7.3999999999999996E-2"/>
    <s v="Low"/>
    <n v="9.98"/>
    <s v="Low"/>
  </r>
  <r>
    <n v="800"/>
    <n v="21.57"/>
    <x v="0"/>
    <x v="0"/>
    <n v="150"/>
    <n v="-4.3"/>
    <n v="10.97"/>
    <n v="6.17"/>
    <n v="28.6"/>
    <n v="9"/>
    <s v="Critical"/>
    <s v="VALID"/>
    <n v="0.68555555555555558"/>
    <s v="Low"/>
    <n v="19.785"/>
    <s v="Low"/>
  </r>
  <r>
    <n v="50"/>
    <n v="3.6"/>
    <x v="3"/>
    <x v="3"/>
    <n v="2500"/>
    <n v="20.2"/>
    <n v="15.29"/>
    <n v="7.69"/>
    <n v="213.61"/>
    <n v="2"/>
    <s v="Critical"/>
    <s v="INVALID"/>
    <n v="3.8450000000000002"/>
    <m/>
    <m/>
    <m/>
  </r>
  <r>
    <n v="1500"/>
    <n v="21.15"/>
    <x v="1"/>
    <x v="4"/>
    <n v="600"/>
    <n v="109.7"/>
    <n v="18.84"/>
    <n v="0.93"/>
    <n v="4.4000000000000004"/>
    <n v="1"/>
    <s v="Normal"/>
    <s v="VALID"/>
    <n v="0.93"/>
    <s v="Medium"/>
    <n v="11.620000000000001"/>
    <s v="Low"/>
  </r>
  <r>
    <n v="800"/>
    <n v="29.98"/>
    <x v="1"/>
    <x v="2"/>
    <n v="1500"/>
    <n v="9.8000000000000007"/>
    <n v="14.24"/>
    <n v="1.84"/>
    <n v="6.14"/>
    <n v="5"/>
    <s v="Normal"/>
    <s v="VALID"/>
    <n v="0.36799999999999999"/>
    <s v="Low"/>
    <n v="10.19"/>
    <s v="Low"/>
  </r>
  <r>
    <n v="800"/>
    <n v="28.85"/>
    <x v="4"/>
    <x v="4"/>
    <n v="2500"/>
    <n v="57.3"/>
    <n v="6.62"/>
    <n v="9.51"/>
    <n v="32.96"/>
    <n v="19"/>
    <s v="Critical"/>
    <s v="VALID"/>
    <n v="0.50052631578947371"/>
    <s v="Medium"/>
    <n v="19.79"/>
    <s v="Low"/>
  </r>
  <r>
    <n v="600"/>
    <n v="12.82"/>
    <x v="2"/>
    <x v="0"/>
    <n v="300"/>
    <n v="54.9"/>
    <n v="2.95"/>
    <n v="9.19"/>
    <n v="71.680000000000007"/>
    <n v="15"/>
    <s v="Critical"/>
    <s v="VALID"/>
    <n v="0.61266666666666658"/>
    <s v="Medium"/>
    <n v="37.315000000000005"/>
    <s v="Medium"/>
  </r>
  <r>
    <n v="150"/>
    <n v="6.12"/>
    <x v="0"/>
    <x v="2"/>
    <n v="1500"/>
    <n v="42.6"/>
    <n v="12.29"/>
    <n v="6.31"/>
    <n v="103.1"/>
    <n v="17"/>
    <s v="Critical"/>
    <s v="INVALID"/>
    <n v="0.37117647058823527"/>
    <m/>
    <m/>
    <m/>
  </r>
  <r>
    <n v="1500"/>
    <n v="34.369999999999997"/>
    <x v="0"/>
    <x v="3"/>
    <n v="900"/>
    <n v="64.900000000000006"/>
    <n v="17.54"/>
    <n v="0.83"/>
    <n v="2.41"/>
    <n v="25"/>
    <s v="Normal"/>
    <s v="VALID"/>
    <n v="3.32E-2"/>
    <s v="Medium"/>
    <n v="9.9749999999999996"/>
    <s v="Low"/>
  </r>
  <r>
    <n v="100"/>
    <n v="6.71"/>
    <x v="3"/>
    <x v="4"/>
    <n v="300"/>
    <n v="28.6"/>
    <n v="12.61"/>
    <n v="0.59"/>
    <n v="8.7899999999999991"/>
    <n v="19"/>
    <s v="Normal"/>
    <s v="VALID"/>
    <n v="3.1052631578947366E-2"/>
    <s v="Low"/>
    <n v="10.7"/>
    <s v="Low"/>
  </r>
  <r>
    <n v="800"/>
    <n v="18.86"/>
    <x v="3"/>
    <x v="3"/>
    <n v="900"/>
    <n v="16.899999999999999"/>
    <n v="12.16"/>
    <n v="3.96"/>
    <n v="21"/>
    <n v="11"/>
    <s v="Moderate"/>
    <s v="VALID"/>
    <n v="0.36"/>
    <s v="Low"/>
    <n v="16.579999999999998"/>
    <s v="Low"/>
  </r>
  <r>
    <n v="250"/>
    <n v="12.79"/>
    <x v="3"/>
    <x v="1"/>
    <n v="2500"/>
    <n v="16.8"/>
    <n v="18.350000000000001"/>
    <n v="0.02"/>
    <n v="0.16"/>
    <n v="21"/>
    <s v="Normal"/>
    <s v="VALID"/>
    <n v="9.5238095238095238E-4"/>
    <s v="Low"/>
    <n v="9.2550000000000008"/>
    <s v="Low"/>
  </r>
  <r>
    <n v="1200"/>
    <n v="24.48"/>
    <x v="2"/>
    <x v="0"/>
    <n v="900"/>
    <n v="30.8"/>
    <n v="4.34"/>
    <n v="6.35"/>
    <n v="25.94"/>
    <n v="1"/>
    <s v="Critical"/>
    <s v="VALID"/>
    <n v="6.35"/>
    <s v="Medium"/>
    <n v="15.14"/>
    <s v="Low"/>
  </r>
  <r>
    <n v="50"/>
    <n v="5.73"/>
    <x v="2"/>
    <x v="0"/>
    <n v="1500"/>
    <n v="136.80000000000001"/>
    <n v="16.739999999999998"/>
    <n v="3.89"/>
    <n v="67.89"/>
    <n v="4"/>
    <s v="Moderate"/>
    <s v="VALID"/>
    <n v="0.97250000000000003"/>
    <s v="Low"/>
    <n v="42.314999999999998"/>
    <s v="Medium"/>
  </r>
  <r>
    <n v="600"/>
    <n v="28.18"/>
    <x v="0"/>
    <x v="2"/>
    <n v="1500"/>
    <n v="-28.3"/>
    <n v="0.69"/>
    <n v="1.67"/>
    <n v="5.93"/>
    <n v="1"/>
    <s v="Normal"/>
    <s v="VALID"/>
    <n v="1.67"/>
    <s v="Medium"/>
    <n v="3.3099999999999996"/>
    <s v="Low"/>
  </r>
  <r>
    <n v="1500"/>
    <n v="36.909999999999997"/>
    <x v="1"/>
    <x v="4"/>
    <n v="2500"/>
    <n v="77.7"/>
    <n v="18.28"/>
    <n v="9.5299999999999994"/>
    <n v="25.82"/>
    <n v="9"/>
    <s v="Critical"/>
    <s v="VALID"/>
    <n v="1.0588888888888888"/>
    <s v="Medium"/>
    <n v="22.05"/>
    <s v="Low"/>
  </r>
  <r>
    <n v="600"/>
    <n v="10.56"/>
    <x v="2"/>
    <x v="2"/>
    <n v="150"/>
    <n v="58.6"/>
    <n v="0.2"/>
    <n v="6.37"/>
    <n v="60.32"/>
    <n v="13"/>
    <s v="Critical"/>
    <s v="VALID"/>
    <n v="0.49"/>
    <s v="Medium"/>
    <n v="30.26"/>
    <s v="Medium"/>
  </r>
  <r>
    <n v="500"/>
    <n v="24.81"/>
    <x v="1"/>
    <x v="0"/>
    <n v="300"/>
    <n v="8.8000000000000007"/>
    <n v="5.78"/>
    <n v="0.87"/>
    <n v="3.51"/>
    <n v="19"/>
    <s v="Normal"/>
    <s v="VALID"/>
    <n v="4.5789473684210526E-2"/>
    <s v="Low"/>
    <n v="4.6449999999999996"/>
    <s v="Low"/>
  </r>
  <r>
    <n v="800"/>
    <n v="19.87"/>
    <x v="4"/>
    <x v="1"/>
    <n v="600"/>
    <n v="20.3"/>
    <n v="7.6"/>
    <n v="4.6500000000000004"/>
    <n v="23.4"/>
    <n v="7"/>
    <s v="Moderate"/>
    <s v="VALID"/>
    <n v="0.66428571428571437"/>
    <s v="Low"/>
    <n v="15.5"/>
    <s v="Low"/>
  </r>
  <r>
    <n v="1000"/>
    <n v="31.7"/>
    <x v="0"/>
    <x v="2"/>
    <n v="600"/>
    <n v="38.799999999999997"/>
    <n v="0.09"/>
    <n v="4.0999999999999996"/>
    <n v="12.93"/>
    <n v="11"/>
    <s v="Moderate"/>
    <s v="VALID"/>
    <n v="0.37272727272727268"/>
    <s v="Low"/>
    <n v="6.51"/>
    <s v="Low"/>
  </r>
  <r>
    <n v="300"/>
    <n v="14.23"/>
    <x v="2"/>
    <x v="1"/>
    <n v="900"/>
    <n v="77.8"/>
    <n v="16.27"/>
    <n v="1.51"/>
    <n v="10.61"/>
    <n v="14"/>
    <s v="Normal"/>
    <s v="VALID"/>
    <n v="0.10785714285714286"/>
    <s v="Low"/>
    <n v="13.44"/>
    <s v="Low"/>
  </r>
  <r>
    <n v="600"/>
    <n v="28.35"/>
    <x v="4"/>
    <x v="1"/>
    <n v="150"/>
    <n v="37.4"/>
    <n v="14.36"/>
    <n v="9.06"/>
    <n v="31.96"/>
    <n v="2"/>
    <s v="Critical"/>
    <s v="VALID"/>
    <n v="4.53"/>
    <s v="Low"/>
    <n v="23.16"/>
    <s v="Low"/>
  </r>
  <r>
    <n v="1000"/>
    <n v="33.18"/>
    <x v="1"/>
    <x v="2"/>
    <n v="2500"/>
    <n v="51.3"/>
    <n v="9.27"/>
    <n v="3.64"/>
    <n v="10.97"/>
    <n v="25"/>
    <s v="Moderate"/>
    <s v="VALID"/>
    <n v="0.14560000000000001"/>
    <s v="Low"/>
    <n v="10.120000000000001"/>
    <s v="Low"/>
  </r>
  <r>
    <n v="400"/>
    <n v="13.52"/>
    <x v="2"/>
    <x v="4"/>
    <n v="900"/>
    <n v="87.1"/>
    <n v="4.63"/>
    <n v="0.36"/>
    <n v="2.66"/>
    <n v="5"/>
    <s v="Normal"/>
    <s v="VALID"/>
    <n v="7.1999999999999995E-2"/>
    <s v="Medium"/>
    <n v="3.645"/>
    <s v="Low"/>
  </r>
  <r>
    <n v="300"/>
    <n v="17.13"/>
    <x v="1"/>
    <x v="4"/>
    <n v="150"/>
    <n v="77.400000000000006"/>
    <n v="5.6"/>
    <n v="6.28"/>
    <n v="36.659999999999997"/>
    <n v="9"/>
    <s v="Critical"/>
    <s v="VALID"/>
    <n v="0.69777777777777783"/>
    <s v="Low"/>
    <n v="21.13"/>
    <s v="Low"/>
  </r>
  <r>
    <n v="100"/>
    <n v="4.43"/>
    <x v="3"/>
    <x v="3"/>
    <n v="150"/>
    <n v="-38.9"/>
    <n v="17.62"/>
    <n v="5.55"/>
    <n v="125.28"/>
    <n v="5"/>
    <s v="Critical"/>
    <s v="INVALID"/>
    <n v="1.1099999999999999"/>
    <m/>
    <m/>
    <m/>
  </r>
  <r>
    <n v="500"/>
    <n v="22"/>
    <x v="3"/>
    <x v="4"/>
    <n v="900"/>
    <n v="28.7"/>
    <n v="10.3"/>
    <n v="0.18"/>
    <n v="0.82"/>
    <n v="16"/>
    <s v="Normal"/>
    <s v="VALID"/>
    <n v="1.125E-2"/>
    <s v="Low"/>
    <n v="5.5600000000000005"/>
    <s v="Low"/>
  </r>
  <r>
    <n v="50"/>
    <n v="4.71"/>
    <x v="3"/>
    <x v="1"/>
    <n v="300"/>
    <n v="29.2"/>
    <n v="2.9"/>
    <n v="9.9700000000000006"/>
    <n v="211.68"/>
    <n v="13"/>
    <s v="Critical"/>
    <s v="INVALID"/>
    <n v="0.76692307692307693"/>
    <m/>
    <m/>
    <m/>
  </r>
  <r>
    <n v="50"/>
    <n v="5.89"/>
    <x v="0"/>
    <x v="0"/>
    <n v="1500"/>
    <n v="-12.3"/>
    <n v="12.98"/>
    <n v="4.68"/>
    <n v="79.459999999999994"/>
    <n v="21"/>
    <s v="Moderate"/>
    <s v="VALID"/>
    <n v="0.22285714285714284"/>
    <s v="Low"/>
    <n v="46.22"/>
    <s v="Medium"/>
  </r>
  <r>
    <n v="150"/>
    <n v="6.26"/>
    <x v="1"/>
    <x v="0"/>
    <n v="150"/>
    <n v="61.2"/>
    <n v="4.6500000000000004"/>
    <n v="5.72"/>
    <n v="91.37"/>
    <n v="23"/>
    <s v="Critical"/>
    <s v="VALID"/>
    <n v="0.24869565217391304"/>
    <s v="Medium"/>
    <n v="48.010000000000005"/>
    <s v="Medium"/>
  </r>
  <r>
    <n v="300"/>
    <n v="8.07"/>
    <x v="3"/>
    <x v="2"/>
    <n v="600"/>
    <n v="-19"/>
    <n v="4.41"/>
    <n v="3.18"/>
    <n v="39.409999999999997"/>
    <n v="6"/>
    <s v="Moderate"/>
    <s v="VALID"/>
    <n v="0.53"/>
    <s v="Low"/>
    <n v="21.909999999999997"/>
    <s v="Low"/>
  </r>
  <r>
    <n v="300"/>
    <n v="16.309999999999999"/>
    <x v="0"/>
    <x v="0"/>
    <n v="2500"/>
    <n v="-37.4"/>
    <n v="4.32"/>
    <n v="5.54"/>
    <n v="33.97"/>
    <n v="25"/>
    <s v="Critical"/>
    <s v="VALID"/>
    <n v="0.22159999999999999"/>
    <s v="Low"/>
    <n v="19.145"/>
    <s v="Low"/>
  </r>
  <r>
    <n v="300"/>
    <n v="14.96"/>
    <x v="0"/>
    <x v="2"/>
    <n v="2500"/>
    <n v="27.6"/>
    <n v="14.19"/>
    <n v="0.63"/>
    <n v="4.21"/>
    <n v="2"/>
    <s v="Normal"/>
    <s v="VALID"/>
    <n v="0.315"/>
    <s v="Medium"/>
    <n v="9.1999999999999993"/>
    <s v="Low"/>
  </r>
  <r>
    <n v="300"/>
    <n v="9.27"/>
    <x v="2"/>
    <x v="0"/>
    <n v="1500"/>
    <n v="30.6"/>
    <n v="16.91"/>
    <n v="0.33"/>
    <n v="3.56"/>
    <n v="12"/>
    <s v="Normal"/>
    <s v="VALID"/>
    <n v="2.75E-2"/>
    <s v="Medium"/>
    <n v="10.234999999999999"/>
    <s v="Low"/>
  </r>
  <r>
    <n v="500"/>
    <n v="14.33"/>
    <x v="2"/>
    <x v="0"/>
    <n v="300"/>
    <n v="39.9"/>
    <n v="10.63"/>
    <n v="0.23"/>
    <n v="1.61"/>
    <n v="9"/>
    <s v="Normal"/>
    <s v="VALID"/>
    <n v="2.5555555555555557E-2"/>
    <s v="Medium"/>
    <n v="6.12"/>
    <s v="Low"/>
  </r>
  <r>
    <n v="250"/>
    <n v="6.79"/>
    <x v="4"/>
    <x v="1"/>
    <n v="1500"/>
    <n v="79.5"/>
    <n v="3.85"/>
    <n v="3.79"/>
    <n v="55.82"/>
    <n v="22"/>
    <s v="Moderate"/>
    <s v="VALID"/>
    <n v="0.17227272727272727"/>
    <s v="Low"/>
    <n v="29.835000000000001"/>
    <s v="Low"/>
  </r>
  <r>
    <n v="50"/>
    <n v="4.96"/>
    <x v="2"/>
    <x v="3"/>
    <n v="2500"/>
    <n v="35.6"/>
    <n v="13.87"/>
    <n v="7.04"/>
    <n v="141.94"/>
    <n v="2"/>
    <s v="Critical"/>
    <s v="INVALID"/>
    <m/>
    <m/>
    <m/>
    <m/>
  </r>
  <r>
    <n v="250"/>
    <n v="12.43"/>
    <x v="3"/>
    <x v="0"/>
    <n v="1500"/>
    <n v="-31.1"/>
    <n v="4.2300000000000004"/>
    <n v="2.92"/>
    <n v="23.49"/>
    <n v="14"/>
    <s v="Moderate"/>
    <s v="VALID"/>
    <n v="0.20857142857142857"/>
    <s v="Medium"/>
    <n v="13.86"/>
    <s v="Low"/>
  </r>
  <r>
    <n v="500"/>
    <n v="13.73"/>
    <x v="3"/>
    <x v="1"/>
    <n v="2500"/>
    <n v="72.900000000000006"/>
    <n v="13.47"/>
    <n v="8.6"/>
    <n v="62.64"/>
    <n v="9"/>
    <s v="Critical"/>
    <s v="VALID"/>
    <n v="0.95555555555555549"/>
    <s v="Medium"/>
    <n v="38.055"/>
    <s v="Medium"/>
  </r>
  <r>
    <n v="100"/>
    <n v="4.03"/>
    <x v="1"/>
    <x v="1"/>
    <n v="2500"/>
    <n v="70"/>
    <n v="3.71"/>
    <n v="0.59"/>
    <n v="14.64"/>
    <n v="8"/>
    <s v="Normal"/>
    <s v="VALID"/>
    <n v="7.3749999999999996E-2"/>
    <s v="Medium"/>
    <n v="9.1750000000000007"/>
    <s v="Low"/>
  </r>
  <r>
    <n v="500"/>
    <n v="24.1"/>
    <x v="3"/>
    <x v="0"/>
    <n v="900"/>
    <n v="2.1"/>
    <n v="18.059999999999999"/>
    <n v="0.47"/>
    <n v="1.95"/>
    <n v="22"/>
    <s v="Normal"/>
    <s v="VALID"/>
    <n v="2.1363636363636362E-2"/>
    <s v="Medium"/>
    <n v="10.004999999999999"/>
    <s v="Low"/>
  </r>
  <r>
    <n v="100"/>
    <n v="7.55"/>
    <x v="3"/>
    <x v="1"/>
    <n v="1500"/>
    <n v="109.9"/>
    <n v="7.63"/>
    <n v="7.12"/>
    <n v="94.3"/>
    <n v="10"/>
    <s v="Critical"/>
    <s v="VALID"/>
    <n v="0.71199999999999997"/>
    <s v="Low"/>
    <n v="50.964999999999996"/>
    <s v="Medium"/>
  </r>
  <r>
    <n v="1200"/>
    <n v="31.11"/>
    <x v="0"/>
    <x v="0"/>
    <n v="2500"/>
    <n v="22.7"/>
    <n v="15.45"/>
    <n v="8.01"/>
    <n v="25.75"/>
    <n v="10"/>
    <s v="Critical"/>
    <s v="VALID"/>
    <n v="0.80099999999999993"/>
    <s v="Medium"/>
    <n v="20.6"/>
    <s v="Low"/>
  </r>
  <r>
    <n v="400"/>
    <n v="14.91"/>
    <x v="4"/>
    <x v="3"/>
    <n v="2500"/>
    <n v="0.1"/>
    <n v="10.44"/>
    <n v="8.8000000000000007"/>
    <n v="59.02"/>
    <n v="22"/>
    <s v="Critical"/>
    <s v="VALID"/>
    <n v="0.4"/>
    <s v="Medium"/>
    <n v="34.730000000000004"/>
    <s v="Medium"/>
  </r>
  <r>
    <n v="1200"/>
    <n v="27.92"/>
    <x v="2"/>
    <x v="0"/>
    <n v="1500"/>
    <n v="60.3"/>
    <n v="10"/>
    <n v="8.0399999999999991"/>
    <n v="28.8"/>
    <n v="7"/>
    <s v="Critical"/>
    <s v="VALID"/>
    <n v="1.1485714285714284"/>
    <s v="Medium"/>
    <n v="19.399999999999999"/>
    <s v="Low"/>
  </r>
  <r>
    <n v="1000"/>
    <n v="20.11"/>
    <x v="0"/>
    <x v="0"/>
    <n v="900"/>
    <n v="53.7"/>
    <n v="10.5"/>
    <n v="3.18"/>
    <n v="15.81"/>
    <n v="13"/>
    <s v="Moderate"/>
    <s v="VALID"/>
    <n v="0.24461538461538462"/>
    <s v="Medium"/>
    <n v="13.155000000000001"/>
    <s v="Low"/>
  </r>
  <r>
    <n v="200"/>
    <n v="6.69"/>
    <x v="0"/>
    <x v="3"/>
    <n v="2500"/>
    <n v="129.80000000000001"/>
    <n v="9.16"/>
    <n v="6.56"/>
    <n v="98.06"/>
    <n v="7"/>
    <s v="Critical"/>
    <s v="VALID"/>
    <n v="0.93714285714285706"/>
    <s v="Low"/>
    <n v="53.61"/>
    <s v="Medium"/>
  </r>
  <r>
    <n v="300"/>
    <n v="11.47"/>
    <x v="3"/>
    <x v="0"/>
    <n v="900"/>
    <n v="137.9"/>
    <n v="6.96"/>
    <n v="5.22"/>
    <n v="45.51"/>
    <n v="14"/>
    <s v="Critical"/>
    <s v="VALID"/>
    <n v="0.37285714285714283"/>
    <s v="Medium"/>
    <n v="26.234999999999999"/>
    <s v="Low"/>
  </r>
  <r>
    <n v="1500"/>
    <n v="28.64"/>
    <x v="4"/>
    <x v="2"/>
    <n v="2500"/>
    <n v="-24.8"/>
    <n v="2.35"/>
    <n v="2.39"/>
    <n v="8.34"/>
    <n v="10"/>
    <s v="Moderate"/>
    <s v="VALID"/>
    <n v="0.23900000000000002"/>
    <s v="Low"/>
    <n v="5.3449999999999998"/>
    <s v="Low"/>
  </r>
  <r>
    <n v="800"/>
    <n v="19.010000000000002"/>
    <x v="1"/>
    <x v="4"/>
    <n v="1500"/>
    <n v="41.1"/>
    <n v="8.52"/>
    <n v="5.25"/>
    <n v="27.62"/>
    <n v="17"/>
    <s v="Critical"/>
    <s v="VALID"/>
    <n v="0.30882352941176472"/>
    <s v="Medium"/>
    <n v="18.07"/>
    <s v="Low"/>
  </r>
  <r>
    <n v="150"/>
    <n v="5.34"/>
    <x v="2"/>
    <x v="4"/>
    <n v="300"/>
    <n v="7.6"/>
    <n v="8.19"/>
    <n v="6.94"/>
    <n v="129.96"/>
    <n v="25"/>
    <s v="Critical"/>
    <s v="INVALID"/>
    <m/>
    <m/>
    <m/>
    <m/>
  </r>
  <r>
    <n v="600"/>
    <n v="23.37"/>
    <x v="4"/>
    <x v="0"/>
    <n v="900"/>
    <n v="68.5"/>
    <n v="2.5299999999999998"/>
    <n v="8.4499999999999993"/>
    <n v="36.159999999999997"/>
    <n v="22"/>
    <s v="Critical"/>
    <s v="VALID"/>
    <n v="0.38409090909090904"/>
    <s v="Low"/>
    <n v="19.344999999999999"/>
    <s v="Low"/>
  </r>
  <r>
    <n v="600"/>
    <n v="14.07"/>
    <x v="0"/>
    <x v="3"/>
    <n v="600"/>
    <n v="3.7"/>
    <n v="5.98"/>
    <n v="6"/>
    <n v="42.64"/>
    <n v="2"/>
    <s v="Critical"/>
    <s v="VALID"/>
    <n v="3"/>
    <s v="Low"/>
    <n v="24.310000000000002"/>
    <s v="Low"/>
  </r>
  <r>
    <n v="200"/>
    <n v="10.46"/>
    <x v="0"/>
    <x v="4"/>
    <n v="1500"/>
    <n v="5"/>
    <n v="7.88"/>
    <n v="6.02"/>
    <n v="57.55"/>
    <n v="3"/>
    <s v="Critical"/>
    <s v="VALID"/>
    <n v="2.0066666666666664"/>
    <s v="Low"/>
    <n v="32.714999999999996"/>
    <s v="Medium"/>
  </r>
  <r>
    <n v="50"/>
    <n v="4.7699999999999996"/>
    <x v="0"/>
    <x v="0"/>
    <n v="1500"/>
    <n v="65.900000000000006"/>
    <n v="6.41"/>
    <n v="8.5"/>
    <n v="178.2"/>
    <n v="21"/>
    <s v="Critical"/>
    <s v="INVALID"/>
    <m/>
    <m/>
    <m/>
    <m/>
  </r>
  <r>
    <n v="1500"/>
    <n v="32.08"/>
    <x v="1"/>
    <x v="1"/>
    <n v="2500"/>
    <n v="39.5"/>
    <n v="9.5399999999999991"/>
    <n v="9.73"/>
    <n v="30.33"/>
    <n v="13"/>
    <s v="Critical"/>
    <s v="VALID"/>
    <n v="0.74846153846153851"/>
    <s v="Medium"/>
    <n v="19.934999999999999"/>
    <s v="Low"/>
  </r>
  <r>
    <n v="1000"/>
    <n v="26.09"/>
    <x v="2"/>
    <x v="3"/>
    <n v="2500"/>
    <n v="59.5"/>
    <n v="14.82"/>
    <n v="2.64"/>
    <n v="10.119999999999999"/>
    <n v="23"/>
    <s v="Moderate"/>
    <s v="VALID"/>
    <n v="0.11478260869565218"/>
    <s v="Medium"/>
    <n v="12.469999999999999"/>
    <s v="Low"/>
  </r>
  <r>
    <n v="200"/>
    <n v="8.99"/>
    <x v="1"/>
    <x v="2"/>
    <n v="300"/>
    <n v="37.700000000000003"/>
    <n v="19.399999999999999"/>
    <n v="8.4700000000000006"/>
    <n v="94.22"/>
    <n v="11"/>
    <s v="Critical"/>
    <s v="VALID"/>
    <n v="0.77"/>
    <s v="Medium"/>
    <n v="56.81"/>
    <s v="Medium"/>
  </r>
  <r>
    <n v="200"/>
    <n v="10.29"/>
    <x v="4"/>
    <x v="3"/>
    <n v="300"/>
    <n v="127.4"/>
    <n v="14.07"/>
    <n v="2.59"/>
    <n v="25.17"/>
    <n v="12"/>
    <s v="Moderate"/>
    <s v="VALID"/>
    <n v="0.21583333333333332"/>
    <s v="Low"/>
    <n v="19.62"/>
    <s v="Low"/>
  </r>
  <r>
    <n v="1200"/>
    <n v="31.05"/>
    <x v="0"/>
    <x v="1"/>
    <n v="1500"/>
    <n v="32.9"/>
    <n v="8.93"/>
    <n v="1.23"/>
    <n v="3.96"/>
    <n v="1"/>
    <s v="Normal"/>
    <s v="VALID"/>
    <n v="1.23"/>
    <s v="Low"/>
    <n v="6.4450000000000003"/>
    <s v="Low"/>
  </r>
  <r>
    <n v="500"/>
    <n v="18.100000000000001"/>
    <x v="2"/>
    <x v="2"/>
    <n v="2500"/>
    <n v="103.7"/>
    <n v="17.809999999999999"/>
    <n v="1.45"/>
    <n v="8.01"/>
    <n v="13"/>
    <s v="Normal"/>
    <s v="VALID"/>
    <n v="0.11153846153846153"/>
    <s v="Medium"/>
    <n v="12.91"/>
    <s v="Low"/>
  </r>
  <r>
    <n v="50"/>
    <n v="4.7699999999999996"/>
    <x v="2"/>
    <x v="0"/>
    <n v="150"/>
    <n v="13.4"/>
    <n v="0.28000000000000003"/>
    <n v="7.41"/>
    <n v="155.35"/>
    <n v="7"/>
    <s v="Critical"/>
    <s v="INVALID"/>
    <m/>
    <m/>
    <m/>
    <m/>
  </r>
  <r>
    <n v="1500"/>
    <n v="42.64"/>
    <x v="3"/>
    <x v="0"/>
    <n v="300"/>
    <n v="106.8"/>
    <n v="12.28"/>
    <n v="7.63"/>
    <n v="17.89"/>
    <n v="16"/>
    <s v="Critical"/>
    <s v="VALID"/>
    <n v="0.47687499999999999"/>
    <s v="Low"/>
    <n v="15.085000000000001"/>
    <s v="Low"/>
  </r>
  <r>
    <n v="600"/>
    <n v="10.33"/>
    <x v="4"/>
    <x v="1"/>
    <n v="600"/>
    <n v="74.5"/>
    <n v="7.45"/>
    <n v="2.37"/>
    <n v="22.94"/>
    <n v="6"/>
    <s v="Moderate"/>
    <s v="VALID"/>
    <n v="0.39500000000000002"/>
    <s v="Low"/>
    <n v="15.195"/>
    <s v="Low"/>
  </r>
  <r>
    <n v="300"/>
    <n v="14.32"/>
    <x v="0"/>
    <x v="2"/>
    <n v="600"/>
    <n v="25"/>
    <n v="18.29"/>
    <n v="8.1999999999999993"/>
    <n v="57.26"/>
    <n v="5"/>
    <s v="Critical"/>
    <s v="VALID"/>
    <n v="1.64"/>
    <s v="Low"/>
    <n v="37.774999999999999"/>
    <s v="Medium"/>
  </r>
  <r>
    <n v="800"/>
    <n v="30.66"/>
    <x v="2"/>
    <x v="2"/>
    <n v="600"/>
    <n v="105.4"/>
    <n v="12.33"/>
    <n v="1.45"/>
    <n v="4.7300000000000004"/>
    <n v="10"/>
    <s v="Normal"/>
    <s v="VALID"/>
    <n v="0.14499999999999999"/>
    <s v="Low"/>
    <n v="8.5300000000000011"/>
    <s v="Low"/>
  </r>
  <r>
    <n v="150"/>
    <n v="6.98"/>
    <x v="0"/>
    <x v="2"/>
    <n v="300"/>
    <n v="51.1"/>
    <n v="15.43"/>
    <n v="4.03"/>
    <n v="57.74"/>
    <n v="8"/>
    <s v="Moderate"/>
    <s v="VALID"/>
    <n v="0.50375000000000003"/>
    <s v="Low"/>
    <n v="36.585000000000001"/>
    <s v="Medium"/>
  </r>
  <r>
    <n v="600"/>
    <n v="12.2"/>
    <x v="1"/>
    <x v="1"/>
    <n v="300"/>
    <n v="-11.6"/>
    <n v="15.77"/>
    <n v="2.1800000000000002"/>
    <n v="17.87"/>
    <n v="19"/>
    <s v="Moderate"/>
    <s v="VALID"/>
    <n v="0.11473684210526316"/>
    <s v="Low"/>
    <n v="16.82"/>
    <s v="Low"/>
  </r>
  <r>
    <n v="500"/>
    <n v="23.91"/>
    <x v="3"/>
    <x v="0"/>
    <n v="300"/>
    <n v="76.2"/>
    <n v="12.37"/>
    <n v="5.67"/>
    <n v="23.71"/>
    <n v="12"/>
    <s v="Critical"/>
    <s v="VALID"/>
    <n v="0.47249999999999998"/>
    <s v="Low"/>
    <n v="18.04"/>
    <s v="Low"/>
  </r>
  <r>
    <n v="1200"/>
    <n v="32.57"/>
    <x v="1"/>
    <x v="3"/>
    <n v="300"/>
    <n v="96.5"/>
    <n v="12.31"/>
    <n v="6.7"/>
    <n v="20.57"/>
    <n v="19"/>
    <s v="Critical"/>
    <s v="VALID"/>
    <n v="0.35263157894736841"/>
    <s v="Low"/>
    <n v="16.440000000000001"/>
    <s v="Low"/>
  </r>
  <r>
    <n v="1000"/>
    <n v="24.79"/>
    <x v="1"/>
    <x v="3"/>
    <n v="600"/>
    <n v="14.4"/>
    <n v="0.88"/>
    <n v="6.86"/>
    <n v="27.67"/>
    <n v="2"/>
    <s v="Critical"/>
    <s v="VALID"/>
    <n v="3.43"/>
    <s v="Low"/>
    <n v="14.275"/>
    <s v="Low"/>
  </r>
  <r>
    <n v="250"/>
    <n v="10.210000000000001"/>
    <x v="4"/>
    <x v="0"/>
    <n v="600"/>
    <n v="32.1"/>
    <n v="6.22"/>
    <n v="4.53"/>
    <n v="44.37"/>
    <n v="21"/>
    <s v="Moderate"/>
    <s v="VALID"/>
    <n v="0.21571428571428572"/>
    <s v="Low"/>
    <n v="25.294999999999998"/>
    <s v="Low"/>
  </r>
  <r>
    <n v="800"/>
    <n v="14.17"/>
    <x v="3"/>
    <x v="4"/>
    <n v="150"/>
    <n v="36"/>
    <n v="4.8600000000000003"/>
    <n v="3.33"/>
    <n v="23.5"/>
    <n v="7"/>
    <s v="Moderate"/>
    <s v="VALID"/>
    <n v="0.4757142857142857"/>
    <s v="Low"/>
    <n v="14.18"/>
    <s v="Low"/>
  </r>
  <r>
    <n v="800"/>
    <n v="21.79"/>
    <x v="1"/>
    <x v="2"/>
    <n v="2500"/>
    <n v="44.2"/>
    <n v="14.79"/>
    <n v="7.24"/>
    <n v="33.229999999999997"/>
    <n v="5"/>
    <s v="Critical"/>
    <s v="VALID"/>
    <n v="1.448"/>
    <s v="Low"/>
    <n v="24.009999999999998"/>
    <s v="Low"/>
  </r>
  <r>
    <n v="100"/>
    <n v="7.29"/>
    <x v="4"/>
    <x v="2"/>
    <n v="150"/>
    <n v="-15.8"/>
    <n v="3.59"/>
    <n v="7.32"/>
    <n v="100.41"/>
    <n v="7"/>
    <s v="Critical"/>
    <s v="INVALID"/>
    <m/>
    <m/>
    <m/>
    <m/>
  </r>
  <r>
    <n v="150"/>
    <n v="9.0299999999999994"/>
    <x v="1"/>
    <x v="2"/>
    <n v="300"/>
    <n v="19.7"/>
    <n v="9.65"/>
    <n v="6.02"/>
    <n v="66.67"/>
    <n v="14"/>
    <s v="Critical"/>
    <s v="VALID"/>
    <n v="0.43"/>
    <s v="Low"/>
    <n v="38.160000000000004"/>
    <s v="Medium"/>
  </r>
  <r>
    <n v="200"/>
    <n v="9.41"/>
    <x v="2"/>
    <x v="1"/>
    <n v="150"/>
    <n v="5.3"/>
    <n v="12.74"/>
    <n v="6.06"/>
    <n v="64.400000000000006"/>
    <n v="24"/>
    <s v="Critical"/>
    <s v="VALID"/>
    <n v="0.2525"/>
    <s v="Low"/>
    <n v="38.57"/>
    <s v="Medium"/>
  </r>
  <r>
    <n v="150"/>
    <n v="9.16"/>
    <x v="0"/>
    <x v="2"/>
    <n v="600"/>
    <n v="7.9"/>
    <n v="16.16"/>
    <n v="2.61"/>
    <n v="28.49"/>
    <n v="10"/>
    <s v="Moderate"/>
    <s v="VALID"/>
    <n v="0.26100000000000001"/>
    <s v="Low"/>
    <n v="22.324999999999999"/>
    <s v="Low"/>
  </r>
  <r>
    <n v="250"/>
    <n v="6.69"/>
    <x v="3"/>
    <x v="0"/>
    <n v="1500"/>
    <n v="-32.5"/>
    <n v="5.99"/>
    <n v="9.0299999999999994"/>
    <n v="134.97999999999999"/>
    <n v="12"/>
    <s v="Critical"/>
    <s v="INVALID"/>
    <m/>
    <m/>
    <m/>
    <m/>
  </r>
  <r>
    <n v="150"/>
    <n v="5.88"/>
    <x v="1"/>
    <x v="2"/>
    <n v="150"/>
    <n v="14"/>
    <n v="4.28"/>
    <n v="6.13"/>
    <n v="104.25"/>
    <n v="13"/>
    <s v="Critical"/>
    <s v="INVALID"/>
    <m/>
    <m/>
    <m/>
    <m/>
  </r>
  <r>
    <n v="1000"/>
    <n v="22.09"/>
    <x v="0"/>
    <x v="3"/>
    <n v="600"/>
    <n v="13.1"/>
    <n v="19.73"/>
    <n v="9.2799999999999994"/>
    <n v="42.01"/>
    <n v="3"/>
    <s v="Critical"/>
    <s v="VALID"/>
    <n v="3.0933333333333333"/>
    <s v="Low"/>
    <n v="30.869999999999997"/>
    <s v="Medium"/>
  </r>
  <r>
    <n v="1200"/>
    <n v="25.68"/>
    <x v="2"/>
    <x v="0"/>
    <n v="600"/>
    <n v="46.6"/>
    <n v="17.66"/>
    <n v="6.07"/>
    <n v="23.64"/>
    <n v="13"/>
    <s v="Critical"/>
    <s v="VALID"/>
    <n v="0.46692307692307694"/>
    <s v="Low"/>
    <n v="20.65"/>
    <s v="Low"/>
  </r>
  <r>
    <n v="50"/>
    <n v="4.8"/>
    <x v="0"/>
    <x v="1"/>
    <n v="1500"/>
    <n v="125.6"/>
    <n v="18.25"/>
    <n v="0.92"/>
    <n v="19.170000000000002"/>
    <n v="18"/>
    <s v="Normal"/>
    <s v="VALID"/>
    <n v="5.1111111111111114E-2"/>
    <s v="Low"/>
    <n v="18.71"/>
    <s v="Low"/>
  </r>
  <r>
    <n v="500"/>
    <n v="9.8000000000000007"/>
    <x v="1"/>
    <x v="4"/>
    <n v="2500"/>
    <n v="26.2"/>
    <n v="10.34"/>
    <n v="3.2"/>
    <n v="32.65"/>
    <n v="14"/>
    <s v="Moderate"/>
    <s v="VALID"/>
    <n v="0.22857142857142859"/>
    <s v="Medium"/>
    <n v="21.494999999999997"/>
    <s v="Low"/>
  </r>
  <r>
    <n v="100"/>
    <n v="7.07"/>
    <x v="4"/>
    <x v="4"/>
    <n v="150"/>
    <n v="12.5"/>
    <n v="3.04"/>
    <n v="5.78"/>
    <n v="81.75"/>
    <n v="21"/>
    <s v="Critical"/>
    <s v="VALID"/>
    <n v="0.27523809523809523"/>
    <s v="Medium"/>
    <n v="42.395000000000003"/>
    <s v="Medium"/>
  </r>
  <r>
    <n v="400"/>
    <n v="17.39"/>
    <x v="3"/>
    <x v="4"/>
    <n v="150"/>
    <n v="-12.8"/>
    <n v="12.59"/>
    <n v="7.23"/>
    <n v="41.58"/>
    <n v="2"/>
    <s v="Critical"/>
    <s v="VALID"/>
    <n v="3.6150000000000002"/>
    <s v="Low"/>
    <n v="27.085000000000001"/>
    <s v="Low"/>
  </r>
  <r>
    <n v="150"/>
    <n v="7.94"/>
    <x v="0"/>
    <x v="3"/>
    <n v="2500"/>
    <n v="57.2"/>
    <n v="10.79"/>
    <n v="4.92"/>
    <n v="61.96"/>
    <n v="15"/>
    <s v="Moderate"/>
    <s v="VALID"/>
    <n v="0.32800000000000001"/>
    <s v="Low"/>
    <n v="36.375"/>
    <s v="Medium"/>
  </r>
  <r>
    <n v="250"/>
    <n v="7.29"/>
    <x v="3"/>
    <x v="2"/>
    <n v="1500"/>
    <n v="140.1"/>
    <n v="16.13"/>
    <n v="5.7"/>
    <n v="78.19"/>
    <n v="16"/>
    <s v="Critical"/>
    <s v="VALID"/>
    <n v="0.35625000000000001"/>
    <s v="Medium"/>
    <n v="47.16"/>
    <s v="Medium"/>
  </r>
  <r>
    <n v="1000"/>
    <n v="29.55"/>
    <x v="3"/>
    <x v="0"/>
    <n v="1500"/>
    <n v="82.5"/>
    <n v="1.26"/>
    <n v="0.24"/>
    <n v="0.81"/>
    <n v="25"/>
    <s v="Normal"/>
    <s v="VALID"/>
    <n v="9.5999999999999992E-3"/>
    <s v="Medium"/>
    <n v="1.0350000000000001"/>
    <s v="Low"/>
  </r>
  <r>
    <n v="1200"/>
    <n v="35.76"/>
    <x v="1"/>
    <x v="4"/>
    <n v="2500"/>
    <n v="-15.3"/>
    <n v="10.6"/>
    <n v="2.4500000000000002"/>
    <n v="6.85"/>
    <n v="5"/>
    <s v="Moderate"/>
    <s v="VALID"/>
    <n v="0.49000000000000005"/>
    <s v="Medium"/>
    <n v="8.7249999999999996"/>
    <s v="Low"/>
  </r>
  <r>
    <n v="600"/>
    <n v="26.97"/>
    <x v="0"/>
    <x v="0"/>
    <n v="1500"/>
    <n v="82"/>
    <n v="16.29"/>
    <n v="1.53"/>
    <n v="5.67"/>
    <n v="22"/>
    <s v="Normal"/>
    <s v="VALID"/>
    <n v="6.9545454545454549E-2"/>
    <s v="Medium"/>
    <n v="10.98"/>
    <s v="Low"/>
  </r>
  <r>
    <n v="400"/>
    <n v="10.27"/>
    <x v="1"/>
    <x v="4"/>
    <n v="300"/>
    <n v="40.1"/>
    <n v="8.69"/>
    <n v="6.45"/>
    <n v="62.8"/>
    <n v="16"/>
    <s v="Critical"/>
    <s v="VALID"/>
    <n v="0.40312500000000001"/>
    <s v="Medium"/>
    <n v="35.744999999999997"/>
    <s v="Medium"/>
  </r>
  <r>
    <n v="200"/>
    <n v="7.56"/>
    <x v="4"/>
    <x v="2"/>
    <n v="2500"/>
    <n v="79.8"/>
    <n v="0"/>
    <n v="5.88"/>
    <n v="77.78"/>
    <n v="9"/>
    <s v="Critical"/>
    <s v="VALID"/>
    <n v="0.65333333333333332"/>
    <s v="Low"/>
    <n v="38.89"/>
    <s v="Medium"/>
  </r>
  <r>
    <n v="150"/>
    <n v="9.25"/>
    <x v="3"/>
    <x v="4"/>
    <n v="2500"/>
    <n v="22.3"/>
    <n v="2.35"/>
    <n v="6.26"/>
    <n v="67.680000000000007"/>
    <n v="18"/>
    <s v="Critical"/>
    <s v="VALID"/>
    <n v="0.34777777777777774"/>
    <s v="Medium"/>
    <n v="35.015000000000001"/>
    <s v="Medium"/>
  </r>
  <r>
    <n v="800"/>
    <n v="17.64"/>
    <x v="3"/>
    <x v="0"/>
    <n v="300"/>
    <n v="13.5"/>
    <n v="14.19"/>
    <n v="6.31"/>
    <n v="35.770000000000003"/>
    <n v="9"/>
    <s v="Critical"/>
    <s v="VALID"/>
    <n v="0.70111111111111102"/>
    <s v="Medium"/>
    <n v="24.98"/>
    <s v="Low"/>
  </r>
  <r>
    <n v="50"/>
    <n v="5.21"/>
    <x v="4"/>
    <x v="4"/>
    <n v="150"/>
    <n v="74"/>
    <n v="0.87"/>
    <n v="5.35"/>
    <n v="102.69"/>
    <n v="5"/>
    <s v="Critical"/>
    <s v="INVALID"/>
    <m/>
    <m/>
    <m/>
    <m/>
  </r>
  <r>
    <n v="800"/>
    <n v="28.66"/>
    <x v="3"/>
    <x v="4"/>
    <n v="1500"/>
    <n v="149.69999999999999"/>
    <n v="8.48"/>
    <n v="7.29"/>
    <n v="25.44"/>
    <n v="19"/>
    <s v="Critical"/>
    <s v="VALID"/>
    <n v="0.38368421052631579"/>
    <s v="Low"/>
    <n v="16.96"/>
    <s v="Low"/>
  </r>
  <r>
    <n v="300"/>
    <n v="10.01"/>
    <x v="2"/>
    <x v="1"/>
    <n v="1500"/>
    <n v="-4.9000000000000004"/>
    <n v="13.56"/>
    <n v="2.37"/>
    <n v="23.68"/>
    <n v="19"/>
    <s v="Moderate"/>
    <s v="VALID"/>
    <n v="0.12473684210526316"/>
    <s v="Medium"/>
    <n v="18.62"/>
    <s v="Low"/>
  </r>
  <r>
    <n v="400"/>
    <n v="16.52"/>
    <x v="3"/>
    <x v="2"/>
    <n v="2500"/>
    <n v="12.9"/>
    <n v="16.78"/>
    <n v="9.5399999999999991"/>
    <n v="57.75"/>
    <n v="12"/>
    <s v="Critical"/>
    <s v="VALID"/>
    <n v="0.79499999999999993"/>
    <s v="Medium"/>
    <n v="37.265000000000001"/>
    <s v="Medium"/>
  </r>
  <r>
    <n v="1500"/>
    <n v="31.97"/>
    <x v="0"/>
    <x v="4"/>
    <n v="600"/>
    <n v="59.8"/>
    <n v="5.15"/>
    <n v="2.33"/>
    <n v="7.29"/>
    <n v="15"/>
    <s v="Moderate"/>
    <s v="VALID"/>
    <n v="0.15533333333333335"/>
    <s v="Medium"/>
    <n v="6.2200000000000006"/>
    <s v="Low"/>
  </r>
  <r>
    <n v="1500"/>
    <n v="34.61"/>
    <x v="2"/>
    <x v="2"/>
    <n v="300"/>
    <n v="61.6"/>
    <n v="1.92"/>
    <n v="6.26"/>
    <n v="18.09"/>
    <n v="19"/>
    <s v="Critical"/>
    <s v="VALID"/>
    <n v="0.32947368421052631"/>
    <s v="Low"/>
    <n v="10.004999999999999"/>
    <s v="Low"/>
  </r>
  <r>
    <n v="1200"/>
    <n v="20.190000000000001"/>
    <x v="2"/>
    <x v="3"/>
    <n v="150"/>
    <n v="32.6"/>
    <n v="15.86"/>
    <n v="8.0500000000000007"/>
    <n v="39.869999999999997"/>
    <n v="24"/>
    <s v="Critical"/>
    <s v="VALID"/>
    <n v="0.3354166666666667"/>
    <s v="Low"/>
    <n v="27.864999999999998"/>
    <s v="Low"/>
  </r>
  <r>
    <n v="100"/>
    <n v="7.71"/>
    <x v="1"/>
    <x v="4"/>
    <n v="2500"/>
    <n v="24"/>
    <n v="16.28"/>
    <n v="3.09"/>
    <n v="40.08"/>
    <n v="15"/>
    <s v="Moderate"/>
    <s v="VALID"/>
    <n v="0.20599999999999999"/>
    <s v="Low"/>
    <n v="28.18"/>
    <s v="Low"/>
  </r>
  <r>
    <n v="400"/>
    <n v="13.4"/>
    <x v="0"/>
    <x v="1"/>
    <n v="2500"/>
    <n v="-15.2"/>
    <n v="18.13"/>
    <n v="1.17"/>
    <n v="8.73"/>
    <n v="13"/>
    <s v="Normal"/>
    <s v="VALID"/>
    <n v="0.09"/>
    <s v="Medium"/>
    <n v="13.43"/>
    <s v="Low"/>
  </r>
  <r>
    <n v="1500"/>
    <n v="40.94"/>
    <x v="4"/>
    <x v="4"/>
    <n v="2500"/>
    <n v="-14.8"/>
    <n v="18.53"/>
    <n v="2.56"/>
    <n v="6.25"/>
    <n v="19"/>
    <s v="Moderate"/>
    <s v="VALID"/>
    <n v="0.13473684210526315"/>
    <s v="Medium"/>
    <n v="12.39"/>
    <s v="Low"/>
  </r>
  <r>
    <n v="250"/>
    <n v="7.48"/>
    <x v="4"/>
    <x v="1"/>
    <n v="2500"/>
    <n v="134.30000000000001"/>
    <n v="6.05"/>
    <n v="0.37"/>
    <n v="4.95"/>
    <n v="5"/>
    <s v="Normal"/>
    <s v="VALID"/>
    <n v="7.3999999999999996E-2"/>
    <s v="Medium"/>
    <n v="5.5"/>
    <s v="Low"/>
  </r>
  <r>
    <n v="200"/>
    <n v="11.25"/>
    <x v="0"/>
    <x v="3"/>
    <n v="600"/>
    <n v="13.1"/>
    <n v="2.48"/>
    <n v="2.04"/>
    <n v="18.13"/>
    <n v="12"/>
    <s v="Moderate"/>
    <s v="VALID"/>
    <n v="0.17"/>
    <s v="Medium"/>
    <n v="10.305"/>
    <s v="Low"/>
  </r>
  <r>
    <n v="150"/>
    <n v="8.6"/>
    <x v="2"/>
    <x v="0"/>
    <n v="600"/>
    <n v="17.899999999999999"/>
    <n v="8.6199999999999992"/>
    <n v="6.66"/>
    <n v="77.44"/>
    <n v="25"/>
    <s v="Critical"/>
    <s v="VALID"/>
    <n v="0.26640000000000003"/>
    <s v="Low"/>
    <n v="43.03"/>
    <s v="Medium"/>
  </r>
  <r>
    <n v="500"/>
    <n v="14.61"/>
    <x v="3"/>
    <x v="3"/>
    <n v="300"/>
    <n v="6.6"/>
    <n v="9.8699999999999992"/>
    <n v="5.99"/>
    <n v="41"/>
    <n v="21"/>
    <s v="Critical"/>
    <s v="VALID"/>
    <n v="0.28523809523809524"/>
    <s v="Low"/>
    <n v="25.434999999999999"/>
    <s v="Low"/>
  </r>
  <r>
    <n v="500"/>
    <n v="13.76"/>
    <x v="3"/>
    <x v="0"/>
    <n v="2500"/>
    <n v="73.2"/>
    <n v="18.91"/>
    <n v="5.14"/>
    <n v="37.35"/>
    <n v="3"/>
    <s v="Critical"/>
    <s v="VALID"/>
    <n v="1.7133333333333332"/>
    <s v="Low"/>
    <n v="28.130000000000003"/>
    <s v="Low"/>
  </r>
  <r>
    <n v="250"/>
    <n v="6.77"/>
    <x v="0"/>
    <x v="1"/>
    <n v="2500"/>
    <n v="69.099999999999994"/>
    <n v="6.58"/>
    <n v="1.41"/>
    <n v="20.83"/>
    <n v="13"/>
    <s v="Normal"/>
    <s v="VALID"/>
    <n v="0.10846153846153846"/>
    <s v="Medium"/>
    <n v="13.704999999999998"/>
    <s v="Low"/>
  </r>
  <r>
    <n v="100"/>
    <n v="5.12"/>
    <x v="4"/>
    <x v="1"/>
    <n v="900"/>
    <n v="53"/>
    <n v="0.64"/>
    <n v="1.1100000000000001"/>
    <n v="21.68"/>
    <n v="12"/>
    <s v="Normal"/>
    <s v="VALID"/>
    <n v="9.2500000000000013E-2"/>
    <s v="Medium"/>
    <n v="11.16"/>
    <s v="Low"/>
  </r>
  <r>
    <n v="1500"/>
    <n v="27.3"/>
    <x v="3"/>
    <x v="4"/>
    <n v="1500"/>
    <n v="115.2"/>
    <n v="13.79"/>
    <n v="0.67"/>
    <n v="2.4500000000000002"/>
    <n v="18"/>
    <s v="Normal"/>
    <s v="VALID"/>
    <n v="3.7222222222222226E-2"/>
    <s v="Low"/>
    <n v="8.1199999999999992"/>
    <s v="Low"/>
  </r>
  <r>
    <n v="250"/>
    <n v="9.59"/>
    <x v="3"/>
    <x v="1"/>
    <n v="150"/>
    <n v="18.5"/>
    <n v="17.18"/>
    <n v="2.35"/>
    <n v="24.5"/>
    <n v="6"/>
    <s v="Moderate"/>
    <s v="VALID"/>
    <n v="0.39166666666666666"/>
    <s v="Medium"/>
    <n v="20.84"/>
    <s v="Low"/>
  </r>
  <r>
    <n v="100"/>
    <n v="6.02"/>
    <x v="1"/>
    <x v="3"/>
    <n v="1500"/>
    <n v="50.7"/>
    <n v="18.36"/>
    <n v="2.37"/>
    <n v="39.369999999999997"/>
    <n v="23"/>
    <s v="Moderate"/>
    <s v="VALID"/>
    <n v="0.10304347826086957"/>
    <s v="Low"/>
    <n v="28.864999999999998"/>
    <s v="Low"/>
  </r>
  <r>
    <n v="600"/>
    <n v="14.75"/>
    <x v="0"/>
    <x v="0"/>
    <n v="600"/>
    <n v="2.1"/>
    <n v="5.36"/>
    <n v="3.17"/>
    <n v="21.49"/>
    <n v="11"/>
    <s v="Moderate"/>
    <s v="VALID"/>
    <n v="0.28818181818181815"/>
    <s v="Medium"/>
    <n v="13.424999999999999"/>
    <s v="Low"/>
  </r>
  <r>
    <n v="500"/>
    <n v="23.95"/>
    <x v="2"/>
    <x v="0"/>
    <n v="900"/>
    <n v="37.700000000000003"/>
    <n v="15.5"/>
    <n v="2.41"/>
    <n v="10.06"/>
    <n v="15"/>
    <s v="Moderate"/>
    <s v="VALID"/>
    <n v="0.16066666666666668"/>
    <s v="Low"/>
    <n v="12.780000000000001"/>
    <s v="Low"/>
  </r>
  <r>
    <n v="800"/>
    <n v="23.11"/>
    <x v="0"/>
    <x v="0"/>
    <n v="900"/>
    <n v="-2.2000000000000002"/>
    <n v="14.62"/>
    <n v="1.73"/>
    <n v="7.49"/>
    <n v="25"/>
    <s v="Normal"/>
    <s v="VALID"/>
    <n v="6.9199999999999998E-2"/>
    <s v="Low"/>
    <n v="11.055"/>
    <s v="Low"/>
  </r>
  <r>
    <n v="250"/>
    <n v="12.68"/>
    <x v="3"/>
    <x v="2"/>
    <n v="1500"/>
    <n v="35.5"/>
    <n v="16.899999999999999"/>
    <n v="7.72"/>
    <n v="60.88"/>
    <n v="2"/>
    <s v="Critical"/>
    <s v="VALID"/>
    <n v="3.86"/>
    <s v="Low"/>
    <n v="38.89"/>
    <s v="Medium"/>
  </r>
  <r>
    <n v="1200"/>
    <n v="19.16"/>
    <x v="3"/>
    <x v="4"/>
    <n v="900"/>
    <n v="74.7"/>
    <n v="18.91"/>
    <n v="6.59"/>
    <n v="34.39"/>
    <n v="2"/>
    <s v="Critical"/>
    <s v="VALID"/>
    <n v="3.2949999999999999"/>
    <s v="Medium"/>
    <n v="26.65"/>
    <s v="Low"/>
  </r>
  <r>
    <n v="50"/>
    <n v="4.8600000000000003"/>
    <x v="4"/>
    <x v="1"/>
    <n v="600"/>
    <n v="3.8"/>
    <n v="3.33"/>
    <n v="6.67"/>
    <n v="137.24"/>
    <n v="24"/>
    <s v="Critical"/>
    <s v="INVALID"/>
    <m/>
    <m/>
    <m/>
    <m/>
  </r>
  <r>
    <n v="1200"/>
    <n v="36.869999999999997"/>
    <x v="1"/>
    <x v="2"/>
    <n v="900"/>
    <n v="-4.7"/>
    <n v="1.58"/>
    <n v="9.91"/>
    <n v="26.88"/>
    <n v="20"/>
    <s v="Critical"/>
    <s v="VALID"/>
    <n v="0.4955"/>
    <s v="Low"/>
    <n v="14.23"/>
    <s v="Low"/>
  </r>
  <r>
    <n v="150"/>
    <n v="6.53"/>
    <x v="1"/>
    <x v="3"/>
    <n v="2500"/>
    <n v="65.900000000000006"/>
    <n v="8.49"/>
    <n v="4.53"/>
    <n v="69.37"/>
    <n v="8"/>
    <s v="Moderate"/>
    <s v="VALID"/>
    <n v="0.56625000000000003"/>
    <s v="Low"/>
    <n v="38.93"/>
    <s v="Medium"/>
  </r>
  <r>
    <n v="800"/>
    <n v="20.03"/>
    <x v="3"/>
    <x v="4"/>
    <n v="150"/>
    <n v="127.3"/>
    <n v="12.76"/>
    <n v="5.29"/>
    <n v="26.41"/>
    <n v="16"/>
    <s v="Critical"/>
    <s v="VALID"/>
    <n v="0.330625"/>
    <s v="Medium"/>
    <n v="19.585000000000001"/>
    <s v="Low"/>
  </r>
  <r>
    <n v="400"/>
    <n v="8.2200000000000006"/>
    <x v="0"/>
    <x v="2"/>
    <n v="2500"/>
    <n v="31.5"/>
    <n v="13.61"/>
    <n v="8.4600000000000009"/>
    <n v="102.92"/>
    <n v="12"/>
    <s v="Critical"/>
    <s v="INVALID"/>
    <m/>
    <m/>
    <m/>
    <m/>
  </r>
  <r>
    <n v="1200"/>
    <n v="27.43"/>
    <x v="2"/>
    <x v="3"/>
    <n v="600"/>
    <n v="12.7"/>
    <n v="14.29"/>
    <n v="1.36"/>
    <n v="4.96"/>
    <n v="23"/>
    <s v="Normal"/>
    <s v="VALID"/>
    <n v="5.9130434782608703E-2"/>
    <s v="Medium"/>
    <n v="9.625"/>
    <s v="Low"/>
  </r>
  <r>
    <n v="1200"/>
    <n v="19.82"/>
    <x v="4"/>
    <x v="3"/>
    <n v="600"/>
    <n v="85.7"/>
    <n v="19.05"/>
    <n v="0.72"/>
    <n v="3.63"/>
    <n v="14"/>
    <s v="Normal"/>
    <s v="VALID"/>
    <n v="5.1428571428571428E-2"/>
    <s v="Low"/>
    <n v="11.34"/>
    <s v="Low"/>
  </r>
  <r>
    <n v="600"/>
    <n v="18.739999999999998"/>
    <x v="0"/>
    <x v="0"/>
    <n v="1500"/>
    <n v="62.7"/>
    <n v="2.68"/>
    <n v="6.42"/>
    <n v="34.26"/>
    <n v="9"/>
    <s v="Critical"/>
    <s v="VALID"/>
    <n v="0.71333333333333337"/>
    <s v="Low"/>
    <n v="18.47"/>
    <s v="Low"/>
  </r>
  <r>
    <n v="1000"/>
    <n v="15.83"/>
    <x v="0"/>
    <x v="4"/>
    <n v="300"/>
    <n v="-3.4"/>
    <n v="11.42"/>
    <n v="7.82"/>
    <n v="49.4"/>
    <n v="23"/>
    <s v="Critical"/>
    <s v="VALID"/>
    <n v="0.34"/>
    <s v="Medium"/>
    <n v="30.41"/>
    <s v="Medium"/>
  </r>
  <r>
    <n v="150"/>
    <n v="5.44"/>
    <x v="4"/>
    <x v="2"/>
    <n v="1500"/>
    <n v="108.5"/>
    <n v="18.25"/>
    <n v="2.04"/>
    <n v="37.5"/>
    <n v="18"/>
    <s v="Moderate"/>
    <s v="VALID"/>
    <n v="0.11333333333333334"/>
    <s v="Low"/>
    <n v="27.875"/>
    <s v="Low"/>
  </r>
  <r>
    <n v="300"/>
    <n v="15.59"/>
    <x v="1"/>
    <x v="1"/>
    <n v="2500"/>
    <n v="74.099999999999994"/>
    <n v="1.08"/>
    <n v="0.15"/>
    <n v="0.96"/>
    <n v="5"/>
    <s v="Normal"/>
    <s v="VALID"/>
    <n v="0.03"/>
    <s v="Medium"/>
    <n v="1.02"/>
    <s v="Low"/>
  </r>
  <r>
    <n v="500"/>
    <n v="10.26"/>
    <x v="3"/>
    <x v="0"/>
    <n v="300"/>
    <n v="18.399999999999999"/>
    <n v="5.0199999999999996"/>
    <n v="0.34"/>
    <n v="3.31"/>
    <n v="2"/>
    <s v="Normal"/>
    <s v="VALID"/>
    <n v="0.17"/>
    <s v="Medium"/>
    <n v="4.165"/>
    <s v="Low"/>
  </r>
  <r>
    <n v="800"/>
    <n v="16.829999999999998"/>
    <x v="4"/>
    <x v="0"/>
    <n v="150"/>
    <n v="55.2"/>
    <n v="9.75"/>
    <n v="6.78"/>
    <n v="40.29"/>
    <n v="6"/>
    <s v="Critical"/>
    <s v="VALID"/>
    <n v="1.1300000000000001"/>
    <s v="Low"/>
    <n v="25.02"/>
    <s v="Low"/>
  </r>
  <r>
    <n v="1500"/>
    <n v="35"/>
    <x v="0"/>
    <x v="3"/>
    <n v="1500"/>
    <n v="32.299999999999997"/>
    <n v="1.1399999999999999"/>
    <n v="1.92"/>
    <n v="5.49"/>
    <n v="16"/>
    <s v="Normal"/>
    <s v="VALID"/>
    <n v="0.12"/>
    <s v="Low"/>
    <n v="3.3149999999999999"/>
    <s v="Low"/>
  </r>
  <r>
    <n v="100"/>
    <n v="5.67"/>
    <x v="3"/>
    <x v="2"/>
    <n v="300"/>
    <n v="17.399999999999999"/>
    <n v="15.91"/>
    <n v="8"/>
    <n v="141.09"/>
    <n v="24"/>
    <s v="Critical"/>
    <s v="INVALID"/>
    <m/>
    <m/>
    <m/>
    <m/>
  </r>
  <r>
    <n v="500"/>
    <n v="12.23"/>
    <x v="3"/>
    <x v="2"/>
    <n v="2500"/>
    <n v="69.3"/>
    <n v="17.329999999999998"/>
    <n v="8.69"/>
    <n v="71.05"/>
    <n v="1"/>
    <s v="Critical"/>
    <s v="VALID"/>
    <n v="8.69"/>
    <s v="Low"/>
    <n v="44.19"/>
    <s v="Medium"/>
  </r>
  <r>
    <n v="150"/>
    <n v="7.41"/>
    <x v="3"/>
    <x v="1"/>
    <n v="2500"/>
    <n v="-8.1999999999999993"/>
    <n v="18.23"/>
    <n v="2.15"/>
    <n v="29.01"/>
    <n v="16"/>
    <s v="Moderate"/>
    <s v="VALID"/>
    <n v="0.13437499999999999"/>
    <s v="Medium"/>
    <n v="23.62"/>
    <s v="Low"/>
  </r>
  <r>
    <n v="1000"/>
    <n v="25.42"/>
    <x v="1"/>
    <x v="1"/>
    <n v="150"/>
    <n v="39.1"/>
    <n v="6.15"/>
    <n v="6.63"/>
    <n v="26.08"/>
    <n v="12"/>
    <s v="Critical"/>
    <s v="VALID"/>
    <n v="0.55249999999999999"/>
    <s v="Medium"/>
    <n v="16.114999999999998"/>
    <s v="Low"/>
  </r>
  <r>
    <n v="200"/>
    <n v="10.46"/>
    <x v="4"/>
    <x v="4"/>
    <n v="150"/>
    <n v="-7"/>
    <n v="19.899999999999999"/>
    <n v="8.3000000000000007"/>
    <n v="79.349999999999994"/>
    <n v="10"/>
    <s v="Critical"/>
    <s v="VALID"/>
    <n v="0.83000000000000007"/>
    <s v="Low"/>
    <n v="49.625"/>
    <s v="Medium"/>
  </r>
  <r>
    <n v="600"/>
    <n v="16.190000000000001"/>
    <x v="0"/>
    <x v="0"/>
    <n v="600"/>
    <n v="12.1"/>
    <n v="15.73"/>
    <n v="8.8000000000000007"/>
    <n v="54.35"/>
    <n v="25"/>
    <s v="Critical"/>
    <s v="VALID"/>
    <n v="0.35200000000000004"/>
    <s v="Low"/>
    <n v="35.04"/>
    <s v="Medium"/>
  </r>
  <r>
    <n v="100"/>
    <n v="5.39"/>
    <x v="2"/>
    <x v="0"/>
    <n v="900"/>
    <n v="44.7"/>
    <n v="7.35"/>
    <n v="0.21"/>
    <n v="3.9"/>
    <n v="8"/>
    <s v="Normal"/>
    <s v="VALID"/>
    <n v="2.6249999999999999E-2"/>
    <s v="Low"/>
    <n v="5.625"/>
    <s v="Low"/>
  </r>
  <r>
    <n v="1200"/>
    <n v="34.549999999999997"/>
    <x v="4"/>
    <x v="4"/>
    <n v="600"/>
    <n v="105.6"/>
    <n v="8.83"/>
    <n v="3.41"/>
    <n v="9.8699999999999992"/>
    <n v="2"/>
    <s v="Moderate"/>
    <s v="VALID"/>
    <n v="1.7050000000000001"/>
    <s v="Low"/>
    <n v="9.35"/>
    <s v="Low"/>
  </r>
  <r>
    <n v="400"/>
    <n v="12.07"/>
    <x v="1"/>
    <x v="4"/>
    <n v="300"/>
    <n v="78"/>
    <n v="9.2799999999999994"/>
    <n v="9.52"/>
    <n v="78.87"/>
    <n v="2"/>
    <s v="Critical"/>
    <s v="VALID"/>
    <n v="4.76"/>
    <s v="Low"/>
    <n v="44.075000000000003"/>
    <s v="Medium"/>
  </r>
  <r>
    <n v="600"/>
    <n v="13.15"/>
    <x v="1"/>
    <x v="3"/>
    <n v="900"/>
    <n v="8.1"/>
    <n v="0.88"/>
    <n v="4.6399999999999997"/>
    <n v="35.29"/>
    <n v="16"/>
    <s v="Moderate"/>
    <s v="VALID"/>
    <n v="0.28999999999999998"/>
    <s v="Low"/>
    <n v="18.085000000000001"/>
    <s v="Low"/>
  </r>
  <r>
    <n v="300"/>
    <n v="10.17"/>
    <x v="4"/>
    <x v="3"/>
    <n v="300"/>
    <n v="85.2"/>
    <n v="7.37"/>
    <n v="0.9"/>
    <n v="8.85"/>
    <n v="23"/>
    <s v="Normal"/>
    <s v="VALID"/>
    <n v="3.9130434782608699E-2"/>
    <s v="Low"/>
    <n v="8.11"/>
    <s v="Low"/>
  </r>
  <r>
    <n v="600"/>
    <n v="14.68"/>
    <x v="2"/>
    <x v="4"/>
    <n v="300"/>
    <n v="65.099999999999994"/>
    <n v="16.73"/>
    <n v="0.85"/>
    <n v="5.79"/>
    <n v="25"/>
    <s v="Normal"/>
    <s v="VALID"/>
    <n v="3.4000000000000002E-2"/>
    <s v="Low"/>
    <n v="11.26"/>
    <s v="Low"/>
  </r>
  <r>
    <n v="250"/>
    <n v="9.4"/>
    <x v="3"/>
    <x v="1"/>
    <n v="2500"/>
    <n v="49.4"/>
    <n v="7.59"/>
    <n v="7.76"/>
    <n v="82.55"/>
    <n v="14"/>
    <s v="Critical"/>
    <s v="VALID"/>
    <n v="0.55428571428571427"/>
    <s v="Low"/>
    <n v="45.07"/>
    <s v="Medium"/>
  </r>
  <r>
    <n v="300"/>
    <n v="9.4499999999999993"/>
    <x v="2"/>
    <x v="3"/>
    <n v="2500"/>
    <n v="35.6"/>
    <n v="12.61"/>
    <n v="5.43"/>
    <n v="57.46"/>
    <n v="3"/>
    <s v="Critical"/>
    <s v="VALID"/>
    <n v="1.8099999999999998"/>
    <s v="Medium"/>
    <n v="35.034999999999997"/>
    <s v="Medium"/>
  </r>
  <r>
    <n v="50"/>
    <n v="5.22"/>
    <x v="1"/>
    <x v="1"/>
    <n v="900"/>
    <n v="110.5"/>
    <n v="18.510000000000002"/>
    <n v="7.59"/>
    <n v="145.4"/>
    <n v="10"/>
    <s v="Critical"/>
    <s v="INVALID"/>
    <m/>
    <m/>
    <m/>
    <m/>
  </r>
  <r>
    <n v="300"/>
    <n v="10.52"/>
    <x v="3"/>
    <x v="1"/>
    <n v="1500"/>
    <n v="99.2"/>
    <n v="19.04"/>
    <n v="3.39"/>
    <n v="32.22"/>
    <n v="19"/>
    <s v="Moderate"/>
    <s v="VALID"/>
    <n v="0.17842105263157895"/>
    <s v="Low"/>
    <n v="25.63"/>
    <s v="Low"/>
  </r>
  <r>
    <n v="200"/>
    <n v="7.81"/>
    <x v="3"/>
    <x v="2"/>
    <n v="150"/>
    <n v="12.2"/>
    <n v="4.41"/>
    <n v="0.35"/>
    <n v="4.4800000000000004"/>
    <n v="12"/>
    <s v="Normal"/>
    <s v="VALID"/>
    <n v="2.9166666666666664E-2"/>
    <s v="Medium"/>
    <n v="4.4450000000000003"/>
    <s v="Low"/>
  </r>
  <r>
    <n v="1200"/>
    <n v="35.28"/>
    <x v="3"/>
    <x v="4"/>
    <n v="900"/>
    <n v="75.8"/>
    <n v="0.43"/>
    <n v="0.43"/>
    <n v="1.22"/>
    <n v="5"/>
    <s v="Normal"/>
    <s v="VALID"/>
    <n v="8.5999999999999993E-2"/>
    <s v="Low"/>
    <n v="0.82499999999999996"/>
    <s v="Low"/>
  </r>
  <r>
    <n v="250"/>
    <n v="8.8800000000000008"/>
    <x v="1"/>
    <x v="3"/>
    <n v="600"/>
    <n v="51.3"/>
    <n v="8.2899999999999991"/>
    <n v="0.51"/>
    <n v="5.74"/>
    <n v="14"/>
    <s v="Normal"/>
    <s v="VALID"/>
    <n v="3.6428571428571428E-2"/>
    <s v="Low"/>
    <n v="7.0149999999999997"/>
    <s v="Low"/>
  </r>
  <r>
    <n v="50"/>
    <n v="4.4800000000000004"/>
    <x v="3"/>
    <x v="3"/>
    <n v="2500"/>
    <n v="7.1"/>
    <n v="16.350000000000001"/>
    <n v="4.5599999999999996"/>
    <n v="101.79"/>
    <n v="16"/>
    <s v="Moderate"/>
    <s v="INVALID"/>
    <m/>
    <m/>
    <m/>
    <m/>
  </r>
  <r>
    <n v="100"/>
    <n v="6.06"/>
    <x v="1"/>
    <x v="3"/>
    <n v="2500"/>
    <n v="127.7"/>
    <n v="2.4"/>
    <n v="8.9600000000000009"/>
    <n v="147.85"/>
    <n v="22"/>
    <s v="Critical"/>
    <s v="INVALID"/>
    <m/>
    <m/>
    <m/>
    <m/>
  </r>
  <r>
    <n v="100"/>
    <n v="7.34"/>
    <x v="1"/>
    <x v="3"/>
    <n v="600"/>
    <n v="19.2"/>
    <n v="5.91"/>
    <n v="7.41"/>
    <n v="100.95"/>
    <n v="23"/>
    <s v="Critical"/>
    <s v="INVALID"/>
    <m/>
    <m/>
    <m/>
    <m/>
  </r>
  <r>
    <n v="250"/>
    <n v="12.12"/>
    <x v="1"/>
    <x v="4"/>
    <n v="2500"/>
    <n v="60.7"/>
    <n v="6.85"/>
    <n v="5.47"/>
    <n v="45.13"/>
    <n v="23"/>
    <s v="Critical"/>
    <s v="VALID"/>
    <n v="0.23782608695652172"/>
    <s v="Low"/>
    <n v="25.990000000000002"/>
    <s v="Low"/>
  </r>
  <r>
    <n v="1000"/>
    <n v="25.02"/>
    <x v="1"/>
    <x v="2"/>
    <n v="900"/>
    <n v="16"/>
    <n v="15.69"/>
    <n v="5.17"/>
    <n v="20.66"/>
    <n v="1"/>
    <s v="Critical"/>
    <s v="VALID"/>
    <n v="5.17"/>
    <s v="Medium"/>
    <n v="18.175000000000001"/>
    <s v="Low"/>
  </r>
  <r>
    <n v="250"/>
    <n v="14.96"/>
    <x v="1"/>
    <x v="3"/>
    <n v="2500"/>
    <n v="129.19999999999999"/>
    <n v="9.5299999999999994"/>
    <n v="9"/>
    <n v="60.16"/>
    <n v="9"/>
    <s v="Critical"/>
    <s v="VALID"/>
    <n v="1"/>
    <s v="Low"/>
    <n v="34.844999999999999"/>
    <s v="Medium"/>
  </r>
  <r>
    <n v="1500"/>
    <n v="30.96"/>
    <x v="1"/>
    <x v="1"/>
    <n v="150"/>
    <n v="-37.1"/>
    <n v="17.86"/>
    <n v="9.2100000000000009"/>
    <n v="29.75"/>
    <n v="8"/>
    <s v="Critical"/>
    <s v="VALID"/>
    <n v="1.1512500000000001"/>
    <s v="Medium"/>
    <n v="23.805"/>
    <s v="Low"/>
  </r>
  <r>
    <n v="250"/>
    <n v="14.22"/>
    <x v="1"/>
    <x v="1"/>
    <n v="300"/>
    <n v="40.6"/>
    <n v="18.47"/>
    <n v="8.16"/>
    <n v="57.38"/>
    <n v="21"/>
    <s v="Critical"/>
    <s v="VALID"/>
    <n v="0.38857142857142857"/>
    <s v="Low"/>
    <n v="37.924999999999997"/>
    <s v="Medium"/>
  </r>
  <r>
    <n v="100"/>
    <n v="6.95"/>
    <x v="3"/>
    <x v="2"/>
    <n v="2500"/>
    <n v="88.3"/>
    <n v="13.98"/>
    <n v="9.08"/>
    <n v="130.65"/>
    <n v="25"/>
    <s v="Critical"/>
    <s v="INVALID"/>
    <m/>
    <m/>
    <m/>
    <m/>
  </r>
  <r>
    <n v="150"/>
    <n v="6.91"/>
    <x v="2"/>
    <x v="2"/>
    <n v="600"/>
    <n v="0.5"/>
    <n v="16.27"/>
    <n v="6.74"/>
    <n v="97.54"/>
    <n v="22"/>
    <s v="Critical"/>
    <s v="VALID"/>
    <n v="0.30636363636363639"/>
    <s v="Medium"/>
    <n v="56.905000000000001"/>
    <s v="Medium"/>
  </r>
  <r>
    <n v="300"/>
    <n v="13.13"/>
    <x v="4"/>
    <x v="1"/>
    <n v="150"/>
    <n v="-18.5"/>
    <n v="12.74"/>
    <n v="2.12"/>
    <n v="16.149999999999999"/>
    <n v="19"/>
    <s v="Moderate"/>
    <s v="VALID"/>
    <n v="0.11157894736842106"/>
    <s v="Low"/>
    <n v="14.445"/>
    <s v="Low"/>
  </r>
  <r>
    <n v="50"/>
    <n v="5.83"/>
    <x v="1"/>
    <x v="3"/>
    <n v="150"/>
    <n v="18.7"/>
    <n v="16.739999999999998"/>
    <n v="0.05"/>
    <n v="0.86"/>
    <n v="5"/>
    <s v="Normal"/>
    <s v="VALID"/>
    <n v="0.01"/>
    <s v="Low"/>
    <n v="8.7999999999999989"/>
    <s v="Low"/>
  </r>
  <r>
    <n v="50"/>
    <n v="4.5"/>
    <x v="1"/>
    <x v="3"/>
    <n v="150"/>
    <n v="48.2"/>
    <n v="18.04"/>
    <n v="0.25"/>
    <n v="5.56"/>
    <n v="12"/>
    <s v="Normal"/>
    <s v="VALID"/>
    <n v="2.0833333333333332E-2"/>
    <s v="Low"/>
    <n v="11.799999999999999"/>
    <s v="Low"/>
  </r>
  <r>
    <n v="1000"/>
    <n v="21.84"/>
    <x v="2"/>
    <x v="3"/>
    <n v="2500"/>
    <n v="8.6999999999999993"/>
    <n v="12.14"/>
    <n v="9.75"/>
    <n v="44.64"/>
    <n v="4"/>
    <s v="Critical"/>
    <s v="VALID"/>
    <n v="2.4375"/>
    <s v="Low"/>
    <n v="28.39"/>
    <s v="Low"/>
  </r>
  <r>
    <n v="150"/>
    <n v="5.43"/>
    <x v="2"/>
    <x v="1"/>
    <n v="1500"/>
    <n v="8.9"/>
    <n v="13.32"/>
    <n v="5.21"/>
    <n v="95.95"/>
    <n v="18"/>
    <s v="Critical"/>
    <s v="VALID"/>
    <n v="0.28944444444444445"/>
    <s v="Medium"/>
    <n v="54.635000000000005"/>
    <s v="Medium"/>
  </r>
  <r>
    <n v="100"/>
    <n v="6.12"/>
    <x v="1"/>
    <x v="0"/>
    <n v="300"/>
    <n v="1.7"/>
    <n v="12.05"/>
    <n v="7.16"/>
    <n v="116.99"/>
    <n v="12"/>
    <s v="Critical"/>
    <s v="INVALID"/>
    <m/>
    <m/>
    <m/>
    <m/>
  </r>
  <r>
    <n v="50"/>
    <n v="4.3"/>
    <x v="4"/>
    <x v="3"/>
    <n v="300"/>
    <n v="127.1"/>
    <n v="0.92"/>
    <n v="4.79"/>
    <n v="111.4"/>
    <n v="13"/>
    <s v="Moderate"/>
    <s v="INVALID"/>
    <m/>
    <m/>
    <m/>
    <m/>
  </r>
  <r>
    <n v="1200"/>
    <n v="31.01"/>
    <x v="1"/>
    <x v="3"/>
    <n v="900"/>
    <n v="27.2"/>
    <n v="5"/>
    <n v="3.03"/>
    <n v="9.77"/>
    <n v="9"/>
    <s v="Moderate"/>
    <s v="VALID"/>
    <n v="0.33666666666666667"/>
    <s v="Low"/>
    <n v="7.3849999999999998"/>
    <s v="Low"/>
  </r>
  <r>
    <n v="1200"/>
    <n v="28.75"/>
    <x v="2"/>
    <x v="0"/>
    <n v="150"/>
    <n v="31.1"/>
    <n v="7.43"/>
    <n v="2.1"/>
    <n v="7.3"/>
    <n v="13"/>
    <s v="Moderate"/>
    <s v="VALID"/>
    <n v="0.16153846153846155"/>
    <s v="Low"/>
    <n v="7.3650000000000002"/>
    <s v="Low"/>
  </r>
  <r>
    <n v="200"/>
    <n v="6.88"/>
    <x v="2"/>
    <x v="0"/>
    <n v="600"/>
    <n v="56.6"/>
    <n v="3.37"/>
    <n v="0.35"/>
    <n v="5.09"/>
    <n v="25"/>
    <s v="Normal"/>
    <s v="VALID"/>
    <n v="1.3999999999999999E-2"/>
    <s v="Low"/>
    <n v="4.2300000000000004"/>
    <s v="Low"/>
  </r>
  <r>
    <n v="1200"/>
    <n v="20.66"/>
    <x v="2"/>
    <x v="3"/>
    <n v="150"/>
    <n v="118.5"/>
    <n v="11.43"/>
    <n v="8.42"/>
    <n v="40.76"/>
    <n v="5"/>
    <s v="Critical"/>
    <s v="VALID"/>
    <n v="1.6839999999999999"/>
    <s v="Low"/>
    <n v="26.094999999999999"/>
    <s v="Low"/>
  </r>
  <r>
    <n v="500"/>
    <n v="12.66"/>
    <x v="4"/>
    <x v="3"/>
    <n v="600"/>
    <n v="68.5"/>
    <n v="16.75"/>
    <n v="7.28"/>
    <n v="57.5"/>
    <n v="2"/>
    <s v="Critical"/>
    <s v="VALID"/>
    <n v="3.64"/>
    <s v="Low"/>
    <n v="37.125"/>
    <s v="Medium"/>
  </r>
  <r>
    <n v="800"/>
    <n v="28.54"/>
    <x v="3"/>
    <x v="2"/>
    <n v="900"/>
    <n v="72.3"/>
    <n v="14.88"/>
    <n v="2.4300000000000002"/>
    <n v="8.51"/>
    <n v="21"/>
    <s v="Moderate"/>
    <s v="VALID"/>
    <n v="0.11571428571428573"/>
    <s v="Low"/>
    <n v="11.695"/>
    <s v="Low"/>
  </r>
  <r>
    <n v="250"/>
    <n v="14.06"/>
    <x v="3"/>
    <x v="1"/>
    <n v="300"/>
    <n v="73.900000000000006"/>
    <n v="16.34"/>
    <n v="1.45"/>
    <n v="10.31"/>
    <n v="6"/>
    <s v="Normal"/>
    <s v="VALID"/>
    <n v="0.24166666666666667"/>
    <s v="Low"/>
    <n v="13.324999999999999"/>
    <s v="Low"/>
  </r>
  <r>
    <n v="100"/>
    <n v="6.45"/>
    <x v="3"/>
    <x v="4"/>
    <n v="900"/>
    <n v="95.9"/>
    <n v="15.64"/>
    <n v="7.02"/>
    <n v="108.84"/>
    <n v="20"/>
    <s v="Critical"/>
    <s v="INVALID"/>
    <m/>
    <m/>
    <m/>
    <m/>
  </r>
  <r>
    <n v="100"/>
    <n v="6.91"/>
    <x v="1"/>
    <x v="1"/>
    <n v="150"/>
    <n v="16.8"/>
    <n v="18.59"/>
    <n v="6.81"/>
    <n v="98.55"/>
    <n v="4"/>
    <s v="Critical"/>
    <s v="VALID"/>
    <n v="1.7024999999999999"/>
    <s v="Low"/>
    <n v="58.57"/>
    <s v="Medium"/>
  </r>
  <r>
    <n v="600"/>
    <n v="21.01"/>
    <x v="4"/>
    <x v="4"/>
    <n v="300"/>
    <n v="30.9"/>
    <n v="13.18"/>
    <n v="8.26"/>
    <n v="39.31"/>
    <n v="14"/>
    <s v="Critical"/>
    <s v="VALID"/>
    <n v="0.59"/>
    <s v="Low"/>
    <n v="26.245000000000001"/>
    <s v="Low"/>
  </r>
  <r>
    <n v="250"/>
    <n v="10.130000000000001"/>
    <x v="4"/>
    <x v="3"/>
    <n v="600"/>
    <n v="66"/>
    <n v="0.17"/>
    <n v="2.86"/>
    <n v="28.23"/>
    <n v="17"/>
    <s v="Moderate"/>
    <s v="VALID"/>
    <n v="0.16823529411764704"/>
    <s v="Low"/>
    <n v="14.200000000000001"/>
    <s v="Low"/>
  </r>
  <r>
    <n v="50"/>
    <n v="3.31"/>
    <x v="1"/>
    <x v="2"/>
    <n v="2500"/>
    <n v="88"/>
    <n v="14.16"/>
    <n v="9.58"/>
    <n v="289.43"/>
    <n v="18"/>
    <s v="Critical"/>
    <s v="INVALID"/>
    <m/>
    <m/>
    <m/>
    <m/>
  </r>
  <r>
    <n v="1500"/>
    <n v="43.88"/>
    <x v="4"/>
    <x v="3"/>
    <n v="150"/>
    <n v="107.8"/>
    <n v="10.93"/>
    <n v="8.06"/>
    <n v="18.37"/>
    <n v="11"/>
    <s v="Critical"/>
    <s v="VALID"/>
    <n v="0.73272727272727278"/>
    <s v="Medium"/>
    <n v="14.65"/>
    <s v="Low"/>
  </r>
  <r>
    <n v="300"/>
    <n v="11.6"/>
    <x v="3"/>
    <x v="2"/>
    <n v="900"/>
    <n v="110.5"/>
    <n v="3.02"/>
    <n v="5.65"/>
    <n v="48.71"/>
    <n v="19"/>
    <s v="Critical"/>
    <s v="VALID"/>
    <n v="0.29736842105263162"/>
    <s v="Low"/>
    <n v="25.865000000000002"/>
    <s v="Low"/>
  </r>
  <r>
    <n v="50"/>
    <n v="5.46"/>
    <x v="3"/>
    <x v="4"/>
    <n v="1500"/>
    <n v="26.2"/>
    <n v="14.04"/>
    <n v="9.36"/>
    <n v="171.43"/>
    <n v="17"/>
    <s v="Critical"/>
    <s v="INVALID"/>
    <m/>
    <m/>
    <m/>
    <m/>
  </r>
  <r>
    <n v="300"/>
    <n v="8.9600000000000009"/>
    <x v="0"/>
    <x v="3"/>
    <n v="2500"/>
    <n v="48.7"/>
    <n v="2.38"/>
    <n v="4.63"/>
    <n v="51.67"/>
    <n v="2"/>
    <s v="Moderate"/>
    <s v="VALID"/>
    <n v="2.3149999999999999"/>
    <s v="Medium"/>
    <n v="27.025000000000002"/>
    <s v="Low"/>
  </r>
  <r>
    <n v="200"/>
    <n v="10.9"/>
    <x v="3"/>
    <x v="2"/>
    <n v="900"/>
    <n v="-13"/>
    <n v="13.91"/>
    <n v="2.1800000000000002"/>
    <n v="20"/>
    <n v="17"/>
    <s v="Moderate"/>
    <s v="VALID"/>
    <n v="0.12823529411764706"/>
    <s v="Medium"/>
    <n v="16.954999999999998"/>
    <s v="Low"/>
  </r>
  <r>
    <n v="100"/>
    <n v="7.36"/>
    <x v="4"/>
    <x v="3"/>
    <n v="150"/>
    <n v="-9.5"/>
    <n v="4.1500000000000004"/>
    <n v="5.57"/>
    <n v="75.680000000000007"/>
    <n v="13"/>
    <s v="Critical"/>
    <s v="VALID"/>
    <n v="0.4284615384615385"/>
    <s v="Low"/>
    <n v="39.915000000000006"/>
    <s v="Medium"/>
  </r>
  <r>
    <n v="600"/>
    <n v="27.85"/>
    <x v="3"/>
    <x v="1"/>
    <n v="600"/>
    <n v="14.6"/>
    <n v="12.75"/>
    <n v="0.78"/>
    <n v="2.8"/>
    <n v="19"/>
    <s v="Normal"/>
    <s v="VALID"/>
    <n v="4.1052631578947368E-2"/>
    <s v="Low"/>
    <n v="7.7750000000000004"/>
    <s v="Low"/>
  </r>
  <r>
    <n v="1200"/>
    <n v="25.26"/>
    <x v="2"/>
    <x v="0"/>
    <n v="2500"/>
    <n v="-9.8000000000000007"/>
    <n v="9.52"/>
    <n v="8.18"/>
    <n v="32.380000000000003"/>
    <n v="13"/>
    <s v="Critical"/>
    <s v="VALID"/>
    <n v="0.62923076923076926"/>
    <s v="Low"/>
    <n v="20.950000000000003"/>
    <s v="Low"/>
  </r>
  <r>
    <n v="150"/>
    <n v="6.96"/>
    <x v="0"/>
    <x v="1"/>
    <n v="600"/>
    <n v="53.8"/>
    <n v="2.38"/>
    <n v="8.69"/>
    <n v="124.86"/>
    <n v="3"/>
    <s v="Critical"/>
    <s v="INVALID"/>
    <m/>
    <m/>
    <m/>
    <m/>
  </r>
  <r>
    <n v="50"/>
    <n v="3.69"/>
    <x v="0"/>
    <x v="0"/>
    <n v="600"/>
    <n v="-13.4"/>
    <n v="18.100000000000001"/>
    <n v="8.2899999999999991"/>
    <n v="224.66"/>
    <n v="5"/>
    <s v="Critical"/>
    <s v="INVALID"/>
    <m/>
    <m/>
    <m/>
    <m/>
  </r>
  <r>
    <n v="50"/>
    <n v="5.5"/>
    <x v="3"/>
    <x v="3"/>
    <n v="1500"/>
    <n v="53.7"/>
    <n v="1.59"/>
    <n v="2.7"/>
    <n v="49.09"/>
    <n v="3"/>
    <s v="Moderate"/>
    <s v="VALID"/>
    <n v="0.9"/>
    <s v="Low"/>
    <n v="25.340000000000003"/>
    <s v="Low"/>
  </r>
  <r>
    <n v="150"/>
    <n v="6.24"/>
    <x v="2"/>
    <x v="2"/>
    <n v="1500"/>
    <n v="30.8"/>
    <n v="4.1100000000000003"/>
    <n v="5.58"/>
    <n v="89.42"/>
    <n v="11"/>
    <s v="Critical"/>
    <s v="VALID"/>
    <n v="0.50727272727272732"/>
    <s v="Medium"/>
    <n v="46.765000000000001"/>
    <s v="Medium"/>
  </r>
  <r>
    <n v="600"/>
    <n v="22.17"/>
    <x v="1"/>
    <x v="2"/>
    <n v="150"/>
    <n v="36.1"/>
    <n v="17.920000000000002"/>
    <n v="4.0999999999999996"/>
    <n v="18.489999999999998"/>
    <n v="4"/>
    <s v="Moderate"/>
    <s v="VALID"/>
    <n v="1.0249999999999999"/>
    <s v="Medium"/>
    <n v="18.204999999999998"/>
    <s v="Low"/>
  </r>
  <r>
    <n v="100"/>
    <n v="5.72"/>
    <x v="3"/>
    <x v="2"/>
    <n v="300"/>
    <n v="12.3"/>
    <n v="11.19"/>
    <n v="6.79"/>
    <n v="118.71"/>
    <n v="12"/>
    <s v="Critical"/>
    <s v="INVALID"/>
    <m/>
    <m/>
    <m/>
    <m/>
  </r>
  <r>
    <n v="100"/>
    <n v="4.1399999999999997"/>
    <x v="0"/>
    <x v="3"/>
    <n v="600"/>
    <n v="19.3"/>
    <n v="10.6"/>
    <n v="8.34"/>
    <n v="201.45"/>
    <n v="21"/>
    <s v="Critical"/>
    <s v="INVALID"/>
    <m/>
    <m/>
    <m/>
    <m/>
  </r>
  <r>
    <n v="1500"/>
    <n v="31.27"/>
    <x v="3"/>
    <x v="0"/>
    <n v="150"/>
    <n v="69"/>
    <n v="16.489999999999998"/>
    <n v="6.96"/>
    <n v="22.26"/>
    <n v="10"/>
    <s v="Critical"/>
    <s v="VALID"/>
    <n v="0.69599999999999995"/>
    <s v="Low"/>
    <n v="19.375"/>
    <s v="Low"/>
  </r>
  <r>
    <n v="800"/>
    <n v="24.36"/>
    <x v="2"/>
    <x v="2"/>
    <n v="600"/>
    <n v="116.6"/>
    <n v="3.27"/>
    <n v="5.57"/>
    <n v="22.87"/>
    <n v="9"/>
    <s v="Critical"/>
    <s v="VALID"/>
    <n v="0.61888888888888893"/>
    <s v="Low"/>
    <n v="13.07"/>
    <s v="Low"/>
  </r>
  <r>
    <n v="1500"/>
    <n v="43.2"/>
    <x v="0"/>
    <x v="0"/>
    <n v="900"/>
    <n v="48.7"/>
    <n v="13.27"/>
    <n v="5.5"/>
    <n v="12.73"/>
    <n v="4"/>
    <s v="Critical"/>
    <s v="VALID"/>
    <n v="1.375"/>
    <s v="Low"/>
    <n v="13"/>
    <s v="Low"/>
  </r>
  <r>
    <n v="800"/>
    <n v="30.44"/>
    <x v="2"/>
    <x v="3"/>
    <n v="900"/>
    <n v="15.8"/>
    <n v="2.16"/>
    <n v="4.9800000000000004"/>
    <n v="16.36"/>
    <n v="4"/>
    <s v="Moderate"/>
    <s v="VALID"/>
    <n v="1.2450000000000001"/>
    <s v="Low"/>
    <n v="9.26"/>
    <s v="Low"/>
  </r>
  <r>
    <n v="200"/>
    <n v="7.82"/>
    <x v="1"/>
    <x v="3"/>
    <n v="2500"/>
    <n v="-0.5"/>
    <n v="16"/>
    <n v="3.75"/>
    <n v="47.95"/>
    <n v="14"/>
    <s v="Moderate"/>
    <s v="VALID"/>
    <n v="0.26785714285714285"/>
    <s v="Low"/>
    <n v="31.975000000000001"/>
    <s v="Medium"/>
  </r>
  <r>
    <n v="400"/>
    <n v="12.31"/>
    <x v="0"/>
    <x v="1"/>
    <n v="150"/>
    <n v="-15.5"/>
    <n v="4.47"/>
    <n v="5.41"/>
    <n v="43.95"/>
    <n v="11"/>
    <s v="Critical"/>
    <s v="VALID"/>
    <n v="0.49181818181818182"/>
    <s v="Medium"/>
    <n v="24.21"/>
    <s v="Low"/>
  </r>
  <r>
    <n v="400"/>
    <n v="8.35"/>
    <x v="2"/>
    <x v="1"/>
    <n v="2500"/>
    <n v="-9.1999999999999993"/>
    <n v="1.94"/>
    <n v="8.44"/>
    <n v="101.08"/>
    <n v="9"/>
    <s v="Critical"/>
    <s v="INVALID"/>
    <m/>
    <m/>
    <m/>
    <m/>
  </r>
  <r>
    <n v="1500"/>
    <n v="33.409999999999997"/>
    <x v="1"/>
    <x v="1"/>
    <n v="300"/>
    <n v="54.7"/>
    <n v="10.59"/>
    <n v="9.85"/>
    <n v="29.48"/>
    <n v="8"/>
    <s v="Critical"/>
    <s v="VALID"/>
    <n v="1.23125"/>
    <s v="Medium"/>
    <n v="20.035"/>
    <s v="Low"/>
  </r>
  <r>
    <n v="200"/>
    <n v="7.74"/>
    <x v="0"/>
    <x v="2"/>
    <n v="900"/>
    <n v="-25.9"/>
    <n v="1.27"/>
    <n v="0.64"/>
    <n v="8.27"/>
    <n v="1"/>
    <s v="Normal"/>
    <s v="VALID"/>
    <n v="0.64"/>
    <s v="Low"/>
    <n v="4.7699999999999996"/>
    <s v="Low"/>
  </r>
  <r>
    <n v="300"/>
    <n v="8.68"/>
    <x v="2"/>
    <x v="2"/>
    <n v="300"/>
    <n v="-21"/>
    <n v="4.76"/>
    <n v="6.01"/>
    <n v="69.239999999999995"/>
    <n v="22"/>
    <s v="Critical"/>
    <s v="VALID"/>
    <n v="0.27318181818181819"/>
    <s v="Low"/>
    <n v="37"/>
    <s v="Medium"/>
  </r>
  <r>
    <n v="1200"/>
    <n v="22.53"/>
    <x v="2"/>
    <x v="0"/>
    <n v="150"/>
    <n v="17.8"/>
    <n v="13.58"/>
    <n v="4.1100000000000003"/>
    <n v="18.239999999999998"/>
    <n v="7"/>
    <s v="Moderate"/>
    <s v="VALID"/>
    <n v="0.58714285714285719"/>
    <s v="Low"/>
    <n v="15.91"/>
    <s v="Low"/>
  </r>
  <r>
    <n v="250"/>
    <n v="10.95"/>
    <x v="3"/>
    <x v="1"/>
    <n v="2500"/>
    <n v="11.7"/>
    <n v="8.82"/>
    <n v="4.04"/>
    <n v="36.89"/>
    <n v="24"/>
    <s v="Moderate"/>
    <s v="VALID"/>
    <n v="0.16833333333333333"/>
    <s v="Low"/>
    <n v="22.855"/>
    <s v="Low"/>
  </r>
  <r>
    <n v="100"/>
    <n v="4.8899999999999997"/>
    <x v="0"/>
    <x v="0"/>
    <n v="600"/>
    <n v="2.4"/>
    <n v="2.5099999999999998"/>
    <n v="0.61"/>
    <n v="12.47"/>
    <n v="8"/>
    <s v="Normal"/>
    <s v="VALID"/>
    <n v="7.6249999999999998E-2"/>
    <s v="Medium"/>
    <n v="7.49"/>
    <s v="Low"/>
  </r>
  <r>
    <n v="50"/>
    <n v="5.62"/>
    <x v="1"/>
    <x v="3"/>
    <n v="900"/>
    <n v="42.2"/>
    <n v="0.44"/>
    <n v="6.21"/>
    <n v="110.5"/>
    <n v="20"/>
    <s v="Critical"/>
    <s v="INVALID"/>
    <m/>
    <m/>
    <m/>
    <m/>
  </r>
  <r>
    <n v="300"/>
    <n v="15.95"/>
    <x v="3"/>
    <x v="3"/>
    <n v="1500"/>
    <n v="26"/>
    <n v="15.26"/>
    <n v="0.94"/>
    <n v="5.89"/>
    <n v="16"/>
    <s v="Normal"/>
    <s v="VALID"/>
    <n v="5.8749999999999997E-2"/>
    <s v="Low"/>
    <n v="10.574999999999999"/>
    <s v="Low"/>
  </r>
  <r>
    <n v="50"/>
    <n v="3.04"/>
    <x v="0"/>
    <x v="1"/>
    <n v="300"/>
    <n v="32.6"/>
    <n v="4.5999999999999996"/>
    <n v="9.69"/>
    <n v="318.75"/>
    <n v="15"/>
    <s v="Critical"/>
    <s v="INVALID"/>
    <m/>
    <m/>
    <m/>
    <m/>
  </r>
  <r>
    <n v="400"/>
    <n v="17.32"/>
    <x v="3"/>
    <x v="2"/>
    <n v="900"/>
    <n v="31.4"/>
    <n v="1.33"/>
    <n v="1.79"/>
    <n v="10.33"/>
    <n v="12"/>
    <s v="Normal"/>
    <s v="VALID"/>
    <n v="0.14916666666666667"/>
    <s v="Low"/>
    <n v="5.83"/>
    <s v="Low"/>
  </r>
  <r>
    <n v="100"/>
    <n v="5.21"/>
    <x v="4"/>
    <x v="1"/>
    <n v="300"/>
    <n v="67.5"/>
    <n v="2.93"/>
    <n v="5.76"/>
    <n v="110.56"/>
    <n v="19"/>
    <s v="Critical"/>
    <s v="INVALID"/>
    <m/>
    <m/>
    <m/>
    <m/>
  </r>
  <r>
    <n v="500"/>
    <n v="24.44"/>
    <x v="1"/>
    <x v="0"/>
    <n v="300"/>
    <n v="11.9"/>
    <n v="12.93"/>
    <n v="6.75"/>
    <n v="27.62"/>
    <n v="10"/>
    <s v="Critical"/>
    <s v="VALID"/>
    <n v="0.67500000000000004"/>
    <s v="Low"/>
    <n v="20.274999999999999"/>
    <s v="Low"/>
  </r>
  <r>
    <n v="1200"/>
    <n v="34.299999999999997"/>
    <x v="0"/>
    <x v="1"/>
    <n v="150"/>
    <n v="89.3"/>
    <n v="6.74"/>
    <n v="3.16"/>
    <n v="9.2100000000000009"/>
    <n v="5"/>
    <s v="Moderate"/>
    <s v="VALID"/>
    <n v="0.63200000000000001"/>
    <s v="Low"/>
    <n v="7.9750000000000005"/>
    <s v="Low"/>
  </r>
  <r>
    <n v="150"/>
    <n v="6.58"/>
    <x v="0"/>
    <x v="0"/>
    <n v="2500"/>
    <n v="95.9"/>
    <n v="10.16"/>
    <n v="6.98"/>
    <n v="106.08"/>
    <n v="22"/>
    <s v="Critical"/>
    <s v="INVALID"/>
    <m/>
    <m/>
    <m/>
    <m/>
  </r>
  <r>
    <n v="400"/>
    <n v="15.23"/>
    <x v="2"/>
    <x v="0"/>
    <n v="300"/>
    <n v="44.5"/>
    <n v="5.53"/>
    <n v="4.54"/>
    <n v="29.81"/>
    <n v="1"/>
    <s v="Moderate"/>
    <s v="VALID"/>
    <n v="4.54"/>
    <s v="Medium"/>
    <n v="17.669999999999998"/>
    <s v="Low"/>
  </r>
  <r>
    <n v="50"/>
    <n v="3.25"/>
    <x v="3"/>
    <x v="0"/>
    <n v="1500"/>
    <n v="34.6"/>
    <n v="5.32"/>
    <n v="9.52"/>
    <n v="292.92"/>
    <n v="11"/>
    <s v="Critical"/>
    <s v="INVALID"/>
    <m/>
    <m/>
    <m/>
    <m/>
  </r>
  <r>
    <n v="500"/>
    <n v="14.29"/>
    <x v="4"/>
    <x v="2"/>
    <n v="2500"/>
    <n v="21.4"/>
    <n v="4.5"/>
    <n v="8.42"/>
    <n v="58.92"/>
    <n v="18"/>
    <s v="Critical"/>
    <s v="VALID"/>
    <n v="0.46777777777777779"/>
    <s v="Medium"/>
    <n v="31.71"/>
    <s v="Medium"/>
  </r>
  <r>
    <n v="1500"/>
    <n v="44.29"/>
    <x v="1"/>
    <x v="1"/>
    <n v="600"/>
    <n v="54.1"/>
    <n v="12.97"/>
    <n v="1.59"/>
    <n v="3.59"/>
    <n v="4"/>
    <s v="Normal"/>
    <s v="VALID"/>
    <n v="0.39750000000000002"/>
    <s v="Medium"/>
    <n v="8.2800000000000011"/>
    <s v="Low"/>
  </r>
  <r>
    <n v="1000"/>
    <n v="31.28"/>
    <x v="4"/>
    <x v="4"/>
    <n v="1500"/>
    <n v="30"/>
    <n v="3.04"/>
    <n v="9.7100000000000009"/>
    <n v="31.04"/>
    <n v="16"/>
    <s v="Critical"/>
    <s v="VALID"/>
    <n v="0.60687500000000005"/>
    <s v="Low"/>
    <n v="17.04"/>
    <s v="Low"/>
  </r>
  <r>
    <n v="1200"/>
    <n v="37.119999999999997"/>
    <x v="4"/>
    <x v="1"/>
    <n v="2500"/>
    <n v="102.2"/>
    <n v="8.3000000000000007"/>
    <n v="5.86"/>
    <n v="15.79"/>
    <n v="20"/>
    <s v="Critical"/>
    <s v="VALID"/>
    <n v="0.29300000000000004"/>
    <s v="Medium"/>
    <n v="12.045"/>
    <s v="Low"/>
  </r>
  <r>
    <n v="800"/>
    <n v="25.85"/>
    <x v="4"/>
    <x v="4"/>
    <n v="1500"/>
    <n v="21.4"/>
    <n v="9.85"/>
    <n v="1.36"/>
    <n v="5.26"/>
    <n v="8"/>
    <s v="Normal"/>
    <s v="VALID"/>
    <n v="0.17"/>
    <s v="Medium"/>
    <n v="7.5549999999999997"/>
    <s v="Low"/>
  </r>
  <r>
    <n v="100"/>
    <n v="4.55"/>
    <x v="4"/>
    <x v="1"/>
    <n v="600"/>
    <n v="62.3"/>
    <n v="9.8699999999999992"/>
    <n v="8.5299999999999994"/>
    <n v="187.47"/>
    <n v="25"/>
    <s v="Critical"/>
    <s v="INVALID"/>
    <m/>
    <m/>
    <m/>
    <m/>
  </r>
  <r>
    <n v="1500"/>
    <n v="47.27"/>
    <x v="2"/>
    <x v="1"/>
    <n v="600"/>
    <n v="0.6"/>
    <n v="8.51"/>
    <n v="3.84"/>
    <n v="8.1199999999999992"/>
    <n v="9"/>
    <s v="Moderate"/>
    <s v="VALID"/>
    <n v="0.42666666666666664"/>
    <s v="Low"/>
    <n v="8.3149999999999995"/>
    <s v="Low"/>
  </r>
  <r>
    <n v="150"/>
    <n v="6.25"/>
    <x v="3"/>
    <x v="1"/>
    <n v="2500"/>
    <n v="-36.4"/>
    <n v="12.69"/>
    <n v="8.31"/>
    <n v="132.96"/>
    <n v="20"/>
    <s v="Critical"/>
    <s v="INVALID"/>
    <m/>
    <m/>
    <m/>
    <m/>
  </r>
  <r>
    <n v="1500"/>
    <n v="34.770000000000003"/>
    <x v="0"/>
    <x v="2"/>
    <n v="2500"/>
    <n v="127"/>
    <n v="13.73"/>
    <n v="5.56"/>
    <n v="15.99"/>
    <n v="21"/>
    <s v="Critical"/>
    <s v="VALID"/>
    <n v="0.26476190476190475"/>
    <s v="Medium"/>
    <n v="14.86"/>
    <s v="Low"/>
  </r>
  <r>
    <n v="250"/>
    <n v="9.9"/>
    <x v="2"/>
    <x v="4"/>
    <n v="150"/>
    <n v="21.9"/>
    <n v="0.33"/>
    <n v="6.21"/>
    <n v="62.73"/>
    <n v="17"/>
    <s v="Critical"/>
    <s v="VALID"/>
    <n v="0.36529411764705882"/>
    <s v="Medium"/>
    <n v="31.529999999999998"/>
    <s v="Medium"/>
  </r>
  <r>
    <n v="100"/>
    <n v="6.3"/>
    <x v="1"/>
    <x v="1"/>
    <n v="150"/>
    <n v="20.2"/>
    <n v="1.08"/>
    <n v="5.0599999999999996"/>
    <n v="80.319999999999993"/>
    <n v="8"/>
    <s v="Critical"/>
    <s v="VALID"/>
    <n v="0.63249999999999995"/>
    <s v="Low"/>
    <n v="40.699999999999996"/>
    <s v="Medium"/>
  </r>
  <r>
    <n v="1000"/>
    <n v="28.47"/>
    <x v="2"/>
    <x v="0"/>
    <n v="900"/>
    <n v="58.5"/>
    <n v="8.4"/>
    <n v="0.71"/>
    <n v="2.4900000000000002"/>
    <n v="10"/>
    <s v="Normal"/>
    <s v="VALID"/>
    <n v="7.0999999999999994E-2"/>
    <s v="Low"/>
    <n v="5.4450000000000003"/>
    <s v="Low"/>
  </r>
  <r>
    <n v="600"/>
    <n v="23.1"/>
    <x v="1"/>
    <x v="0"/>
    <n v="2500"/>
    <n v="41.9"/>
    <n v="15.62"/>
    <n v="7.28"/>
    <n v="31.52"/>
    <n v="25"/>
    <s v="Critical"/>
    <s v="VALID"/>
    <n v="0.29120000000000001"/>
    <s v="Low"/>
    <n v="23.57"/>
    <s v="Low"/>
  </r>
  <r>
    <n v="800"/>
    <n v="19.82"/>
    <x v="3"/>
    <x v="1"/>
    <n v="900"/>
    <n v="14.3"/>
    <n v="15.34"/>
    <n v="2.63"/>
    <n v="13.27"/>
    <n v="18"/>
    <s v="Moderate"/>
    <s v="VALID"/>
    <n v="0.14611111111111111"/>
    <s v="Medium"/>
    <n v="14.305"/>
    <s v="Low"/>
  </r>
  <r>
    <n v="200"/>
    <n v="8.01"/>
    <x v="1"/>
    <x v="0"/>
    <n v="900"/>
    <n v="35.299999999999997"/>
    <n v="2.73"/>
    <n v="5.0999999999999996"/>
    <n v="63.67"/>
    <n v="22"/>
    <s v="Critical"/>
    <s v="VALID"/>
    <n v="0.23181818181818181"/>
    <s v="Low"/>
    <n v="33.200000000000003"/>
    <s v="Medium"/>
  </r>
  <r>
    <n v="50"/>
    <n v="3.03"/>
    <x v="4"/>
    <x v="1"/>
    <n v="1500"/>
    <n v="32.299999999999997"/>
    <n v="1.7"/>
    <n v="5.19"/>
    <n v="171.29"/>
    <n v="10"/>
    <s v="Critical"/>
    <s v="INVALID"/>
    <m/>
    <m/>
    <m/>
    <m/>
  </r>
  <r>
    <n v="500"/>
    <n v="16.18"/>
    <x v="4"/>
    <x v="1"/>
    <n v="300"/>
    <n v="18.100000000000001"/>
    <n v="6.3"/>
    <n v="7.77"/>
    <n v="48.02"/>
    <n v="8"/>
    <s v="Critical"/>
    <s v="VALID"/>
    <n v="0.97124999999999995"/>
    <s v="Medium"/>
    <n v="27.16"/>
    <s v="Low"/>
  </r>
  <r>
    <n v="800"/>
    <n v="25.94"/>
    <x v="4"/>
    <x v="2"/>
    <n v="2500"/>
    <n v="-8.1999999999999993"/>
    <n v="16.89"/>
    <n v="7.31"/>
    <n v="28.18"/>
    <n v="15"/>
    <s v="Critical"/>
    <s v="VALID"/>
    <n v="0.48733333333333329"/>
    <s v="Low"/>
    <n v="22.535"/>
    <s v="Low"/>
  </r>
  <r>
    <n v="100"/>
    <n v="7.95"/>
    <x v="1"/>
    <x v="4"/>
    <n v="2500"/>
    <n v="9.5"/>
    <n v="13.9"/>
    <n v="1.71"/>
    <n v="21.51"/>
    <n v="13"/>
    <s v="Normal"/>
    <s v="VALID"/>
    <n v="0.13153846153846155"/>
    <s v="Medium"/>
    <n v="17.705000000000002"/>
    <s v="Low"/>
  </r>
  <r>
    <n v="100"/>
    <n v="5.96"/>
    <x v="0"/>
    <x v="4"/>
    <n v="2500"/>
    <n v="-22.2"/>
    <n v="12.29"/>
    <n v="3.89"/>
    <n v="65.27"/>
    <n v="19"/>
    <s v="Moderate"/>
    <s v="VALID"/>
    <n v="0.20473684210526316"/>
    <s v="Medium"/>
    <n v="38.78"/>
    <s v="Medium"/>
  </r>
  <r>
    <n v="600"/>
    <n v="22.74"/>
    <x v="4"/>
    <x v="1"/>
    <n v="600"/>
    <n v="58.3"/>
    <n v="19.34"/>
    <n v="8.0399999999999991"/>
    <n v="35.36"/>
    <n v="25"/>
    <s v="Critical"/>
    <s v="VALID"/>
    <n v="0.32159999999999994"/>
    <s v="Medium"/>
    <n v="27.35"/>
    <s v="Low"/>
  </r>
  <r>
    <n v="500"/>
    <n v="14.74"/>
    <x v="2"/>
    <x v="4"/>
    <n v="150"/>
    <n v="-37.6"/>
    <n v="19.170000000000002"/>
    <n v="4.33"/>
    <n v="29.38"/>
    <n v="14"/>
    <s v="Moderate"/>
    <s v="VALID"/>
    <n v="0.30928571428571427"/>
    <s v="Low"/>
    <n v="24.274999999999999"/>
    <s v="Low"/>
  </r>
  <r>
    <n v="400"/>
    <n v="17.53"/>
    <x v="1"/>
    <x v="4"/>
    <n v="300"/>
    <n v="83.6"/>
    <n v="2.2799999999999998"/>
    <n v="4.6399999999999997"/>
    <n v="26.47"/>
    <n v="19"/>
    <s v="Moderate"/>
    <s v="VALID"/>
    <n v="0.24421052631578946"/>
    <s v="Low"/>
    <n v="14.375"/>
    <s v="Low"/>
  </r>
  <r>
    <n v="800"/>
    <n v="23.62"/>
    <x v="2"/>
    <x v="1"/>
    <n v="900"/>
    <n v="-24.3"/>
    <n v="10.58"/>
    <n v="0.92"/>
    <n v="3.9"/>
    <n v="7"/>
    <s v="Normal"/>
    <s v="VALID"/>
    <n v="0.13142857142857142"/>
    <s v="Low"/>
    <n v="7.24"/>
    <s v="Low"/>
  </r>
  <r>
    <n v="100"/>
    <n v="4.34"/>
    <x v="4"/>
    <x v="1"/>
    <n v="900"/>
    <n v="145.80000000000001"/>
    <n v="6.75"/>
    <n v="4.82"/>
    <n v="111.06"/>
    <n v="20"/>
    <s v="Moderate"/>
    <s v="INVALID"/>
    <m/>
    <m/>
    <m/>
    <m/>
  </r>
  <r>
    <n v="800"/>
    <n v="25.01"/>
    <x v="3"/>
    <x v="2"/>
    <n v="900"/>
    <n v="46.9"/>
    <n v="13.68"/>
    <n v="8.81"/>
    <n v="35.229999999999997"/>
    <n v="13"/>
    <s v="Critical"/>
    <s v="VALID"/>
    <n v="0.6776923076923077"/>
    <s v="Low"/>
    <n v="24.454999999999998"/>
    <s v="Low"/>
  </r>
  <r>
    <n v="600"/>
    <n v="16.41"/>
    <x v="2"/>
    <x v="4"/>
    <n v="600"/>
    <n v="66.400000000000006"/>
    <n v="1.02"/>
    <n v="9.31"/>
    <n v="56.73"/>
    <n v="4"/>
    <s v="Critical"/>
    <s v="VALID"/>
    <n v="2.3275000000000001"/>
    <s v="Low"/>
    <n v="28.875"/>
    <s v="Low"/>
  </r>
  <r>
    <n v="1000"/>
    <n v="29.23"/>
    <x v="3"/>
    <x v="1"/>
    <n v="2500"/>
    <n v="135"/>
    <n v="4.6500000000000004"/>
    <n v="8.4700000000000006"/>
    <n v="28.98"/>
    <n v="16"/>
    <s v="Critical"/>
    <s v="VALID"/>
    <n v="0.52937500000000004"/>
    <s v="Low"/>
    <n v="16.815000000000001"/>
    <s v="Low"/>
  </r>
  <r>
    <n v="800"/>
    <n v="27.97"/>
    <x v="3"/>
    <x v="4"/>
    <n v="2500"/>
    <n v="72"/>
    <n v="7.73"/>
    <n v="0.88"/>
    <n v="3.15"/>
    <n v="17"/>
    <s v="Normal"/>
    <s v="VALID"/>
    <n v="5.1764705882352942E-2"/>
    <s v="Medium"/>
    <n v="5.44"/>
    <s v="Low"/>
  </r>
  <r>
    <n v="100"/>
    <n v="4.13"/>
    <x v="2"/>
    <x v="2"/>
    <n v="2500"/>
    <n v="-17.899999999999999"/>
    <n v="4.13"/>
    <n v="3.1"/>
    <n v="75.06"/>
    <n v="18"/>
    <s v="Moderate"/>
    <s v="VALID"/>
    <n v="0.17222222222222222"/>
    <s v="Medium"/>
    <n v="39.594999999999999"/>
    <s v="Medium"/>
  </r>
  <r>
    <n v="1000"/>
    <n v="21.35"/>
    <x v="3"/>
    <x v="0"/>
    <n v="150"/>
    <n v="53.1"/>
    <n v="20"/>
    <n v="7.27"/>
    <n v="34.049999999999997"/>
    <n v="8"/>
    <s v="Critical"/>
    <s v="VALID"/>
    <n v="0.90874999999999995"/>
    <s v="Medium"/>
    <n v="27.024999999999999"/>
    <s v="Low"/>
  </r>
  <r>
    <n v="1000"/>
    <n v="26.04"/>
    <x v="3"/>
    <x v="0"/>
    <n v="1500"/>
    <n v="57.7"/>
    <n v="9.7899999999999991"/>
    <n v="9.56"/>
    <n v="36.71"/>
    <n v="20"/>
    <s v="Critical"/>
    <s v="VALID"/>
    <n v="0.47800000000000004"/>
    <s v="Low"/>
    <n v="23.25"/>
    <s v="Low"/>
  </r>
  <r>
    <n v="100"/>
    <n v="4.37"/>
    <x v="2"/>
    <x v="1"/>
    <n v="900"/>
    <n v="131.5"/>
    <n v="17.739999999999998"/>
    <n v="9.8699999999999992"/>
    <n v="225.86"/>
    <n v="11"/>
    <s v="Critical"/>
    <s v="INVALID"/>
    <m/>
    <m/>
    <m/>
    <m/>
  </r>
  <r>
    <n v="600"/>
    <n v="12.73"/>
    <x v="4"/>
    <x v="0"/>
    <n v="1500"/>
    <n v="48.8"/>
    <n v="15.15"/>
    <n v="5.74"/>
    <n v="45.09"/>
    <n v="4"/>
    <s v="Critical"/>
    <s v="VALID"/>
    <n v="1.4350000000000001"/>
    <s v="Low"/>
    <n v="30.12"/>
    <s v="Medium"/>
  </r>
  <r>
    <n v="400"/>
    <n v="10.050000000000001"/>
    <x v="2"/>
    <x v="1"/>
    <n v="1500"/>
    <n v="7.5"/>
    <n v="10.199999999999999"/>
    <n v="6.39"/>
    <n v="63.58"/>
    <n v="5"/>
    <s v="Critical"/>
    <s v="VALID"/>
    <n v="1.278"/>
    <s v="Medium"/>
    <n v="36.89"/>
    <s v="Medium"/>
  </r>
  <r>
    <n v="1200"/>
    <n v="37.42"/>
    <x v="4"/>
    <x v="4"/>
    <n v="1500"/>
    <n v="95.1"/>
    <n v="9.49"/>
    <n v="4.49"/>
    <n v="12"/>
    <n v="23"/>
    <s v="Moderate"/>
    <s v="VALID"/>
    <n v="0.19521739130434784"/>
    <s v="Medium"/>
    <n v="10.745000000000001"/>
    <s v="Low"/>
  </r>
  <r>
    <n v="50"/>
    <n v="5.99"/>
    <x v="1"/>
    <x v="0"/>
    <n v="900"/>
    <n v="95"/>
    <n v="17.22"/>
    <n v="2.5099999999999998"/>
    <n v="41.9"/>
    <n v="13"/>
    <s v="Moderate"/>
    <s v="VALID"/>
    <n v="0.19307692307692306"/>
    <s v="Medium"/>
    <n v="29.56"/>
    <s v="Low"/>
  </r>
  <r>
    <n v="300"/>
    <n v="14.67"/>
    <x v="3"/>
    <x v="2"/>
    <n v="2500"/>
    <n v="51.2"/>
    <n v="18.37"/>
    <n v="8.4600000000000009"/>
    <n v="57.67"/>
    <n v="4"/>
    <s v="Critical"/>
    <s v="VALID"/>
    <n v="2.1150000000000002"/>
    <s v="Low"/>
    <n v="38.020000000000003"/>
    <s v="Medium"/>
  </r>
  <r>
    <n v="1000"/>
    <n v="29.16"/>
    <x v="0"/>
    <x v="0"/>
    <n v="600"/>
    <n v="-24.7"/>
    <n v="2.48"/>
    <n v="3.82"/>
    <n v="13.1"/>
    <n v="4"/>
    <s v="Moderate"/>
    <s v="VALID"/>
    <n v="0.95499999999999996"/>
    <s v="Medium"/>
    <n v="7.79"/>
    <s v="Low"/>
  </r>
  <r>
    <n v="500"/>
    <n v="14.55"/>
    <x v="1"/>
    <x v="4"/>
    <n v="600"/>
    <n v="19.899999999999999"/>
    <n v="0.39"/>
    <n v="5.98"/>
    <n v="41.1"/>
    <n v="24"/>
    <s v="Critical"/>
    <s v="VALID"/>
    <n v="0.24916666666666668"/>
    <s v="Low"/>
    <n v="20.745000000000001"/>
    <s v="Low"/>
  </r>
  <r>
    <n v="50"/>
    <n v="3.29"/>
    <x v="0"/>
    <x v="0"/>
    <n v="900"/>
    <n v="64.5"/>
    <n v="6.04"/>
    <n v="6.54"/>
    <n v="198.78"/>
    <n v="25"/>
    <s v="Critical"/>
    <s v="INVALID"/>
    <m/>
    <m/>
    <m/>
    <m/>
  </r>
  <r>
    <n v="150"/>
    <n v="5.64"/>
    <x v="0"/>
    <x v="3"/>
    <n v="2500"/>
    <n v="115"/>
    <n v="9.7100000000000009"/>
    <n v="9.4600000000000009"/>
    <n v="167.73"/>
    <n v="6"/>
    <s v="Critical"/>
    <s v="INVALID"/>
    <m/>
    <m/>
    <m/>
    <m/>
  </r>
  <r>
    <n v="600"/>
    <n v="16.95"/>
    <x v="4"/>
    <x v="3"/>
    <n v="900"/>
    <n v="32.4"/>
    <n v="4.1500000000000004"/>
    <n v="2.59"/>
    <n v="15.28"/>
    <n v="25"/>
    <s v="Moderate"/>
    <s v="VALID"/>
    <n v="0.1036"/>
    <s v="Medium"/>
    <n v="9.7149999999999999"/>
    <s v="Low"/>
  </r>
  <r>
    <n v="500"/>
    <n v="20.82"/>
    <x v="3"/>
    <x v="0"/>
    <n v="600"/>
    <n v="48.6"/>
    <n v="11.23"/>
    <n v="4.76"/>
    <n v="22.86"/>
    <n v="23"/>
    <s v="Moderate"/>
    <s v="VALID"/>
    <n v="0.20695652173913043"/>
    <s v="Low"/>
    <n v="17.045000000000002"/>
    <s v="Low"/>
  </r>
  <r>
    <n v="400"/>
    <n v="19.55"/>
    <x v="0"/>
    <x v="2"/>
    <n v="2500"/>
    <n v="60.2"/>
    <n v="18.7"/>
    <n v="5.55"/>
    <n v="28.39"/>
    <n v="17"/>
    <s v="Critical"/>
    <s v="VALID"/>
    <n v="0.32647058823529412"/>
    <s v="Low"/>
    <n v="23.545000000000002"/>
    <s v="Low"/>
  </r>
  <r>
    <n v="1000"/>
    <n v="22.39"/>
    <x v="1"/>
    <x v="0"/>
    <n v="2500"/>
    <n v="-0.5"/>
    <n v="19.739999999999998"/>
    <n v="2.69"/>
    <n v="12.01"/>
    <n v="3"/>
    <s v="Moderate"/>
    <s v="VALID"/>
    <n v="0.89666666666666661"/>
    <s v="Medium"/>
    <n v="15.875"/>
    <s v="Low"/>
  </r>
  <r>
    <n v="50"/>
    <n v="5.12"/>
    <x v="2"/>
    <x v="3"/>
    <n v="150"/>
    <n v="61.6"/>
    <n v="3.02"/>
    <n v="2.42"/>
    <n v="47.27"/>
    <n v="23"/>
    <s v="Moderate"/>
    <s v="VALID"/>
    <n v="0.10521739130434782"/>
    <s v="Medium"/>
    <n v="25.145000000000003"/>
    <s v="Low"/>
  </r>
  <r>
    <n v="400"/>
    <n v="13.91"/>
    <x v="3"/>
    <x v="2"/>
    <n v="600"/>
    <n v="58.5"/>
    <n v="17.46"/>
    <n v="8.09"/>
    <n v="58.16"/>
    <n v="25"/>
    <s v="Critical"/>
    <s v="VALID"/>
    <n v="0.3236"/>
    <s v="Low"/>
    <n v="37.81"/>
    <s v="Medium"/>
  </r>
  <r>
    <n v="1200"/>
    <n v="34.42"/>
    <x v="0"/>
    <x v="3"/>
    <n v="1500"/>
    <n v="49.4"/>
    <n v="10.78"/>
    <n v="0.71"/>
    <n v="2.06"/>
    <n v="11"/>
    <s v="Normal"/>
    <s v="VALID"/>
    <n v="6.4545454545454545E-2"/>
    <s v="Low"/>
    <n v="6.42"/>
    <s v="Low"/>
  </r>
  <r>
    <n v="50"/>
    <n v="4.8899999999999997"/>
    <x v="4"/>
    <x v="0"/>
    <n v="2500"/>
    <n v="-6.4"/>
    <n v="1.81"/>
    <n v="0.63"/>
    <n v="12.88"/>
    <n v="18"/>
    <s v="Normal"/>
    <s v="VALID"/>
    <n v="3.5000000000000003E-2"/>
    <s v="Medium"/>
    <n v="7.3450000000000006"/>
    <s v="Low"/>
  </r>
  <r>
    <n v="800"/>
    <n v="29.88"/>
    <x v="4"/>
    <x v="4"/>
    <n v="300"/>
    <n v="77.8"/>
    <n v="10.19"/>
    <n v="4.84"/>
    <n v="16.2"/>
    <n v="3"/>
    <s v="Moderate"/>
    <s v="VALID"/>
    <n v="1.6133333333333333"/>
    <s v="Medium"/>
    <n v="13.195"/>
    <s v="Low"/>
  </r>
  <r>
    <n v="250"/>
    <n v="11"/>
    <x v="1"/>
    <x v="2"/>
    <n v="1500"/>
    <n v="21.8"/>
    <n v="4.5199999999999996"/>
    <n v="2.59"/>
    <n v="23.55"/>
    <n v="21"/>
    <s v="Moderate"/>
    <s v="VALID"/>
    <n v="0.12333333333333332"/>
    <s v="Low"/>
    <n v="14.035"/>
    <s v="Low"/>
  </r>
  <r>
    <n v="500"/>
    <n v="13.59"/>
    <x v="3"/>
    <x v="1"/>
    <n v="300"/>
    <n v="15.7"/>
    <n v="5.37"/>
    <n v="6.78"/>
    <n v="49.89"/>
    <n v="16"/>
    <s v="Critical"/>
    <s v="VALID"/>
    <n v="0.42375000000000002"/>
    <s v="Medium"/>
    <n v="27.63"/>
    <s v="Low"/>
  </r>
  <r>
    <n v="200"/>
    <n v="7.34"/>
    <x v="4"/>
    <x v="2"/>
    <n v="900"/>
    <n v="98.6"/>
    <n v="18.62"/>
    <n v="6.63"/>
    <n v="90.33"/>
    <n v="12"/>
    <s v="Critical"/>
    <s v="VALID"/>
    <n v="0.55249999999999999"/>
    <s v="Low"/>
    <n v="54.475000000000001"/>
    <s v="Medium"/>
  </r>
  <r>
    <n v="1500"/>
    <n v="43.02"/>
    <x v="4"/>
    <x v="2"/>
    <n v="2500"/>
    <n v="14.3"/>
    <n v="2.02"/>
    <n v="2.77"/>
    <n v="6.44"/>
    <n v="12"/>
    <s v="Moderate"/>
    <s v="VALID"/>
    <n v="0.23083333333333333"/>
    <s v="Low"/>
    <n v="4.2300000000000004"/>
    <s v="Low"/>
  </r>
  <r>
    <n v="1200"/>
    <n v="37.74"/>
    <x v="2"/>
    <x v="0"/>
    <n v="600"/>
    <n v="58.9"/>
    <n v="9.44"/>
    <n v="1.64"/>
    <n v="4.3499999999999996"/>
    <n v="7"/>
    <s v="Normal"/>
    <s v="VALID"/>
    <n v="0.23428571428571426"/>
    <s v="Medium"/>
    <n v="6.8949999999999996"/>
    <s v="Low"/>
  </r>
  <r>
    <n v="300"/>
    <n v="7.62"/>
    <x v="3"/>
    <x v="0"/>
    <n v="900"/>
    <n v="-46.2"/>
    <n v="0.13"/>
    <n v="2.2200000000000002"/>
    <n v="29.13"/>
    <n v="13"/>
    <s v="Moderate"/>
    <s v="VALID"/>
    <n v="0.17076923076923078"/>
    <s v="Low"/>
    <n v="14.629999999999999"/>
    <s v="Low"/>
  </r>
  <r>
    <n v="100"/>
    <n v="5.91"/>
    <x v="0"/>
    <x v="3"/>
    <n v="900"/>
    <n v="127.5"/>
    <n v="13.05"/>
    <n v="1.7"/>
    <n v="28.76"/>
    <n v="3"/>
    <s v="Normal"/>
    <s v="VALID"/>
    <n v="0.56666666666666665"/>
    <s v="Low"/>
    <n v="20.905000000000001"/>
    <s v="Low"/>
  </r>
  <r>
    <n v="50"/>
    <n v="3.76"/>
    <x v="3"/>
    <x v="1"/>
    <n v="2500"/>
    <n v="86.9"/>
    <n v="11.94"/>
    <n v="2.19"/>
    <n v="58.24"/>
    <n v="24"/>
    <s v="Moderate"/>
    <s v="VALID"/>
    <n v="9.1249999999999998E-2"/>
    <s v="Low"/>
    <n v="35.090000000000003"/>
    <s v="Medium"/>
  </r>
  <r>
    <n v="1200"/>
    <n v="32.92"/>
    <x v="4"/>
    <x v="2"/>
    <n v="150"/>
    <n v="39.299999999999997"/>
    <n v="11.6"/>
    <n v="2.13"/>
    <n v="6.47"/>
    <n v="2"/>
    <s v="Moderate"/>
    <s v="VALID"/>
    <n v="1.0649999999999999"/>
    <s v="Medium"/>
    <n v="9.0350000000000001"/>
    <s v="Low"/>
  </r>
  <r>
    <n v="100"/>
    <n v="4.1900000000000004"/>
    <x v="3"/>
    <x v="0"/>
    <n v="2500"/>
    <n v="21"/>
    <n v="8.86"/>
    <n v="7.86"/>
    <n v="187.59"/>
    <n v="24"/>
    <s v="Critical"/>
    <s v="INVALID"/>
    <m/>
    <m/>
    <m/>
    <m/>
  </r>
  <r>
    <n v="1500"/>
    <n v="29.92"/>
    <x v="4"/>
    <x v="2"/>
    <n v="300"/>
    <n v="5.7"/>
    <n v="9.75"/>
    <n v="3.35"/>
    <n v="11.2"/>
    <n v="22"/>
    <s v="Moderate"/>
    <s v="VALID"/>
    <n v="0.15227272727272728"/>
    <s v="Medium"/>
    <n v="10.475"/>
    <s v="Low"/>
  </r>
  <r>
    <n v="800"/>
    <n v="16.55"/>
    <x v="4"/>
    <x v="1"/>
    <n v="150"/>
    <n v="18.899999999999999"/>
    <n v="19.84"/>
    <n v="1.27"/>
    <n v="7.67"/>
    <n v="4"/>
    <s v="Normal"/>
    <s v="VALID"/>
    <n v="0.3175"/>
    <s v="Low"/>
    <n v="13.754999999999999"/>
    <s v="Low"/>
  </r>
  <r>
    <n v="1200"/>
    <n v="35.130000000000003"/>
    <x v="3"/>
    <x v="2"/>
    <n v="150"/>
    <n v="51.9"/>
    <n v="13.13"/>
    <n v="8.3699999999999992"/>
    <n v="23.83"/>
    <n v="4"/>
    <s v="Critical"/>
    <s v="VALID"/>
    <n v="2.0924999999999998"/>
    <s v="Low"/>
    <n v="18.48"/>
    <s v="Low"/>
  </r>
  <r>
    <n v="600"/>
    <n v="19.149999999999999"/>
    <x v="3"/>
    <x v="1"/>
    <n v="900"/>
    <n v="94"/>
    <n v="8.7799999999999994"/>
    <n v="5.15"/>
    <n v="26.89"/>
    <n v="2"/>
    <s v="Critical"/>
    <s v="VALID"/>
    <n v="2.5750000000000002"/>
    <s v="Low"/>
    <n v="17.835000000000001"/>
    <s v="Low"/>
  </r>
  <r>
    <n v="100"/>
    <n v="7.27"/>
    <x v="2"/>
    <x v="0"/>
    <n v="600"/>
    <n v="28.3"/>
    <n v="8.89"/>
    <n v="7.04"/>
    <n v="96.84"/>
    <n v="12"/>
    <s v="Critical"/>
    <s v="VALID"/>
    <n v="0.58666666666666667"/>
    <s v="Low"/>
    <n v="52.865000000000002"/>
    <s v="Medium"/>
  </r>
  <r>
    <n v="500"/>
    <n v="23.96"/>
    <x v="4"/>
    <x v="4"/>
    <n v="2500"/>
    <n v="64"/>
    <n v="14.84"/>
    <n v="2.95"/>
    <n v="12.31"/>
    <n v="17"/>
    <s v="Moderate"/>
    <s v="VALID"/>
    <n v="0.1735294117647059"/>
    <s v="Low"/>
    <n v="13.574999999999999"/>
    <s v="Low"/>
  </r>
  <r>
    <n v="50"/>
    <n v="4.6100000000000003"/>
    <x v="0"/>
    <x v="3"/>
    <n v="150"/>
    <n v="61.2"/>
    <n v="13.48"/>
    <n v="6.08"/>
    <n v="131.88999999999999"/>
    <n v="21"/>
    <s v="Critical"/>
    <s v="INVALID"/>
    <m/>
    <m/>
    <m/>
    <m/>
  </r>
  <r>
    <n v="300"/>
    <n v="13.51"/>
    <x v="0"/>
    <x v="1"/>
    <n v="900"/>
    <n v="11.3"/>
    <n v="12.79"/>
    <n v="0.51"/>
    <n v="3.77"/>
    <n v="25"/>
    <s v="Normal"/>
    <s v="VALID"/>
    <n v="2.0400000000000001E-2"/>
    <s v="Low"/>
    <n v="8.2799999999999994"/>
    <s v="Low"/>
  </r>
  <r>
    <n v="150"/>
    <n v="7.49"/>
    <x v="4"/>
    <x v="3"/>
    <n v="150"/>
    <n v="37.799999999999997"/>
    <n v="12.89"/>
    <n v="4.96"/>
    <n v="66.22"/>
    <n v="17"/>
    <s v="Moderate"/>
    <s v="VALID"/>
    <n v="0.29176470588235293"/>
    <s v="Low"/>
    <n v="39.555"/>
    <s v="Medium"/>
  </r>
  <r>
    <n v="200"/>
    <n v="6.32"/>
    <x v="0"/>
    <x v="2"/>
    <n v="150"/>
    <n v="-27.2"/>
    <n v="6.05"/>
    <n v="4.09"/>
    <n v="64.72"/>
    <n v="17"/>
    <s v="Moderate"/>
    <s v="VALID"/>
    <n v="0.24058823529411763"/>
    <s v="Low"/>
    <n v="35.384999999999998"/>
    <s v="Medium"/>
  </r>
  <r>
    <n v="100"/>
    <n v="5.17"/>
    <x v="1"/>
    <x v="3"/>
    <n v="300"/>
    <n v="-3.3"/>
    <n v="17.88"/>
    <n v="7.56"/>
    <n v="146.22999999999999"/>
    <n v="9"/>
    <s v="Critical"/>
    <s v="INVALID"/>
    <m/>
    <m/>
    <m/>
    <m/>
  </r>
  <r>
    <n v="400"/>
    <n v="17.690000000000001"/>
    <x v="1"/>
    <x v="3"/>
    <n v="900"/>
    <n v="74.7"/>
    <n v="11.7"/>
    <n v="8.34"/>
    <n v="47.15"/>
    <n v="19"/>
    <s v="Critical"/>
    <s v="VALID"/>
    <n v="0.43894736842105264"/>
    <s v="Low"/>
    <n v="29.424999999999997"/>
    <s v="Low"/>
  </r>
  <r>
    <n v="1200"/>
    <n v="30.5"/>
    <x v="0"/>
    <x v="1"/>
    <n v="900"/>
    <n v="15"/>
    <n v="2.06"/>
    <n v="4.74"/>
    <n v="15.54"/>
    <n v="12"/>
    <s v="Moderate"/>
    <s v="VALID"/>
    <n v="0.39500000000000002"/>
    <s v="Low"/>
    <n v="8.7999999999999989"/>
    <s v="Low"/>
  </r>
  <r>
    <n v="300"/>
    <n v="7.92"/>
    <x v="4"/>
    <x v="2"/>
    <n v="150"/>
    <n v="103.9"/>
    <n v="16.53"/>
    <n v="3.01"/>
    <n v="38.01"/>
    <n v="10"/>
    <s v="Moderate"/>
    <s v="VALID"/>
    <n v="0.30099999999999999"/>
    <s v="Low"/>
    <n v="27.27"/>
    <s v="Low"/>
  </r>
  <r>
    <n v="50"/>
    <n v="3.45"/>
    <x v="2"/>
    <x v="3"/>
    <n v="900"/>
    <n v="93.3"/>
    <n v="2.54"/>
    <n v="4.25"/>
    <n v="123.19"/>
    <n v="22"/>
    <s v="Moderate"/>
    <s v="INVALID"/>
    <m/>
    <m/>
    <m/>
    <m/>
  </r>
  <r>
    <n v="50"/>
    <n v="5.4"/>
    <x v="1"/>
    <x v="1"/>
    <n v="600"/>
    <n v="71"/>
    <n v="7.13"/>
    <n v="4.43"/>
    <n v="82.04"/>
    <n v="1"/>
    <s v="Moderate"/>
    <s v="VALID"/>
    <n v="4.43"/>
    <s v="Low"/>
    <n v="44.585000000000001"/>
    <s v="Medium"/>
  </r>
  <r>
    <n v="600"/>
    <n v="18.79"/>
    <x v="2"/>
    <x v="3"/>
    <n v="2500"/>
    <n v="7.5"/>
    <n v="8.6199999999999992"/>
    <n v="8.25"/>
    <n v="43.91"/>
    <n v="6"/>
    <s v="Critical"/>
    <s v="VALID"/>
    <n v="1.375"/>
    <s v="Low"/>
    <n v="26.264999999999997"/>
    <s v="Low"/>
  </r>
  <r>
    <n v="500"/>
    <n v="20.48"/>
    <x v="0"/>
    <x v="0"/>
    <n v="300"/>
    <n v="21.3"/>
    <n v="1.03"/>
    <n v="3.09"/>
    <n v="15.09"/>
    <n v="14"/>
    <s v="Moderate"/>
    <s v="VALID"/>
    <n v="0.2207142857142857"/>
    <s v="Medium"/>
    <n v="8.06"/>
    <s v="Low"/>
  </r>
  <r>
    <n v="500"/>
    <n v="12.51"/>
    <x v="1"/>
    <x v="3"/>
    <n v="150"/>
    <n v="14.4"/>
    <n v="16.61"/>
    <n v="8.2799999999999994"/>
    <n v="66.19"/>
    <n v="10"/>
    <s v="Critical"/>
    <s v="VALID"/>
    <n v="0.82799999999999996"/>
    <s v="Low"/>
    <n v="41.4"/>
    <s v="Medium"/>
  </r>
  <r>
    <n v="1000"/>
    <n v="15.72"/>
    <x v="0"/>
    <x v="0"/>
    <n v="2500"/>
    <n v="124.9"/>
    <n v="5.2"/>
    <n v="4.34"/>
    <n v="27.61"/>
    <n v="22"/>
    <s v="Moderate"/>
    <s v="VALID"/>
    <n v="0.19727272727272727"/>
    <s v="Low"/>
    <n v="16.405000000000001"/>
    <s v="Low"/>
  </r>
  <r>
    <n v="1000"/>
    <n v="29.26"/>
    <x v="4"/>
    <x v="2"/>
    <n v="1500"/>
    <n v="31"/>
    <n v="11.96"/>
    <n v="7.23"/>
    <n v="24.71"/>
    <n v="8"/>
    <s v="Critical"/>
    <s v="VALID"/>
    <n v="0.90375000000000005"/>
    <s v="Medium"/>
    <n v="18.335000000000001"/>
    <s v="Low"/>
  </r>
  <r>
    <n v="400"/>
    <n v="12.45"/>
    <x v="1"/>
    <x v="0"/>
    <n v="1500"/>
    <n v="-24.8"/>
    <n v="7.4"/>
    <n v="7.92"/>
    <n v="63.61"/>
    <n v="9"/>
    <s v="Critical"/>
    <s v="VALID"/>
    <n v="0.88"/>
    <s v="Medium"/>
    <n v="35.505000000000003"/>
    <s v="Medium"/>
  </r>
  <r>
    <n v="50"/>
    <n v="5.26"/>
    <x v="0"/>
    <x v="1"/>
    <n v="2500"/>
    <n v="61.1"/>
    <n v="16.8"/>
    <n v="4.71"/>
    <n v="89.54"/>
    <n v="1"/>
    <s v="Moderate"/>
    <s v="VALID"/>
    <n v="4.71"/>
    <s v="Medium"/>
    <n v="53.17"/>
    <s v="Medium"/>
  </r>
  <r>
    <n v="600"/>
    <n v="19.59"/>
    <x v="2"/>
    <x v="1"/>
    <n v="2500"/>
    <n v="65.8"/>
    <n v="5.32"/>
    <n v="5.73"/>
    <n v="29.25"/>
    <n v="11"/>
    <s v="Critical"/>
    <s v="VALID"/>
    <n v="0.52090909090909099"/>
    <s v="Medium"/>
    <n v="17.285"/>
    <s v="Low"/>
  </r>
  <r>
    <n v="50"/>
    <n v="3.62"/>
    <x v="0"/>
    <x v="4"/>
    <n v="900"/>
    <n v="19.5"/>
    <n v="1.86"/>
    <n v="3.38"/>
    <n v="93.37"/>
    <n v="22"/>
    <s v="Moderate"/>
    <s v="VALID"/>
    <n v="0.15363636363636363"/>
    <s v="Medium"/>
    <n v="47.615000000000002"/>
    <s v="Medium"/>
  </r>
  <r>
    <n v="200"/>
    <n v="11.96"/>
    <x v="0"/>
    <x v="1"/>
    <n v="2500"/>
    <n v="63.4"/>
    <n v="14.19"/>
    <n v="7.02"/>
    <n v="58.7"/>
    <n v="15"/>
    <s v="Critical"/>
    <s v="VALID"/>
    <n v="0.46799999999999997"/>
    <s v="Low"/>
    <n v="36.445"/>
    <s v="Medium"/>
  </r>
  <r>
    <n v="1000"/>
    <n v="30.86"/>
    <x v="4"/>
    <x v="4"/>
    <n v="900"/>
    <n v="45.4"/>
    <n v="13.15"/>
    <n v="7.0000000000000007E-2"/>
    <n v="0.23"/>
    <n v="3"/>
    <s v="Normal"/>
    <s v="VALID"/>
    <n v="2.3333333333333334E-2"/>
    <s v="Medium"/>
    <n v="6.69"/>
    <s v="Low"/>
  </r>
  <r>
    <n v="150"/>
    <n v="5.72"/>
    <x v="0"/>
    <x v="4"/>
    <n v="150"/>
    <n v="141.80000000000001"/>
    <n v="0.8"/>
    <n v="1.08"/>
    <n v="18.88"/>
    <n v="1"/>
    <s v="Normal"/>
    <s v="VALID"/>
    <n v="1.08"/>
    <s v="Low"/>
    <n v="9.84"/>
    <s v="Low"/>
  </r>
  <r>
    <n v="50"/>
    <n v="5.27"/>
    <x v="2"/>
    <x v="3"/>
    <n v="150"/>
    <n v="77.8"/>
    <n v="11.29"/>
    <n v="1.25"/>
    <n v="23.72"/>
    <n v="17"/>
    <s v="Normal"/>
    <s v="VALID"/>
    <n v="7.3529411764705885E-2"/>
    <s v="Low"/>
    <n v="17.504999999999999"/>
    <s v="Low"/>
  </r>
  <r>
    <n v="50"/>
    <n v="3.31"/>
    <x v="0"/>
    <x v="3"/>
    <n v="2500"/>
    <n v="13.4"/>
    <n v="2.44"/>
    <n v="5.12"/>
    <n v="154.68"/>
    <n v="5"/>
    <s v="Critical"/>
    <s v="INVALID"/>
    <m/>
    <m/>
    <m/>
    <m/>
  </r>
  <r>
    <n v="400"/>
    <n v="16.64"/>
    <x v="0"/>
    <x v="0"/>
    <n v="150"/>
    <n v="0.2"/>
    <n v="12.16"/>
    <n v="5.08"/>
    <n v="30.53"/>
    <n v="3"/>
    <s v="Critical"/>
    <s v="VALID"/>
    <n v="1.6933333333333334"/>
    <s v="Medium"/>
    <n v="21.344999999999999"/>
    <s v="Low"/>
  </r>
  <r>
    <n v="1500"/>
    <n v="45.09"/>
    <x v="2"/>
    <x v="3"/>
    <n v="900"/>
    <n v="-5.4"/>
    <n v="2.46"/>
    <n v="1.27"/>
    <n v="2.82"/>
    <n v="3"/>
    <s v="Normal"/>
    <s v="VALID"/>
    <n v="0.42333333333333334"/>
    <s v="Low"/>
    <n v="2.6399999999999997"/>
    <s v="Low"/>
  </r>
  <r>
    <n v="400"/>
    <n v="16.71"/>
    <x v="4"/>
    <x v="4"/>
    <n v="600"/>
    <n v="83.4"/>
    <n v="5.34"/>
    <n v="1.57"/>
    <n v="9.4"/>
    <n v="14"/>
    <s v="Normal"/>
    <s v="VALID"/>
    <n v="0.11214285714285714"/>
    <s v="Low"/>
    <n v="7.37"/>
    <s v="Low"/>
  </r>
  <r>
    <n v="300"/>
    <n v="11.47"/>
    <x v="4"/>
    <x v="2"/>
    <n v="150"/>
    <n v="55"/>
    <n v="16.760000000000002"/>
    <n v="2.96"/>
    <n v="25.81"/>
    <n v="4"/>
    <s v="Moderate"/>
    <s v="VALID"/>
    <n v="0.74"/>
    <s v="Low"/>
    <n v="21.285"/>
    <s v="Low"/>
  </r>
  <r>
    <n v="1200"/>
    <n v="38.61"/>
    <x v="2"/>
    <x v="1"/>
    <n v="1500"/>
    <n v="41.5"/>
    <n v="12.53"/>
    <n v="5.45"/>
    <n v="14.12"/>
    <n v="25"/>
    <s v="Critical"/>
    <s v="VALID"/>
    <n v="0.218"/>
    <s v="Low"/>
    <n v="13.324999999999999"/>
    <s v="Low"/>
  </r>
  <r>
    <n v="200"/>
    <n v="11.62"/>
    <x v="1"/>
    <x v="0"/>
    <n v="900"/>
    <n v="14.9"/>
    <n v="18.899999999999999"/>
    <n v="7.87"/>
    <n v="67.73"/>
    <n v="8"/>
    <s v="Critical"/>
    <s v="VALID"/>
    <n v="0.98375000000000001"/>
    <s v="Medium"/>
    <n v="43.314999999999998"/>
    <s v="Medium"/>
  </r>
  <r>
    <n v="800"/>
    <n v="31.61"/>
    <x v="2"/>
    <x v="4"/>
    <n v="300"/>
    <n v="87"/>
    <n v="7.94"/>
    <n v="5.94"/>
    <n v="18.79"/>
    <n v="7"/>
    <s v="Critical"/>
    <s v="VALID"/>
    <n v="0.84857142857142864"/>
    <s v="Low"/>
    <n v="13.365"/>
    <s v="Low"/>
  </r>
  <r>
    <n v="200"/>
    <n v="6.74"/>
    <x v="1"/>
    <x v="4"/>
    <n v="2500"/>
    <n v="10.1"/>
    <n v="10.63"/>
    <n v="5.21"/>
    <n v="77.3"/>
    <n v="21"/>
    <s v="Critical"/>
    <s v="VALID"/>
    <n v="0.24809523809523809"/>
    <s v="Low"/>
    <n v="43.964999999999996"/>
    <s v="Medium"/>
  </r>
  <r>
    <n v="800"/>
    <n v="17.350000000000001"/>
    <x v="1"/>
    <x v="4"/>
    <n v="150"/>
    <n v="20.100000000000001"/>
    <n v="16.34"/>
    <n v="7.86"/>
    <n v="45.3"/>
    <n v="2"/>
    <s v="Critical"/>
    <s v="VALID"/>
    <n v="3.93"/>
    <s v="Medium"/>
    <n v="30.82"/>
    <s v="Medium"/>
  </r>
  <r>
    <n v="1200"/>
    <n v="32.64"/>
    <x v="4"/>
    <x v="3"/>
    <n v="300"/>
    <n v="18.7"/>
    <n v="9.66"/>
    <n v="5.42"/>
    <n v="16.61"/>
    <n v="11"/>
    <s v="Critical"/>
    <s v="VALID"/>
    <n v="0.49272727272727274"/>
    <s v="Low"/>
    <n v="13.135"/>
    <s v="Low"/>
  </r>
  <r>
    <n v="50"/>
    <n v="5.73"/>
    <x v="4"/>
    <x v="0"/>
    <n v="600"/>
    <n v="3.2"/>
    <n v="9.01"/>
    <n v="0.33"/>
    <n v="5.76"/>
    <n v="19"/>
    <s v="Normal"/>
    <s v="VALID"/>
    <n v="1.7368421052631578E-2"/>
    <s v="Low"/>
    <n v="7.3849999999999998"/>
    <s v="Low"/>
  </r>
  <r>
    <n v="500"/>
    <n v="15.5"/>
    <x v="2"/>
    <x v="0"/>
    <n v="2500"/>
    <n v="32"/>
    <n v="9.84"/>
    <n v="8.8800000000000008"/>
    <n v="57.29"/>
    <n v="17"/>
    <s v="Critical"/>
    <s v="VALID"/>
    <n v="0.52235294117647069"/>
    <s v="Low"/>
    <n v="33.564999999999998"/>
    <s v="Medium"/>
  </r>
  <r>
    <n v="400"/>
    <n v="15.39"/>
    <x v="0"/>
    <x v="1"/>
    <n v="2500"/>
    <n v="62.2"/>
    <n v="0.26"/>
    <n v="8.5500000000000007"/>
    <n v="55.56"/>
    <n v="4"/>
    <s v="Critical"/>
    <s v="VALID"/>
    <n v="2.1375000000000002"/>
    <s v="Medium"/>
    <n v="27.91"/>
    <s v="Low"/>
  </r>
  <r>
    <n v="200"/>
    <n v="7.27"/>
    <x v="0"/>
    <x v="4"/>
    <n v="600"/>
    <n v="115.3"/>
    <n v="19.989999999999998"/>
    <n v="1.2"/>
    <n v="16.510000000000002"/>
    <n v="6"/>
    <s v="Normal"/>
    <s v="VALID"/>
    <n v="0.19999999999999998"/>
    <s v="Medium"/>
    <n v="18.25"/>
    <s v="Low"/>
  </r>
  <r>
    <n v="1200"/>
    <n v="38.24"/>
    <x v="1"/>
    <x v="3"/>
    <n v="300"/>
    <n v="91.6"/>
    <n v="2.71"/>
    <n v="1.98"/>
    <n v="5.18"/>
    <n v="8"/>
    <s v="Normal"/>
    <s v="VALID"/>
    <n v="0.2475"/>
    <s v="Low"/>
    <n v="3.9449999999999998"/>
    <s v="Low"/>
  </r>
  <r>
    <n v="300"/>
    <n v="15.69"/>
    <x v="2"/>
    <x v="2"/>
    <n v="300"/>
    <n v="27.8"/>
    <n v="4.53"/>
    <n v="3.86"/>
    <n v="24.6"/>
    <n v="22"/>
    <s v="Moderate"/>
    <s v="VALID"/>
    <n v="0.17545454545454545"/>
    <s v="Low"/>
    <n v="14.565000000000001"/>
    <s v="Low"/>
  </r>
  <r>
    <n v="200"/>
    <n v="9.94"/>
    <x v="0"/>
    <x v="0"/>
    <n v="1500"/>
    <n v="37.200000000000003"/>
    <n v="1.22"/>
    <n v="1.07"/>
    <n v="10.76"/>
    <n v="14"/>
    <s v="Normal"/>
    <s v="VALID"/>
    <n v="7.6428571428571429E-2"/>
    <s v="Low"/>
    <n v="5.99"/>
    <s v="Low"/>
  </r>
  <r>
    <n v="50"/>
    <n v="5.65"/>
    <x v="1"/>
    <x v="3"/>
    <n v="600"/>
    <n v="-40.9"/>
    <n v="6.92"/>
    <n v="9.1300000000000008"/>
    <n v="161.59"/>
    <n v="22"/>
    <s v="Critical"/>
    <s v="INVALID"/>
    <m/>
    <m/>
    <m/>
    <m/>
  </r>
  <r>
    <n v="50"/>
    <n v="3.66"/>
    <x v="3"/>
    <x v="1"/>
    <n v="900"/>
    <n v="78.5"/>
    <n v="3.75"/>
    <n v="0.31"/>
    <n v="8.4700000000000006"/>
    <n v="25"/>
    <s v="Normal"/>
    <s v="VALID"/>
    <n v="1.24E-2"/>
    <s v="Low"/>
    <n v="6.11"/>
    <s v="Low"/>
  </r>
  <r>
    <n v="800"/>
    <n v="16.71"/>
    <x v="4"/>
    <x v="4"/>
    <n v="150"/>
    <n v="-18.600000000000001"/>
    <n v="6.23"/>
    <n v="7.8"/>
    <n v="46.68"/>
    <n v="2"/>
    <s v="Critical"/>
    <s v="VALID"/>
    <n v="3.9"/>
    <s v="Low"/>
    <n v="26.454999999999998"/>
    <s v="Low"/>
  </r>
  <r>
    <n v="200"/>
    <n v="7.49"/>
    <x v="3"/>
    <x v="2"/>
    <n v="900"/>
    <n v="48.1"/>
    <n v="13.08"/>
    <n v="7.44"/>
    <n v="99.33"/>
    <n v="14"/>
    <s v="Critical"/>
    <s v="VALID"/>
    <n v="0.53142857142857147"/>
    <s v="Low"/>
    <n v="56.204999999999998"/>
    <s v="Medium"/>
  </r>
  <r>
    <n v="50"/>
    <n v="5.82"/>
    <x v="3"/>
    <x v="3"/>
    <n v="900"/>
    <n v="67.8"/>
    <n v="5.7"/>
    <n v="1.77"/>
    <n v="30.41"/>
    <n v="20"/>
    <s v="Normal"/>
    <s v="VALID"/>
    <n v="8.8499999999999995E-2"/>
    <s v="Low"/>
    <n v="18.055"/>
    <s v="Low"/>
  </r>
  <r>
    <n v="50"/>
    <n v="4.29"/>
    <x v="1"/>
    <x v="1"/>
    <n v="600"/>
    <n v="37.200000000000003"/>
    <n v="19.350000000000001"/>
    <n v="4.88"/>
    <n v="113.75"/>
    <n v="19"/>
    <s v="Moderate"/>
    <s v="INVALID"/>
    <m/>
    <m/>
    <m/>
    <m/>
  </r>
  <r>
    <n v="1500"/>
    <n v="31.98"/>
    <x v="3"/>
    <x v="3"/>
    <n v="600"/>
    <n v="-37.700000000000003"/>
    <n v="2.6"/>
    <n v="4.74"/>
    <n v="14.82"/>
    <n v="8"/>
    <s v="Moderate"/>
    <s v="VALID"/>
    <n v="0.59250000000000003"/>
    <s v="Low"/>
    <n v="8.7100000000000009"/>
    <s v="Low"/>
  </r>
  <r>
    <n v="1200"/>
    <n v="25.4"/>
    <x v="2"/>
    <x v="0"/>
    <n v="300"/>
    <n v="-7.9"/>
    <n v="1.88"/>
    <n v="3.47"/>
    <n v="13.66"/>
    <n v="14"/>
    <s v="Moderate"/>
    <s v="VALID"/>
    <n v="0.24785714285714286"/>
    <s v="Low"/>
    <n v="7.77"/>
    <s v="Low"/>
  </r>
  <r>
    <n v="1500"/>
    <n v="28.54"/>
    <x v="1"/>
    <x v="2"/>
    <n v="600"/>
    <n v="-14.3"/>
    <n v="15.64"/>
    <n v="9.3000000000000007"/>
    <n v="32.590000000000003"/>
    <n v="22"/>
    <s v="Critical"/>
    <s v="VALID"/>
    <n v="0.42272727272727278"/>
    <s v="Low"/>
    <n v="24.115000000000002"/>
    <s v="Low"/>
  </r>
  <r>
    <n v="50"/>
    <n v="4.82"/>
    <x v="4"/>
    <x v="4"/>
    <n v="900"/>
    <n v="16.8"/>
    <n v="12.1"/>
    <n v="8.4"/>
    <n v="174.27"/>
    <n v="4"/>
    <s v="Critical"/>
    <s v="INVALID"/>
    <m/>
    <m/>
    <m/>
    <m/>
  </r>
  <r>
    <n v="300"/>
    <n v="16.329999999999998"/>
    <x v="0"/>
    <x v="3"/>
    <n v="2500"/>
    <n v="65.8"/>
    <n v="11.08"/>
    <n v="1.6"/>
    <n v="9.8000000000000007"/>
    <n v="18"/>
    <s v="Normal"/>
    <s v="VALID"/>
    <n v="8.8888888888888892E-2"/>
    <s v="Low"/>
    <n v="10.440000000000001"/>
    <s v="Low"/>
  </r>
  <r>
    <n v="1500"/>
    <n v="34.75"/>
    <x v="1"/>
    <x v="2"/>
    <n v="2500"/>
    <n v="15.2"/>
    <n v="18.760000000000002"/>
    <n v="5.44"/>
    <n v="15.65"/>
    <n v="21"/>
    <s v="Critical"/>
    <s v="VALID"/>
    <n v="0.25904761904761908"/>
    <s v="Medium"/>
    <n v="17.205000000000002"/>
    <s v="Low"/>
  </r>
  <r>
    <n v="150"/>
    <n v="5.08"/>
    <x v="3"/>
    <x v="2"/>
    <n v="600"/>
    <n v="21.5"/>
    <n v="15.15"/>
    <n v="3.88"/>
    <n v="76.38"/>
    <n v="17"/>
    <s v="Moderate"/>
    <s v="VALID"/>
    <n v="0.22823529411764706"/>
    <s v="Medium"/>
    <n v="45.765000000000001"/>
    <s v="Medium"/>
  </r>
  <r>
    <n v="250"/>
    <n v="9.92"/>
    <x v="4"/>
    <x v="0"/>
    <n v="150"/>
    <n v="-18.7"/>
    <n v="3.27"/>
    <n v="1.61"/>
    <n v="16.23"/>
    <n v="17"/>
    <s v="Normal"/>
    <s v="VALID"/>
    <n v="9.4705882352941181E-2"/>
    <s v="Low"/>
    <n v="9.75"/>
    <s v="Low"/>
  </r>
  <r>
    <n v="50"/>
    <n v="3.86"/>
    <x v="0"/>
    <x v="3"/>
    <n v="600"/>
    <n v="141.6"/>
    <n v="11.94"/>
    <n v="7.18"/>
    <n v="186.01"/>
    <n v="8"/>
    <s v="Critical"/>
    <s v="INVALID"/>
    <m/>
    <m/>
    <m/>
    <m/>
  </r>
  <r>
    <n v="50"/>
    <n v="5.74"/>
    <x v="2"/>
    <x v="1"/>
    <n v="300"/>
    <n v="19.899999999999999"/>
    <n v="8.8000000000000007"/>
    <n v="4.18"/>
    <n v="72.819999999999993"/>
    <n v="8"/>
    <s v="Moderate"/>
    <s v="VALID"/>
    <n v="0.52249999999999996"/>
    <s v="Low"/>
    <n v="40.809999999999995"/>
    <s v="Medium"/>
  </r>
  <r>
    <n v="500"/>
    <n v="10.93"/>
    <x v="1"/>
    <x v="2"/>
    <n v="600"/>
    <n v="100.2"/>
    <n v="11.3"/>
    <n v="9.6199999999999992"/>
    <n v="88.01"/>
    <n v="12"/>
    <s v="Critical"/>
    <s v="VALID"/>
    <n v="0.80166666666666664"/>
    <s v="Low"/>
    <n v="49.655000000000001"/>
    <s v="Medium"/>
  </r>
  <r>
    <n v="1500"/>
    <n v="23.47"/>
    <x v="3"/>
    <x v="2"/>
    <n v="150"/>
    <n v="18.3"/>
    <n v="10.75"/>
    <n v="9.02"/>
    <n v="38.43"/>
    <n v="9"/>
    <s v="Critical"/>
    <s v="VALID"/>
    <n v="1.0022222222222221"/>
    <s v="Low"/>
    <n v="24.59"/>
    <s v="Low"/>
  </r>
  <r>
    <n v="400"/>
    <n v="9.44"/>
    <x v="4"/>
    <x v="1"/>
    <n v="1500"/>
    <n v="31.7"/>
    <n v="3.39"/>
    <n v="0.99"/>
    <n v="10.49"/>
    <n v="4"/>
    <s v="Normal"/>
    <s v="VALID"/>
    <n v="0.2475"/>
    <s v="Low"/>
    <n v="6.94"/>
    <s v="Low"/>
  </r>
  <r>
    <n v="500"/>
    <n v="20.010000000000002"/>
    <x v="3"/>
    <x v="1"/>
    <n v="300"/>
    <n v="5.6"/>
    <n v="2.64"/>
    <n v="4.99"/>
    <n v="24.94"/>
    <n v="23"/>
    <s v="Moderate"/>
    <s v="VALID"/>
    <n v="0.21695652173913044"/>
    <s v="Medium"/>
    <n v="13.790000000000001"/>
    <s v="Low"/>
  </r>
  <r>
    <n v="250"/>
    <n v="14.24"/>
    <x v="4"/>
    <x v="2"/>
    <n v="2500"/>
    <n v="136.6"/>
    <n v="4.53"/>
    <n v="1.1000000000000001"/>
    <n v="7.72"/>
    <n v="18"/>
    <s v="Normal"/>
    <s v="VALID"/>
    <n v="6.1111111111111116E-2"/>
    <s v="Low"/>
    <n v="6.125"/>
    <s v="Low"/>
  </r>
  <r>
    <n v="50"/>
    <n v="5.0999999999999996"/>
    <x v="3"/>
    <x v="0"/>
    <n v="600"/>
    <n v="80.2"/>
    <n v="10.57"/>
    <n v="6.93"/>
    <n v="135.88"/>
    <n v="18"/>
    <s v="Critical"/>
    <s v="INVALID"/>
    <m/>
    <m/>
    <m/>
    <m/>
  </r>
  <r>
    <n v="100"/>
    <n v="5.95"/>
    <x v="4"/>
    <x v="1"/>
    <n v="150"/>
    <n v="69.3"/>
    <n v="18.23"/>
    <n v="5.37"/>
    <n v="90.25"/>
    <n v="5"/>
    <s v="Critical"/>
    <s v="VALID"/>
    <n v="1.0740000000000001"/>
    <s v="Low"/>
    <n v="54.24"/>
    <s v="Medium"/>
  </r>
  <r>
    <n v="50"/>
    <n v="4.43"/>
    <x v="2"/>
    <x v="1"/>
    <n v="600"/>
    <n v="16.100000000000001"/>
    <n v="16.91"/>
    <n v="4.09"/>
    <n v="92.33"/>
    <n v="16"/>
    <s v="Moderate"/>
    <s v="VALID"/>
    <n v="0.25562499999999999"/>
    <s v="Low"/>
    <n v="54.62"/>
    <s v="Medium"/>
  </r>
  <r>
    <n v="100"/>
    <n v="5.33"/>
    <x v="4"/>
    <x v="0"/>
    <n v="1500"/>
    <n v="50.9"/>
    <n v="16.47"/>
    <n v="2.04"/>
    <n v="38.270000000000003"/>
    <n v="16"/>
    <s v="Moderate"/>
    <s v="VALID"/>
    <n v="0.1275"/>
    <s v="Low"/>
    <n v="27.37"/>
    <s v="Low"/>
  </r>
  <r>
    <n v="600"/>
    <n v="24.6"/>
    <x v="1"/>
    <x v="3"/>
    <n v="2500"/>
    <n v="2.7"/>
    <n v="1.98"/>
    <n v="7.53"/>
    <n v="30.61"/>
    <n v="6"/>
    <s v="Critical"/>
    <s v="VALID"/>
    <n v="1.2550000000000001"/>
    <s v="Medium"/>
    <n v="16.294999999999998"/>
    <s v="Low"/>
  </r>
  <r>
    <n v="250"/>
    <n v="13.65"/>
    <x v="3"/>
    <x v="0"/>
    <n v="300"/>
    <n v="45.9"/>
    <n v="12.65"/>
    <n v="7.65"/>
    <n v="56.04"/>
    <n v="9"/>
    <s v="Critical"/>
    <s v="VALID"/>
    <n v="0.85000000000000009"/>
    <s v="Medium"/>
    <n v="34.344999999999999"/>
    <s v="Medium"/>
  </r>
  <r>
    <n v="1200"/>
    <n v="24.59"/>
    <x v="4"/>
    <x v="4"/>
    <n v="300"/>
    <n v="72.8"/>
    <n v="12.85"/>
    <n v="8.44"/>
    <n v="34.32"/>
    <n v="13"/>
    <s v="Critical"/>
    <s v="VALID"/>
    <n v="0.64923076923076917"/>
    <s v="Low"/>
    <n v="23.585000000000001"/>
    <s v="Low"/>
  </r>
  <r>
    <n v="400"/>
    <n v="16.12"/>
    <x v="2"/>
    <x v="1"/>
    <n v="150"/>
    <n v="84"/>
    <n v="12.61"/>
    <n v="6.86"/>
    <n v="42.56"/>
    <n v="3"/>
    <s v="Critical"/>
    <s v="VALID"/>
    <n v="2.2866666666666666"/>
    <s v="Low"/>
    <n v="27.585000000000001"/>
    <s v="Low"/>
  </r>
  <r>
    <n v="1500"/>
    <n v="39.33"/>
    <x v="2"/>
    <x v="0"/>
    <n v="300"/>
    <n v="-13.1"/>
    <n v="6.78"/>
    <n v="3.13"/>
    <n v="7.96"/>
    <n v="19"/>
    <s v="Moderate"/>
    <s v="VALID"/>
    <n v="0.16473684210526315"/>
    <s v="Low"/>
    <n v="7.37"/>
    <s v="Low"/>
  </r>
  <r>
    <n v="500"/>
    <n v="9.5399999999999991"/>
    <x v="4"/>
    <x v="1"/>
    <n v="900"/>
    <n v="48.6"/>
    <n v="11.26"/>
    <n v="3.14"/>
    <n v="32.909999999999997"/>
    <n v="10"/>
    <s v="Moderate"/>
    <s v="VALID"/>
    <n v="0.314"/>
    <s v="Low"/>
    <n v="22.084999999999997"/>
    <s v="Low"/>
  </r>
  <r>
    <n v="100"/>
    <n v="6.67"/>
    <x v="0"/>
    <x v="2"/>
    <n v="150"/>
    <n v="-13.9"/>
    <n v="9.73"/>
    <n v="8.14"/>
    <n v="122.04"/>
    <n v="3"/>
    <s v="Critical"/>
    <s v="INVALID"/>
    <m/>
    <m/>
    <m/>
    <m/>
  </r>
  <r>
    <n v="50"/>
    <n v="3"/>
    <x v="4"/>
    <x v="0"/>
    <n v="2500"/>
    <n v="149.5"/>
    <n v="9.41"/>
    <n v="2.44"/>
    <n v="81.33"/>
    <n v="5"/>
    <s v="Moderate"/>
    <s v="VALID"/>
    <n v="0.48799999999999999"/>
    <s v="Low"/>
    <n v="45.37"/>
    <s v="Medium"/>
  </r>
  <r>
    <n v="600"/>
    <n v="18.899999999999999"/>
    <x v="1"/>
    <x v="2"/>
    <n v="300"/>
    <n v="117.6"/>
    <n v="18.88"/>
    <n v="8.35"/>
    <n v="44.18"/>
    <n v="2"/>
    <s v="Critical"/>
    <s v="VALID"/>
    <n v="4.1749999999999998"/>
    <s v="Medium"/>
    <n v="31.53"/>
    <s v="Medium"/>
  </r>
  <r>
    <n v="1000"/>
    <n v="23.13"/>
    <x v="4"/>
    <x v="1"/>
    <n v="900"/>
    <n v="40.299999999999997"/>
    <n v="8.4499999999999993"/>
    <n v="3.98"/>
    <n v="17.21"/>
    <n v="12"/>
    <s v="Moderate"/>
    <s v="VALID"/>
    <n v="0.33166666666666667"/>
    <s v="Low"/>
    <n v="12.83"/>
    <s v="Low"/>
  </r>
  <r>
    <n v="200"/>
    <n v="11.05"/>
    <x v="3"/>
    <x v="2"/>
    <n v="900"/>
    <n v="10.1"/>
    <n v="4.0999999999999996"/>
    <n v="1.81"/>
    <n v="16.38"/>
    <n v="25"/>
    <s v="Normal"/>
    <s v="VALID"/>
    <n v="7.2400000000000006E-2"/>
    <s v="Low"/>
    <n v="10.239999999999998"/>
    <s v="Low"/>
  </r>
  <r>
    <n v="400"/>
    <n v="12.9"/>
    <x v="1"/>
    <x v="4"/>
    <n v="1500"/>
    <n v="19.8"/>
    <n v="19.47"/>
    <n v="2.81"/>
    <n v="21.78"/>
    <n v="6"/>
    <s v="Moderate"/>
    <s v="VALID"/>
    <n v="0.46833333333333332"/>
    <s v="Low"/>
    <n v="20.625"/>
    <s v="Low"/>
  </r>
  <r>
    <n v="250"/>
    <n v="12.98"/>
    <x v="0"/>
    <x v="2"/>
    <n v="900"/>
    <n v="102.9"/>
    <n v="1.02"/>
    <n v="0.88"/>
    <n v="6.78"/>
    <n v="19"/>
    <s v="Normal"/>
    <s v="VALID"/>
    <n v="4.6315789473684213E-2"/>
    <s v="Medium"/>
    <n v="3.9000000000000004"/>
    <s v="Low"/>
  </r>
  <r>
    <n v="1500"/>
    <n v="36.130000000000003"/>
    <x v="4"/>
    <x v="2"/>
    <n v="900"/>
    <n v="59.5"/>
    <n v="2.84"/>
    <n v="6.93"/>
    <n v="19.18"/>
    <n v="14"/>
    <s v="Critical"/>
    <s v="VALID"/>
    <n v="0.495"/>
    <s v="Low"/>
    <n v="11.01"/>
    <s v="Low"/>
  </r>
  <r>
    <n v="100"/>
    <n v="7.8"/>
    <x v="1"/>
    <x v="0"/>
    <n v="1500"/>
    <n v="36"/>
    <n v="3.57"/>
    <n v="4.6399999999999997"/>
    <n v="59.49"/>
    <n v="23"/>
    <s v="Moderate"/>
    <s v="VALID"/>
    <n v="0.20173913043478259"/>
    <s v="Low"/>
    <n v="31.53"/>
    <s v="Medium"/>
  </r>
  <r>
    <n v="200"/>
    <n v="6.14"/>
    <x v="1"/>
    <x v="3"/>
    <n v="900"/>
    <n v="50.9"/>
    <n v="16.59"/>
    <n v="7.1"/>
    <n v="115.64"/>
    <n v="3"/>
    <s v="Critical"/>
    <s v="INVALID"/>
    <m/>
    <m/>
    <m/>
    <m/>
  </r>
  <r>
    <n v="100"/>
    <n v="4.22"/>
    <x v="1"/>
    <x v="3"/>
    <n v="1500"/>
    <n v="3.5"/>
    <n v="16.13"/>
    <n v="0.03"/>
    <n v="0.71"/>
    <n v="17"/>
    <s v="Normal"/>
    <s v="VALID"/>
    <n v="1.764705882352941E-3"/>
    <s v="Low"/>
    <n v="8.42"/>
    <s v="Low"/>
  </r>
  <r>
    <n v="1000"/>
    <n v="26.19"/>
    <x v="2"/>
    <x v="4"/>
    <n v="900"/>
    <n v="26.3"/>
    <n v="4.38"/>
    <n v="0.12"/>
    <n v="0.46"/>
    <n v="4"/>
    <s v="Normal"/>
    <s v="VALID"/>
    <n v="0.03"/>
    <s v="Medium"/>
    <n v="2.42"/>
    <s v="Low"/>
  </r>
  <r>
    <n v="400"/>
    <n v="14.97"/>
    <x v="2"/>
    <x v="0"/>
    <n v="2500"/>
    <n v="3"/>
    <n v="13.47"/>
    <n v="3.14"/>
    <n v="20.98"/>
    <n v="23"/>
    <s v="Moderate"/>
    <s v="VALID"/>
    <n v="0.13652173913043478"/>
    <s v="Low"/>
    <n v="17.225000000000001"/>
    <s v="Low"/>
  </r>
  <r>
    <n v="50"/>
    <n v="3.63"/>
    <x v="4"/>
    <x v="1"/>
    <n v="900"/>
    <n v="35.9"/>
    <n v="5.29"/>
    <n v="0.55000000000000004"/>
    <n v="15.15"/>
    <n v="10"/>
    <s v="Normal"/>
    <s v="VALID"/>
    <n v="5.5000000000000007E-2"/>
    <s v="Medium"/>
    <n v="10.220000000000001"/>
    <s v="Low"/>
  </r>
  <r>
    <n v="1500"/>
    <n v="48.32"/>
    <x v="2"/>
    <x v="0"/>
    <n v="300"/>
    <n v="90.1"/>
    <n v="19.12"/>
    <n v="6.42"/>
    <n v="13.29"/>
    <n v="2"/>
    <s v="Critical"/>
    <s v="VALID"/>
    <n v="3.21"/>
    <s v="Low"/>
    <n v="16.204999999999998"/>
    <s v="Low"/>
  </r>
  <r>
    <n v="100"/>
    <n v="4.26"/>
    <x v="4"/>
    <x v="0"/>
    <n v="150"/>
    <n v="43.5"/>
    <n v="9.24"/>
    <n v="3.41"/>
    <n v="80.05"/>
    <n v="6"/>
    <s v="Moderate"/>
    <s v="VALID"/>
    <n v="0.56833333333333336"/>
    <s v="Low"/>
    <n v="44.644999999999996"/>
    <s v="Medium"/>
  </r>
  <r>
    <n v="1500"/>
    <n v="21.48"/>
    <x v="4"/>
    <x v="3"/>
    <n v="150"/>
    <n v="106.1"/>
    <n v="0.13"/>
    <n v="6.02"/>
    <n v="28.03"/>
    <n v="1"/>
    <s v="Critical"/>
    <s v="VALID"/>
    <n v="6.02"/>
    <s v="Low"/>
    <n v="14.08"/>
    <s v="Low"/>
  </r>
  <r>
    <n v="400"/>
    <n v="17.48"/>
    <x v="4"/>
    <x v="4"/>
    <n v="150"/>
    <n v="65.7"/>
    <n v="16.079999999999998"/>
    <n v="9.18"/>
    <n v="52.52"/>
    <n v="5"/>
    <s v="Critical"/>
    <s v="VALID"/>
    <n v="1.8359999999999999"/>
    <s v="Low"/>
    <n v="34.299999999999997"/>
    <s v="Medium"/>
  </r>
  <r>
    <n v="50"/>
    <n v="3.93"/>
    <x v="3"/>
    <x v="0"/>
    <n v="1500"/>
    <n v="60.9"/>
    <n v="12.73"/>
    <n v="2.2799999999999998"/>
    <n v="58.02"/>
    <n v="10"/>
    <s v="Moderate"/>
    <s v="VALID"/>
    <n v="0.22799999999999998"/>
    <s v="Low"/>
    <n v="35.375"/>
    <s v="Medium"/>
  </r>
  <r>
    <n v="100"/>
    <n v="4.7"/>
    <x v="4"/>
    <x v="3"/>
    <n v="300"/>
    <n v="63.7"/>
    <n v="6.81"/>
    <n v="8.83"/>
    <n v="187.87"/>
    <n v="6"/>
    <s v="Critical"/>
    <s v="INVALID"/>
    <m/>
    <m/>
    <m/>
    <m/>
  </r>
  <r>
    <n v="800"/>
    <n v="21.5"/>
    <x v="1"/>
    <x v="1"/>
    <n v="150"/>
    <n v="28.4"/>
    <n v="13.34"/>
    <n v="5.52"/>
    <n v="25.67"/>
    <n v="25"/>
    <s v="Critical"/>
    <s v="VALID"/>
    <n v="0.2208"/>
    <s v="Low"/>
    <n v="19.505000000000003"/>
    <s v="Low"/>
  </r>
  <r>
    <n v="600"/>
    <n v="23.01"/>
    <x v="3"/>
    <x v="3"/>
    <n v="900"/>
    <n v="54.1"/>
    <n v="7.44"/>
    <n v="0.21"/>
    <n v="0.91"/>
    <n v="19"/>
    <s v="Normal"/>
    <s v="VALID"/>
    <n v="1.1052631578947368E-2"/>
    <s v="Low"/>
    <n v="4.1749999999999998"/>
    <s v="Low"/>
  </r>
  <r>
    <n v="1200"/>
    <n v="24.51"/>
    <x v="3"/>
    <x v="4"/>
    <n v="1500"/>
    <n v="138.4"/>
    <n v="8.83"/>
    <n v="3.26"/>
    <n v="13.3"/>
    <n v="22"/>
    <s v="Moderate"/>
    <s v="VALID"/>
    <n v="0.14818181818181816"/>
    <s v="Low"/>
    <n v="11.065000000000001"/>
    <s v="Low"/>
  </r>
  <r>
    <n v="50"/>
    <n v="5.0999999999999996"/>
    <x v="1"/>
    <x v="1"/>
    <n v="300"/>
    <n v="5.6"/>
    <n v="2.42"/>
    <n v="6.46"/>
    <n v="126.67"/>
    <n v="21"/>
    <s v="Critical"/>
    <s v="INVALID"/>
    <m/>
    <m/>
    <m/>
    <m/>
  </r>
  <r>
    <n v="1500"/>
    <n v="23.53"/>
    <x v="0"/>
    <x v="1"/>
    <n v="1500"/>
    <n v="6.1"/>
    <n v="11.73"/>
    <n v="1.53"/>
    <n v="6.5"/>
    <n v="5"/>
    <s v="Normal"/>
    <s v="VALID"/>
    <n v="0.30599999999999999"/>
    <s v="Low"/>
    <n v="9.1150000000000002"/>
    <s v="Low"/>
  </r>
  <r>
    <n v="300"/>
    <n v="15.67"/>
    <x v="3"/>
    <x v="0"/>
    <n v="300"/>
    <n v="43.3"/>
    <n v="6.51"/>
    <n v="4.76"/>
    <n v="30.38"/>
    <n v="5"/>
    <s v="Moderate"/>
    <s v="VALID"/>
    <n v="0.95199999999999996"/>
    <s v="Medium"/>
    <n v="18.445"/>
    <s v="Low"/>
  </r>
  <r>
    <n v="200"/>
    <n v="6.3"/>
    <x v="0"/>
    <x v="3"/>
    <n v="300"/>
    <n v="62.6"/>
    <n v="3.47"/>
    <n v="1.55"/>
    <n v="24.6"/>
    <n v="19"/>
    <s v="Normal"/>
    <s v="VALID"/>
    <n v="8.1578947368421056E-2"/>
    <s v="Low"/>
    <n v="14.035"/>
    <s v="Low"/>
  </r>
  <r>
    <n v="1000"/>
    <n v="22.93"/>
    <x v="3"/>
    <x v="0"/>
    <n v="900"/>
    <n v="84.6"/>
    <n v="7.67"/>
    <n v="3.92"/>
    <n v="17.100000000000001"/>
    <n v="23"/>
    <s v="Moderate"/>
    <s v="VALID"/>
    <n v="0.17043478260869566"/>
    <s v="Low"/>
    <n v="12.385000000000002"/>
    <s v="Low"/>
  </r>
  <r>
    <n v="300"/>
    <n v="10.67"/>
    <x v="3"/>
    <x v="4"/>
    <n v="2500"/>
    <n v="92.3"/>
    <n v="6.24"/>
    <n v="6.66"/>
    <n v="62.42"/>
    <n v="15"/>
    <s v="Critical"/>
    <s v="VALID"/>
    <n v="0.44400000000000001"/>
    <s v="Low"/>
    <n v="34.33"/>
    <s v="Medium"/>
  </r>
  <r>
    <n v="500"/>
    <n v="23.22"/>
    <x v="1"/>
    <x v="2"/>
    <n v="150"/>
    <n v="45.6"/>
    <n v="13.08"/>
    <n v="4.97"/>
    <n v="21.4"/>
    <n v="13"/>
    <s v="Moderate"/>
    <s v="VALID"/>
    <n v="0.38230769230769229"/>
    <s v="Medium"/>
    <n v="17.239999999999998"/>
    <s v="Low"/>
  </r>
  <r>
    <n v="300"/>
    <n v="12.92"/>
    <x v="0"/>
    <x v="0"/>
    <n v="150"/>
    <n v="136"/>
    <n v="11.02"/>
    <n v="6.79"/>
    <n v="52.55"/>
    <n v="6"/>
    <s v="Critical"/>
    <s v="VALID"/>
    <n v="1.1316666666666666"/>
    <s v="Low"/>
    <n v="31.784999999999997"/>
    <s v="Medium"/>
  </r>
  <r>
    <n v="1200"/>
    <n v="36.1"/>
    <x v="2"/>
    <x v="4"/>
    <n v="900"/>
    <n v="56.8"/>
    <n v="10.34"/>
    <n v="8.06"/>
    <n v="22.33"/>
    <n v="16"/>
    <s v="Critical"/>
    <s v="VALID"/>
    <n v="0.50375000000000003"/>
    <s v="Low"/>
    <n v="16.335000000000001"/>
    <s v="Low"/>
  </r>
  <r>
    <n v="200"/>
    <n v="9.1300000000000008"/>
    <x v="4"/>
    <x v="0"/>
    <n v="2500"/>
    <n v="93.4"/>
    <n v="10.66"/>
    <n v="9.83"/>
    <n v="107.67"/>
    <n v="8"/>
    <s v="Critical"/>
    <s v="INVALID"/>
    <m/>
    <m/>
    <m/>
    <m/>
  </r>
  <r>
    <n v="500"/>
    <n v="10.210000000000001"/>
    <x v="0"/>
    <x v="1"/>
    <n v="1500"/>
    <n v="-17"/>
    <n v="19.809999999999999"/>
    <n v="0.94"/>
    <n v="9.2100000000000009"/>
    <n v="14"/>
    <s v="Normal"/>
    <s v="VALID"/>
    <n v="6.7142857142857143E-2"/>
    <s v="Medium"/>
    <n v="14.51"/>
    <s v="Low"/>
  </r>
  <r>
    <n v="800"/>
    <n v="22.07"/>
    <x v="3"/>
    <x v="2"/>
    <n v="600"/>
    <n v="21.1"/>
    <n v="2.71"/>
    <n v="2.17"/>
    <n v="9.83"/>
    <n v="11"/>
    <s v="Moderate"/>
    <s v="VALID"/>
    <n v="0.19727272727272727"/>
    <s v="Medium"/>
    <n v="6.27"/>
    <s v="Low"/>
  </r>
  <r>
    <n v="500"/>
    <n v="9.7100000000000009"/>
    <x v="0"/>
    <x v="4"/>
    <n v="900"/>
    <n v="24.1"/>
    <n v="10.87"/>
    <n v="1.93"/>
    <n v="19.88"/>
    <n v="25"/>
    <s v="Normal"/>
    <s v="VALID"/>
    <n v="7.7199999999999991E-2"/>
    <s v="Low"/>
    <n v="15.375"/>
    <s v="Low"/>
  </r>
  <r>
    <n v="150"/>
    <n v="5.73"/>
    <x v="1"/>
    <x v="0"/>
    <n v="600"/>
    <n v="67.900000000000006"/>
    <n v="2.75"/>
    <n v="9.36"/>
    <n v="163.35"/>
    <n v="17"/>
    <s v="Critical"/>
    <s v="INVALID"/>
    <m/>
    <m/>
    <m/>
    <m/>
  </r>
  <r>
    <n v="400"/>
    <n v="14.7"/>
    <x v="4"/>
    <x v="0"/>
    <n v="2500"/>
    <n v="70.099999999999994"/>
    <n v="2.84"/>
    <n v="7.55"/>
    <n v="51.36"/>
    <n v="15"/>
    <s v="Critical"/>
    <s v="VALID"/>
    <n v="0.5033333333333333"/>
    <s v="Low"/>
    <n v="27.1"/>
    <s v="Low"/>
  </r>
  <r>
    <n v="600"/>
    <n v="13.23"/>
    <x v="4"/>
    <x v="3"/>
    <n v="300"/>
    <n v="148.19999999999999"/>
    <n v="4.96"/>
    <n v="7.11"/>
    <n v="53.74"/>
    <n v="10"/>
    <s v="Critical"/>
    <s v="VALID"/>
    <n v="0.71100000000000008"/>
    <s v="Medium"/>
    <n v="29.35"/>
    <s v="Low"/>
  </r>
  <r>
    <n v="300"/>
    <n v="15.67"/>
    <x v="2"/>
    <x v="0"/>
    <n v="150"/>
    <n v="14.1"/>
    <n v="2.73"/>
    <n v="1"/>
    <n v="6.38"/>
    <n v="21"/>
    <s v="Normal"/>
    <s v="VALID"/>
    <n v="4.7619047619047616E-2"/>
    <s v="Low"/>
    <n v="4.5549999999999997"/>
    <s v="Low"/>
  </r>
  <r>
    <n v="200"/>
    <n v="9.5"/>
    <x v="3"/>
    <x v="2"/>
    <n v="600"/>
    <n v="29.6"/>
    <n v="19.100000000000001"/>
    <n v="9.01"/>
    <n v="94.84"/>
    <n v="16"/>
    <s v="Critical"/>
    <s v="VALID"/>
    <n v="0.56312499999999999"/>
    <s v="Low"/>
    <n v="56.97"/>
    <s v="Medium"/>
  </r>
  <r>
    <n v="100"/>
    <n v="4.6500000000000004"/>
    <x v="0"/>
    <x v="1"/>
    <n v="1500"/>
    <n v="48.8"/>
    <n v="9.19"/>
    <n v="1.59"/>
    <n v="34.19"/>
    <n v="5"/>
    <s v="Normal"/>
    <s v="VALID"/>
    <n v="0.318"/>
    <s v="Low"/>
    <n v="21.689999999999998"/>
    <s v="Low"/>
  </r>
  <r>
    <n v="1200"/>
    <n v="34.92"/>
    <x v="2"/>
    <x v="0"/>
    <n v="300"/>
    <n v="79.3"/>
    <n v="3.55"/>
    <n v="6.92"/>
    <n v="19.82"/>
    <n v="12"/>
    <s v="Critical"/>
    <s v="VALID"/>
    <n v="0.57666666666666666"/>
    <s v="Medium"/>
    <n v="11.685"/>
    <s v="Low"/>
  </r>
  <r>
    <n v="600"/>
    <n v="21.33"/>
    <x v="2"/>
    <x v="0"/>
    <n v="300"/>
    <n v="100.1"/>
    <n v="6.63"/>
    <n v="7.16"/>
    <n v="33.57"/>
    <n v="15"/>
    <s v="Critical"/>
    <s v="VALID"/>
    <n v="0.47733333333333333"/>
    <s v="Low"/>
    <n v="20.100000000000001"/>
    <s v="Low"/>
  </r>
  <r>
    <n v="500"/>
    <n v="17.850000000000001"/>
    <x v="3"/>
    <x v="3"/>
    <n v="150"/>
    <n v="20.7"/>
    <n v="6.86"/>
    <n v="8.76"/>
    <n v="49.08"/>
    <n v="10"/>
    <s v="Critical"/>
    <s v="VALID"/>
    <n v="0.876"/>
    <s v="Low"/>
    <n v="27.97"/>
    <s v="Low"/>
  </r>
  <r>
    <n v="1200"/>
    <n v="22.83"/>
    <x v="1"/>
    <x v="1"/>
    <n v="900"/>
    <n v="42.1"/>
    <n v="7.33"/>
    <n v="4.45"/>
    <n v="19.489999999999998"/>
    <n v="10"/>
    <s v="Moderate"/>
    <s v="VALID"/>
    <n v="0.44500000000000001"/>
    <s v="Low"/>
    <n v="13.41"/>
    <s v="Low"/>
  </r>
  <r>
    <n v="800"/>
    <n v="18.329999999999998"/>
    <x v="4"/>
    <x v="3"/>
    <n v="1500"/>
    <n v="104.9"/>
    <n v="5.68"/>
    <n v="3.2"/>
    <n v="17.46"/>
    <n v="10"/>
    <s v="Moderate"/>
    <s v="VALID"/>
    <n v="0.32"/>
    <s v="Low"/>
    <n v="11.57"/>
    <s v="Low"/>
  </r>
  <r>
    <n v="600"/>
    <n v="12.39"/>
    <x v="1"/>
    <x v="4"/>
    <n v="1500"/>
    <n v="56"/>
    <n v="19.13"/>
    <n v="7.83"/>
    <n v="63.2"/>
    <n v="22"/>
    <s v="Critical"/>
    <s v="VALID"/>
    <n v="0.3559090909090909"/>
    <s v="Medium"/>
    <n v="41.164999999999999"/>
    <s v="Medium"/>
  </r>
  <r>
    <n v="300"/>
    <n v="12.86"/>
    <x v="3"/>
    <x v="0"/>
    <n v="900"/>
    <n v="88.9"/>
    <n v="11.84"/>
    <n v="5.2"/>
    <n v="40.44"/>
    <n v="18"/>
    <s v="Critical"/>
    <s v="VALID"/>
    <n v="0.28888888888888892"/>
    <s v="Medium"/>
    <n v="26.14"/>
    <s v="Low"/>
  </r>
  <r>
    <n v="1200"/>
    <n v="24.24"/>
    <x v="1"/>
    <x v="1"/>
    <n v="900"/>
    <n v="-34.4"/>
    <n v="5.08"/>
    <n v="8.5399999999999991"/>
    <n v="35.229999999999997"/>
    <n v="25"/>
    <s v="Critical"/>
    <s v="VALID"/>
    <n v="0.34159999999999996"/>
    <s v="Low"/>
    <n v="20.154999999999998"/>
    <s v="Low"/>
  </r>
  <r>
    <n v="150"/>
    <n v="7.91"/>
    <x v="1"/>
    <x v="1"/>
    <n v="600"/>
    <n v="20.8"/>
    <n v="2.12"/>
    <n v="1.17"/>
    <n v="14.79"/>
    <n v="12"/>
    <s v="Normal"/>
    <s v="VALID"/>
    <n v="9.7499999999999989E-2"/>
    <s v="Low"/>
    <n v="8.4550000000000001"/>
    <s v="Low"/>
  </r>
  <r>
    <n v="200"/>
    <n v="8.98"/>
    <x v="3"/>
    <x v="4"/>
    <n v="900"/>
    <n v="-38.6"/>
    <n v="14.53"/>
    <n v="9.2200000000000006"/>
    <n v="102.67"/>
    <n v="18"/>
    <s v="Critical"/>
    <s v="INVALID"/>
    <m/>
    <m/>
    <m/>
    <m/>
  </r>
  <r>
    <n v="1200"/>
    <n v="38.03"/>
    <x v="3"/>
    <x v="2"/>
    <n v="900"/>
    <n v="-44.2"/>
    <n v="4.74"/>
    <n v="5.56"/>
    <n v="14.62"/>
    <n v="11"/>
    <s v="Critical"/>
    <s v="VALID"/>
    <n v="0.50545454545454538"/>
    <s v="Low"/>
    <n v="9.68"/>
    <s v="Low"/>
  </r>
  <r>
    <n v="1000"/>
    <n v="26.98"/>
    <x v="1"/>
    <x v="1"/>
    <n v="150"/>
    <n v="43.9"/>
    <n v="12.77"/>
    <n v="9.99"/>
    <n v="37.03"/>
    <n v="16"/>
    <s v="Critical"/>
    <s v="VALID"/>
    <n v="0.62437500000000001"/>
    <s v="Low"/>
    <n v="24.9"/>
    <s v="Low"/>
  </r>
  <r>
    <n v="150"/>
    <n v="9.73"/>
    <x v="4"/>
    <x v="1"/>
    <n v="600"/>
    <n v="56"/>
    <n v="8.07"/>
    <n v="3.18"/>
    <n v="32.68"/>
    <n v="2"/>
    <s v="Moderate"/>
    <s v="VALID"/>
    <n v="1.59"/>
    <s v="Low"/>
    <n v="20.375"/>
    <s v="Low"/>
  </r>
  <r>
    <n v="500"/>
    <n v="22.49"/>
    <x v="4"/>
    <x v="4"/>
    <n v="1500"/>
    <n v="58.1"/>
    <n v="3.1"/>
    <n v="6.62"/>
    <n v="29.44"/>
    <n v="1"/>
    <s v="Critical"/>
    <s v="VALID"/>
    <n v="6.62"/>
    <s v="Low"/>
    <n v="16.27"/>
    <s v="Low"/>
  </r>
  <r>
    <n v="300"/>
    <n v="7.2"/>
    <x v="0"/>
    <x v="3"/>
    <n v="300"/>
    <n v="48.5"/>
    <n v="17.27"/>
    <n v="8.07"/>
    <n v="112.08"/>
    <n v="20"/>
    <s v="Critical"/>
    <s v="INVALID"/>
    <m/>
    <m/>
    <m/>
    <m/>
  </r>
  <r>
    <n v="500"/>
    <n v="9.94"/>
    <x v="1"/>
    <x v="4"/>
    <n v="150"/>
    <n v="28.1"/>
    <n v="12.68"/>
    <n v="1.32"/>
    <n v="13.28"/>
    <n v="13"/>
    <s v="Normal"/>
    <s v="VALID"/>
    <n v="0.10153846153846155"/>
    <s v="Low"/>
    <n v="12.98"/>
    <s v="Low"/>
  </r>
  <r>
    <n v="150"/>
    <n v="6.69"/>
    <x v="0"/>
    <x v="1"/>
    <n v="300"/>
    <n v="66.2"/>
    <n v="2.1"/>
    <n v="9.6"/>
    <n v="143.5"/>
    <n v="6"/>
    <s v="Critical"/>
    <s v="INVALID"/>
    <m/>
    <m/>
    <m/>
    <m/>
  </r>
  <r>
    <n v="200"/>
    <n v="6.76"/>
    <x v="3"/>
    <x v="4"/>
    <n v="300"/>
    <n v="51.1"/>
    <n v="15.15"/>
    <n v="9.35"/>
    <n v="138.31"/>
    <n v="8"/>
    <s v="Critical"/>
    <s v="INVALID"/>
    <m/>
    <m/>
    <m/>
    <m/>
  </r>
  <r>
    <n v="200"/>
    <n v="6.26"/>
    <x v="1"/>
    <x v="2"/>
    <n v="2500"/>
    <n v="74.8"/>
    <n v="12.94"/>
    <n v="8.02"/>
    <n v="128.12"/>
    <n v="24"/>
    <s v="Critical"/>
    <s v="INVALID"/>
    <m/>
    <m/>
    <m/>
    <m/>
  </r>
  <r>
    <n v="800"/>
    <n v="14.7"/>
    <x v="2"/>
    <x v="2"/>
    <n v="1500"/>
    <n v="43.9"/>
    <n v="1.44"/>
    <n v="4.07"/>
    <n v="27.69"/>
    <n v="16"/>
    <s v="Moderate"/>
    <s v="VALID"/>
    <n v="0.25437500000000002"/>
    <s v="Medium"/>
    <n v="14.565000000000001"/>
    <s v="Low"/>
  </r>
  <r>
    <n v="600"/>
    <n v="11.17"/>
    <x v="2"/>
    <x v="0"/>
    <n v="1500"/>
    <n v="115.7"/>
    <n v="17.93"/>
    <n v="0.81"/>
    <n v="7.25"/>
    <n v="15"/>
    <s v="Normal"/>
    <s v="VALID"/>
    <n v="5.4000000000000006E-2"/>
    <s v="Medium"/>
    <n v="12.59"/>
    <s v="Low"/>
  </r>
  <r>
    <n v="600"/>
    <n v="14.15"/>
    <x v="1"/>
    <x v="3"/>
    <n v="150"/>
    <n v="86.4"/>
    <n v="9.07"/>
    <n v="4.49"/>
    <n v="31.73"/>
    <n v="18"/>
    <s v="Moderate"/>
    <s v="VALID"/>
    <n v="0.24944444444444447"/>
    <s v="Medium"/>
    <n v="20.399999999999999"/>
    <s v="Low"/>
  </r>
  <r>
    <n v="800"/>
    <n v="17.149999999999999"/>
    <x v="2"/>
    <x v="4"/>
    <n v="150"/>
    <n v="93.4"/>
    <n v="0.54"/>
    <n v="2.54"/>
    <n v="14.81"/>
    <n v="7"/>
    <s v="Moderate"/>
    <s v="VALID"/>
    <n v="0.36285714285714288"/>
    <s v="Low"/>
    <n v="7.6750000000000007"/>
    <s v="Low"/>
  </r>
  <r>
    <n v="50"/>
    <n v="3"/>
    <x v="0"/>
    <x v="0"/>
    <n v="150"/>
    <n v="30.9"/>
    <n v="9.1999999999999993"/>
    <n v="4.13"/>
    <n v="137.66999999999999"/>
    <n v="17"/>
    <s v="Moderate"/>
    <s v="INVALID"/>
    <m/>
    <m/>
    <m/>
    <m/>
  </r>
  <r>
    <n v="500"/>
    <n v="21.53"/>
    <x v="2"/>
    <x v="1"/>
    <n v="300"/>
    <n v="47.7"/>
    <n v="16.95"/>
    <n v="3.11"/>
    <n v="14.44"/>
    <n v="13"/>
    <s v="Moderate"/>
    <s v="VALID"/>
    <n v="0.23923076923076922"/>
    <s v="Low"/>
    <n v="15.695"/>
    <s v="Low"/>
  </r>
  <r>
    <n v="1500"/>
    <n v="34.19"/>
    <x v="3"/>
    <x v="4"/>
    <n v="1500"/>
    <n v="81.2"/>
    <n v="10.4"/>
    <n v="7.15"/>
    <n v="20.91"/>
    <n v="1"/>
    <s v="Critical"/>
    <s v="VALID"/>
    <n v="7.15"/>
    <s v="Low"/>
    <n v="15.655000000000001"/>
    <s v="Low"/>
  </r>
  <r>
    <n v="50"/>
    <n v="5.93"/>
    <x v="3"/>
    <x v="1"/>
    <n v="2500"/>
    <n v="75.099999999999994"/>
    <n v="19.39"/>
    <n v="7.2"/>
    <n v="121.42"/>
    <n v="15"/>
    <s v="Critical"/>
    <s v="INVALID"/>
    <m/>
    <m/>
    <m/>
    <m/>
  </r>
  <r>
    <n v="1200"/>
    <n v="33.06"/>
    <x v="0"/>
    <x v="1"/>
    <n v="900"/>
    <n v="-9.6"/>
    <n v="11.89"/>
    <n v="8.15"/>
    <n v="24.65"/>
    <n v="18"/>
    <s v="Critical"/>
    <s v="VALID"/>
    <n v="0.45277777777777778"/>
    <s v="Medium"/>
    <n v="18.27"/>
    <s v="Low"/>
  </r>
  <r>
    <n v="100"/>
    <n v="6.31"/>
    <x v="0"/>
    <x v="4"/>
    <n v="900"/>
    <n v="30.5"/>
    <n v="10.66"/>
    <n v="5.74"/>
    <n v="90.97"/>
    <n v="12"/>
    <s v="Critical"/>
    <s v="VALID"/>
    <n v="0.47833333333333333"/>
    <s v="Low"/>
    <n v="50.814999999999998"/>
    <s v="Medium"/>
  </r>
  <r>
    <n v="100"/>
    <n v="4.72"/>
    <x v="4"/>
    <x v="1"/>
    <n v="300"/>
    <n v="55.8"/>
    <n v="8.56"/>
    <n v="0.97"/>
    <n v="20.55"/>
    <n v="16"/>
    <s v="Normal"/>
    <s v="VALID"/>
    <n v="6.0624999999999998E-2"/>
    <s v="Low"/>
    <n v="14.555"/>
    <s v="Low"/>
  </r>
  <r>
    <n v="600"/>
    <n v="22.4"/>
    <x v="4"/>
    <x v="4"/>
    <n v="1500"/>
    <n v="44.1"/>
    <n v="1.5"/>
    <n v="8.01"/>
    <n v="35.76"/>
    <n v="12"/>
    <s v="Critical"/>
    <s v="VALID"/>
    <n v="0.66749999999999998"/>
    <s v="Low"/>
    <n v="18.63"/>
    <s v="Low"/>
  </r>
  <r>
    <n v="300"/>
    <n v="17.34"/>
    <x v="4"/>
    <x v="0"/>
    <n v="1500"/>
    <n v="46.2"/>
    <n v="14.96"/>
    <n v="4.8099999999999996"/>
    <n v="27.74"/>
    <n v="6"/>
    <s v="Moderate"/>
    <s v="VALID"/>
    <n v="0.80166666666666664"/>
    <s v="Medium"/>
    <n v="21.35"/>
    <s v="Low"/>
  </r>
  <r>
    <n v="400"/>
    <n v="12.29"/>
    <x v="1"/>
    <x v="3"/>
    <n v="300"/>
    <n v="-9.6"/>
    <n v="16"/>
    <n v="3.22"/>
    <n v="26.2"/>
    <n v="8"/>
    <s v="Moderate"/>
    <s v="VALID"/>
    <n v="0.40250000000000002"/>
    <s v="Medium"/>
    <n v="21.1"/>
    <s v="Low"/>
  </r>
  <r>
    <n v="1500"/>
    <n v="29.22"/>
    <x v="4"/>
    <x v="1"/>
    <n v="2500"/>
    <n v="-10.7"/>
    <n v="8.17"/>
    <n v="6.72"/>
    <n v="23"/>
    <n v="22"/>
    <s v="Critical"/>
    <s v="VALID"/>
    <n v="0.30545454545454542"/>
    <s v="Low"/>
    <n v="15.585000000000001"/>
    <s v="Low"/>
  </r>
  <r>
    <n v="100"/>
    <n v="5.99"/>
    <x v="0"/>
    <x v="2"/>
    <n v="900"/>
    <n v="-6.7"/>
    <n v="8.83"/>
    <n v="3.77"/>
    <n v="62.94"/>
    <n v="14"/>
    <s v="Moderate"/>
    <s v="VALID"/>
    <n v="0.26928571428571429"/>
    <s v="Medium"/>
    <n v="35.884999999999998"/>
    <s v="Medium"/>
  </r>
  <r>
    <n v="50"/>
    <n v="3"/>
    <x v="3"/>
    <x v="2"/>
    <n v="900"/>
    <n v="22.8"/>
    <n v="13.87"/>
    <n v="0.47"/>
    <n v="15.67"/>
    <n v="18"/>
    <s v="Normal"/>
    <s v="VALID"/>
    <n v="2.6111111111111109E-2"/>
    <s v="Low"/>
    <n v="14.77"/>
    <s v="Low"/>
  </r>
  <r>
    <n v="1500"/>
    <n v="38.340000000000003"/>
    <x v="0"/>
    <x v="0"/>
    <n v="2500"/>
    <n v="22.3"/>
    <n v="14.44"/>
    <n v="5.57"/>
    <n v="14.53"/>
    <n v="21"/>
    <s v="Critical"/>
    <s v="VALID"/>
    <n v="0.26523809523809527"/>
    <s v="Low"/>
    <n v="14.484999999999999"/>
    <s v="Low"/>
  </r>
  <r>
    <n v="100"/>
    <n v="7.37"/>
    <x v="1"/>
    <x v="1"/>
    <n v="300"/>
    <n v="56.5"/>
    <n v="14.31"/>
    <n v="2.35"/>
    <n v="31.89"/>
    <n v="2"/>
    <s v="Moderate"/>
    <s v="VALID"/>
    <n v="1.175"/>
    <s v="Medium"/>
    <n v="23.1"/>
    <s v="Low"/>
  </r>
  <r>
    <n v="800"/>
    <n v="27.17"/>
    <x v="2"/>
    <x v="0"/>
    <n v="2500"/>
    <n v="27"/>
    <n v="16.100000000000001"/>
    <n v="9.31"/>
    <n v="34.270000000000003"/>
    <n v="16"/>
    <s v="Critical"/>
    <s v="VALID"/>
    <n v="0.58187500000000003"/>
    <s v="Low"/>
    <n v="25.185000000000002"/>
    <s v="Low"/>
  </r>
  <r>
    <n v="800"/>
    <n v="12.37"/>
    <x v="2"/>
    <x v="4"/>
    <n v="900"/>
    <n v="-11.7"/>
    <n v="16.5"/>
    <n v="7.51"/>
    <n v="60.71"/>
    <n v="23"/>
    <s v="Critical"/>
    <s v="VALID"/>
    <n v="0.32652173913043475"/>
    <s v="Medium"/>
    <n v="38.605000000000004"/>
    <s v="Medium"/>
  </r>
  <r>
    <n v="100"/>
    <n v="5.58"/>
    <x v="3"/>
    <x v="3"/>
    <n v="300"/>
    <n v="43.4"/>
    <n v="12.52"/>
    <n v="4.45"/>
    <n v="79.75"/>
    <n v="21"/>
    <s v="Moderate"/>
    <s v="VALID"/>
    <n v="0.2119047619047619"/>
    <s v="Low"/>
    <n v="46.134999999999998"/>
    <s v="Medium"/>
  </r>
  <r>
    <n v="100"/>
    <n v="6.08"/>
    <x v="0"/>
    <x v="3"/>
    <n v="150"/>
    <n v="86.7"/>
    <n v="10.71"/>
    <n v="2.81"/>
    <n v="46.22"/>
    <n v="21"/>
    <s v="Moderate"/>
    <s v="VALID"/>
    <n v="0.13380952380952382"/>
    <s v="Low"/>
    <n v="28.465"/>
    <s v="Low"/>
  </r>
  <r>
    <n v="1200"/>
    <n v="23.76"/>
    <x v="3"/>
    <x v="3"/>
    <n v="300"/>
    <n v="-29.9"/>
    <n v="1.38"/>
    <n v="6.01"/>
    <n v="25.29"/>
    <n v="16"/>
    <s v="Critical"/>
    <s v="VALID"/>
    <n v="0.37562499999999999"/>
    <s v="Low"/>
    <n v="13.334999999999999"/>
    <s v="Low"/>
  </r>
  <r>
    <n v="300"/>
    <n v="9.39"/>
    <x v="3"/>
    <x v="2"/>
    <n v="150"/>
    <n v="41.2"/>
    <n v="11.27"/>
    <n v="4.09"/>
    <n v="43.56"/>
    <n v="20"/>
    <s v="Moderate"/>
    <s v="VALID"/>
    <n v="0.20449999999999999"/>
    <s v="Low"/>
    <n v="27.414999999999999"/>
    <s v="Low"/>
  </r>
  <r>
    <n v="300"/>
    <n v="10.42"/>
    <x v="3"/>
    <x v="0"/>
    <n v="600"/>
    <n v="32.5"/>
    <n v="19.329999999999998"/>
    <n v="4.6399999999999997"/>
    <n v="44.53"/>
    <n v="3"/>
    <s v="Moderate"/>
    <s v="VALID"/>
    <n v="1.5466666666666666"/>
    <s v="Low"/>
    <n v="31.93"/>
    <s v="Medium"/>
  </r>
  <r>
    <n v="800"/>
    <n v="29.29"/>
    <x v="2"/>
    <x v="3"/>
    <n v="150"/>
    <n v="76.099999999999994"/>
    <n v="10.210000000000001"/>
    <n v="7"/>
    <n v="23.9"/>
    <n v="3"/>
    <s v="Critical"/>
    <s v="VALID"/>
    <n v="2.3333333333333335"/>
    <s v="Low"/>
    <n v="17.055"/>
    <s v="Low"/>
  </r>
  <r>
    <n v="1500"/>
    <n v="32.909999999999997"/>
    <x v="0"/>
    <x v="4"/>
    <n v="150"/>
    <n v="112.7"/>
    <n v="9.6199999999999992"/>
    <n v="6.03"/>
    <n v="18.32"/>
    <n v="17"/>
    <s v="Critical"/>
    <s v="VALID"/>
    <n v="0.3547058823529412"/>
    <s v="Low"/>
    <n v="13.969999999999999"/>
    <s v="Low"/>
  </r>
  <r>
    <n v="200"/>
    <n v="11.11"/>
    <x v="0"/>
    <x v="1"/>
    <n v="150"/>
    <n v="6.1"/>
    <n v="14.49"/>
    <n v="3.41"/>
    <n v="30.69"/>
    <n v="23"/>
    <s v="Moderate"/>
    <s v="VALID"/>
    <n v="0.14826086956521739"/>
    <s v="Low"/>
    <n v="22.59"/>
    <s v="Low"/>
  </r>
  <r>
    <n v="300"/>
    <n v="13.83"/>
    <x v="0"/>
    <x v="3"/>
    <n v="300"/>
    <n v="76"/>
    <n v="11.2"/>
    <n v="2.95"/>
    <n v="21.33"/>
    <n v="3"/>
    <s v="Moderate"/>
    <s v="VALID"/>
    <n v="0.98333333333333339"/>
    <s v="Low"/>
    <n v="16.265000000000001"/>
    <s v="Low"/>
  </r>
  <r>
    <n v="1000"/>
    <n v="29.05"/>
    <x v="1"/>
    <x v="1"/>
    <n v="1500"/>
    <n v="29.6"/>
    <n v="7.47"/>
    <n v="9.6300000000000008"/>
    <n v="33.15"/>
    <n v="14"/>
    <s v="Critical"/>
    <s v="VALID"/>
    <n v="0.68785714285714294"/>
    <s v="Low"/>
    <n v="20.309999999999999"/>
    <s v="Low"/>
  </r>
  <r>
    <n v="1500"/>
    <n v="47.89"/>
    <x v="2"/>
    <x v="1"/>
    <n v="2500"/>
    <n v="56.1"/>
    <n v="0.82"/>
    <n v="9.49"/>
    <n v="19.82"/>
    <n v="7"/>
    <s v="Critical"/>
    <s v="VALID"/>
    <n v="1.3557142857142856"/>
    <s v="Medium"/>
    <n v="10.32"/>
    <s v="Low"/>
  </r>
  <r>
    <n v="50"/>
    <n v="5.33"/>
    <x v="3"/>
    <x v="3"/>
    <n v="900"/>
    <n v="95.9"/>
    <n v="13.51"/>
    <n v="3.77"/>
    <n v="70.73"/>
    <n v="13"/>
    <s v="Moderate"/>
    <s v="VALID"/>
    <n v="0.28999999999999998"/>
    <s v="Medium"/>
    <n v="42.120000000000005"/>
    <s v="Medium"/>
  </r>
  <r>
    <n v="1000"/>
    <n v="33.31"/>
    <x v="0"/>
    <x v="2"/>
    <n v="300"/>
    <n v="105.7"/>
    <n v="3.86"/>
    <n v="8.2899999999999991"/>
    <n v="24.89"/>
    <n v="20"/>
    <s v="Critical"/>
    <s v="VALID"/>
    <n v="0.41449999999999998"/>
    <s v="Low"/>
    <n v="14.375"/>
    <s v="Low"/>
  </r>
  <r>
    <n v="400"/>
    <n v="18.41"/>
    <x v="0"/>
    <x v="1"/>
    <n v="2500"/>
    <n v="25.7"/>
    <n v="5.31"/>
    <n v="2.71"/>
    <n v="14.72"/>
    <n v="16"/>
    <s v="Moderate"/>
    <s v="VALID"/>
    <n v="0.169375"/>
    <s v="Low"/>
    <n v="10.015000000000001"/>
    <s v="Low"/>
  </r>
  <r>
    <n v="150"/>
    <n v="5.98"/>
    <x v="4"/>
    <x v="2"/>
    <n v="2500"/>
    <n v="-20.8"/>
    <n v="6.05"/>
    <n v="6.14"/>
    <n v="102.68"/>
    <n v="20"/>
    <s v="Critical"/>
    <s v="INVALID"/>
    <m/>
    <m/>
    <m/>
    <m/>
  </r>
  <r>
    <n v="800"/>
    <n v="29.96"/>
    <x v="3"/>
    <x v="1"/>
    <n v="2500"/>
    <n v="29"/>
    <n v="1.98"/>
    <n v="2.13"/>
    <n v="7.11"/>
    <n v="15"/>
    <s v="Moderate"/>
    <s v="VALID"/>
    <n v="0.14199999999999999"/>
    <s v="Medium"/>
    <n v="4.5449999999999999"/>
    <s v="Low"/>
  </r>
  <r>
    <n v="300"/>
    <n v="8.74"/>
    <x v="2"/>
    <x v="1"/>
    <n v="1500"/>
    <n v="43.5"/>
    <n v="15.97"/>
    <n v="8.42"/>
    <n v="96.34"/>
    <n v="25"/>
    <s v="Critical"/>
    <s v="VALID"/>
    <n v="0.33679999999999999"/>
    <s v="Medium"/>
    <n v="56.155000000000001"/>
    <s v="Medium"/>
  </r>
  <r>
    <n v="150"/>
    <n v="5.21"/>
    <x v="4"/>
    <x v="4"/>
    <n v="150"/>
    <n v="91.9"/>
    <n v="5.83"/>
    <n v="1.33"/>
    <n v="25.53"/>
    <n v="24"/>
    <s v="Normal"/>
    <s v="VALID"/>
    <n v="5.541666666666667E-2"/>
    <s v="Medium"/>
    <n v="15.68"/>
    <s v="Low"/>
  </r>
  <r>
    <n v="600"/>
    <n v="21.1"/>
    <x v="0"/>
    <x v="2"/>
    <n v="1500"/>
    <n v="12.8"/>
    <n v="3.44"/>
    <n v="9.8699999999999992"/>
    <n v="46.78"/>
    <n v="15"/>
    <s v="Critical"/>
    <s v="VALID"/>
    <n v="0.65799999999999992"/>
    <s v="Low"/>
    <n v="25.11"/>
    <s v="Low"/>
  </r>
  <r>
    <n v="1000"/>
    <n v="32.07"/>
    <x v="4"/>
    <x v="2"/>
    <n v="150"/>
    <n v="100.7"/>
    <n v="0.3"/>
    <n v="4.46"/>
    <n v="13.91"/>
    <n v="22"/>
    <s v="Moderate"/>
    <s v="VALID"/>
    <n v="0.20272727272727273"/>
    <s v="Medium"/>
    <n v="7.1050000000000004"/>
    <s v="Low"/>
  </r>
  <r>
    <n v="100"/>
    <n v="5.72"/>
    <x v="4"/>
    <x v="1"/>
    <n v="150"/>
    <n v="-6.9"/>
    <n v="9.07"/>
    <n v="5.8"/>
    <n v="101.4"/>
    <n v="17"/>
    <s v="Critical"/>
    <s v="INVALID"/>
    <m/>
    <m/>
    <m/>
    <m/>
  </r>
  <r>
    <n v="250"/>
    <n v="13.01"/>
    <x v="2"/>
    <x v="4"/>
    <n v="600"/>
    <n v="16.8"/>
    <n v="18.32"/>
    <n v="4.03"/>
    <n v="30.98"/>
    <n v="5"/>
    <s v="Moderate"/>
    <s v="VALID"/>
    <n v="0.80600000000000005"/>
    <s v="Low"/>
    <n v="24.65"/>
    <s v="Low"/>
  </r>
  <r>
    <n v="500"/>
    <n v="21.57"/>
    <x v="4"/>
    <x v="0"/>
    <n v="2500"/>
    <n v="-24.6"/>
    <n v="4.97"/>
    <n v="7.54"/>
    <n v="34.96"/>
    <n v="14"/>
    <s v="Critical"/>
    <s v="VALID"/>
    <n v="0.53857142857142859"/>
    <s v="Low"/>
    <n v="19.965"/>
    <s v="Low"/>
  </r>
  <r>
    <n v="200"/>
    <n v="10.76"/>
    <x v="3"/>
    <x v="3"/>
    <n v="1500"/>
    <n v="4.0999999999999996"/>
    <n v="14.69"/>
    <n v="4.04"/>
    <n v="37.549999999999997"/>
    <n v="24"/>
    <s v="Moderate"/>
    <s v="VALID"/>
    <n v="0.16833333333333333"/>
    <s v="Medium"/>
    <n v="26.119999999999997"/>
    <s v="Low"/>
  </r>
  <r>
    <n v="400"/>
    <n v="18.8"/>
    <x v="1"/>
    <x v="1"/>
    <n v="900"/>
    <n v="28.7"/>
    <n v="3.18"/>
    <n v="3.37"/>
    <n v="17.93"/>
    <n v="4"/>
    <s v="Moderate"/>
    <s v="VALID"/>
    <n v="0.84250000000000003"/>
    <s v="Medium"/>
    <n v="10.555"/>
    <s v="Low"/>
  </r>
  <r>
    <n v="600"/>
    <n v="24.05"/>
    <x v="1"/>
    <x v="1"/>
    <n v="2500"/>
    <n v="76.400000000000006"/>
    <n v="10.18"/>
    <n v="2.64"/>
    <n v="10.98"/>
    <n v="21"/>
    <s v="Moderate"/>
    <s v="VALID"/>
    <n v="0.12571428571428572"/>
    <s v="Low"/>
    <n v="10.58"/>
    <s v="Low"/>
  </r>
  <r>
    <n v="500"/>
    <n v="17.53"/>
    <x v="1"/>
    <x v="1"/>
    <n v="600"/>
    <n v="61.3"/>
    <n v="11.49"/>
    <n v="3.24"/>
    <n v="18.48"/>
    <n v="18"/>
    <s v="Moderate"/>
    <s v="VALID"/>
    <n v="0.18000000000000002"/>
    <s v="Medium"/>
    <n v="14.984999999999999"/>
    <s v="Low"/>
  </r>
  <r>
    <n v="300"/>
    <n v="7.53"/>
    <x v="2"/>
    <x v="1"/>
    <n v="900"/>
    <n v="0.5"/>
    <n v="2.82"/>
    <n v="1.99"/>
    <n v="26.43"/>
    <n v="7"/>
    <s v="Normal"/>
    <s v="VALID"/>
    <n v="0.28428571428571431"/>
    <s v="Low"/>
    <n v="14.625"/>
    <s v="Low"/>
  </r>
  <r>
    <n v="600"/>
    <n v="26.89"/>
    <x v="2"/>
    <x v="2"/>
    <n v="600"/>
    <n v="34.5"/>
    <n v="19.09"/>
    <n v="3.55"/>
    <n v="13.2"/>
    <n v="5"/>
    <s v="Moderate"/>
    <s v="VALID"/>
    <n v="0.71"/>
    <s v="Low"/>
    <n v="16.145"/>
    <s v="Low"/>
  </r>
  <r>
    <n v="250"/>
    <n v="11.74"/>
    <x v="4"/>
    <x v="4"/>
    <n v="1500"/>
    <n v="53.8"/>
    <n v="7.49"/>
    <n v="8.1300000000000008"/>
    <n v="69.25"/>
    <n v="19"/>
    <s v="Critical"/>
    <s v="VALID"/>
    <n v="0.42789473684210533"/>
    <s v="Low"/>
    <n v="38.369999999999997"/>
    <s v="Medium"/>
  </r>
  <r>
    <n v="800"/>
    <n v="14.26"/>
    <x v="1"/>
    <x v="1"/>
    <n v="300"/>
    <n v="-29.3"/>
    <n v="11.27"/>
    <n v="9.19"/>
    <n v="64.45"/>
    <n v="22"/>
    <s v="Critical"/>
    <s v="VALID"/>
    <n v="0.41772727272727272"/>
    <s v="Medium"/>
    <n v="37.86"/>
    <s v="Medium"/>
  </r>
  <r>
    <n v="400"/>
    <n v="18.46"/>
    <x v="2"/>
    <x v="1"/>
    <n v="300"/>
    <n v="53.1"/>
    <n v="15.98"/>
    <n v="3.56"/>
    <n v="19.28"/>
    <n v="18"/>
    <s v="Moderate"/>
    <s v="VALID"/>
    <n v="0.19777777777777777"/>
    <s v="Low"/>
    <n v="17.630000000000003"/>
    <s v="Low"/>
  </r>
  <r>
    <n v="1200"/>
    <n v="33.729999999999997"/>
    <x v="1"/>
    <x v="4"/>
    <n v="150"/>
    <n v="45.3"/>
    <n v="10.81"/>
    <n v="7.41"/>
    <n v="21.97"/>
    <n v="20"/>
    <s v="Critical"/>
    <s v="VALID"/>
    <n v="0.3705"/>
    <s v="Low"/>
    <n v="16.39"/>
    <s v="Low"/>
  </r>
  <r>
    <n v="250"/>
    <n v="8.5399999999999991"/>
    <x v="3"/>
    <x v="4"/>
    <n v="300"/>
    <n v="41"/>
    <n v="12.97"/>
    <n v="5.54"/>
    <n v="64.87"/>
    <n v="4"/>
    <s v="Critical"/>
    <s v="VALID"/>
    <n v="1.385"/>
    <s v="Low"/>
    <n v="38.92"/>
    <s v="Medium"/>
  </r>
  <r>
    <n v="800"/>
    <n v="20.75"/>
    <x v="2"/>
    <x v="1"/>
    <n v="150"/>
    <n v="-0.9"/>
    <n v="6.09"/>
    <n v="9.77"/>
    <n v="47.08"/>
    <n v="24"/>
    <s v="Critical"/>
    <s v="VALID"/>
    <n v="0.4070833333333333"/>
    <s v="Low"/>
    <n v="26.585000000000001"/>
    <s v="Low"/>
  </r>
  <r>
    <n v="1000"/>
    <n v="15.56"/>
    <x v="4"/>
    <x v="0"/>
    <n v="300"/>
    <n v="74.8"/>
    <n v="3.19"/>
    <n v="4.24"/>
    <n v="27.25"/>
    <n v="20"/>
    <s v="Moderate"/>
    <s v="VALID"/>
    <n v="0.21200000000000002"/>
    <s v="Low"/>
    <n v="15.22"/>
    <s v="Low"/>
  </r>
  <r>
    <n v="50"/>
    <n v="4.6900000000000004"/>
    <x v="2"/>
    <x v="3"/>
    <n v="150"/>
    <n v="13.4"/>
    <n v="0.67"/>
    <n v="2.4300000000000002"/>
    <n v="51.81"/>
    <n v="18"/>
    <s v="Moderate"/>
    <s v="VALID"/>
    <n v="0.13500000000000001"/>
    <s v="Low"/>
    <n v="26.240000000000002"/>
    <s v="Low"/>
  </r>
  <r>
    <n v="150"/>
    <n v="7.97"/>
    <x v="3"/>
    <x v="3"/>
    <n v="150"/>
    <n v="81.8"/>
    <n v="5.16"/>
    <n v="9.0500000000000007"/>
    <n v="113.55"/>
    <n v="20"/>
    <s v="Critical"/>
    <s v="INVALID"/>
    <m/>
    <m/>
    <m/>
    <m/>
  </r>
  <r>
    <n v="200"/>
    <n v="8.6199999999999992"/>
    <x v="1"/>
    <x v="1"/>
    <n v="2500"/>
    <n v="50.6"/>
    <n v="10.45"/>
    <n v="5.2"/>
    <n v="60.32"/>
    <n v="17"/>
    <s v="Critical"/>
    <s v="VALID"/>
    <n v="0.30588235294117649"/>
    <s v="Low"/>
    <n v="35.384999999999998"/>
    <s v="Medium"/>
  </r>
  <r>
    <n v="100"/>
    <n v="4.13"/>
    <x v="4"/>
    <x v="4"/>
    <n v="1500"/>
    <n v="34"/>
    <n v="13.27"/>
    <n v="4.9800000000000004"/>
    <n v="120.58"/>
    <n v="21"/>
    <s v="Moderate"/>
    <s v="INVALID"/>
    <m/>
    <m/>
    <m/>
    <m/>
  </r>
  <r>
    <n v="1000"/>
    <n v="21.65"/>
    <x v="1"/>
    <x v="3"/>
    <n v="600"/>
    <n v="45.9"/>
    <n v="14.74"/>
    <n v="0.8"/>
    <n v="3.7"/>
    <n v="23"/>
    <s v="Normal"/>
    <s v="VALID"/>
    <n v="3.4782608695652174E-2"/>
    <s v="Medium"/>
    <n v="9.2200000000000006"/>
    <s v="Low"/>
  </r>
  <r>
    <n v="1000"/>
    <n v="21.54"/>
    <x v="4"/>
    <x v="4"/>
    <n v="600"/>
    <n v="33.299999999999997"/>
    <n v="1.88"/>
    <n v="2.09"/>
    <n v="9.6999999999999993"/>
    <n v="6"/>
    <s v="Moderate"/>
    <s v="VALID"/>
    <n v="0.34833333333333333"/>
    <s v="Low"/>
    <n v="5.7899999999999991"/>
    <s v="Low"/>
  </r>
  <r>
    <n v="250"/>
    <n v="9.52"/>
    <x v="2"/>
    <x v="0"/>
    <n v="600"/>
    <n v="83.7"/>
    <n v="19.54"/>
    <n v="9.39"/>
    <n v="98.63"/>
    <n v="13"/>
    <s v="Critical"/>
    <s v="VALID"/>
    <n v="0.72230769230769232"/>
    <s v="Low"/>
    <n v="59.084999999999994"/>
    <s v="Medium"/>
  </r>
  <r>
    <n v="250"/>
    <n v="8.56"/>
    <x v="4"/>
    <x v="0"/>
    <n v="600"/>
    <n v="-2.6"/>
    <n v="8.07"/>
    <n v="8.43"/>
    <n v="98.48"/>
    <n v="7"/>
    <s v="Critical"/>
    <s v="VALID"/>
    <n v="1.2042857142857142"/>
    <s v="Low"/>
    <n v="53.275000000000006"/>
    <s v="Medium"/>
  </r>
  <r>
    <n v="200"/>
    <n v="8.86"/>
    <x v="2"/>
    <x v="1"/>
    <n v="300"/>
    <n v="-40.4"/>
    <n v="9.44"/>
    <n v="7.99"/>
    <n v="90.18"/>
    <n v="3"/>
    <s v="Critical"/>
    <s v="VALID"/>
    <n v="2.6633333333333336"/>
    <s v="Low"/>
    <n v="49.81"/>
    <s v="Medium"/>
  </r>
  <r>
    <n v="100"/>
    <n v="7.89"/>
    <x v="4"/>
    <x v="1"/>
    <n v="600"/>
    <n v="-32.200000000000003"/>
    <n v="19.920000000000002"/>
    <n v="3.05"/>
    <n v="38.659999999999997"/>
    <n v="11"/>
    <s v="Moderate"/>
    <s v="VALID"/>
    <n v="0.27727272727272728"/>
    <s v="Low"/>
    <n v="29.29"/>
    <s v="Low"/>
  </r>
  <r>
    <n v="100"/>
    <n v="5.25"/>
    <x v="0"/>
    <x v="2"/>
    <n v="600"/>
    <n v="-19.8"/>
    <n v="17.61"/>
    <n v="9.9600000000000009"/>
    <n v="189.71"/>
    <n v="19"/>
    <s v="Critical"/>
    <s v="INVALID"/>
    <m/>
    <m/>
    <m/>
    <m/>
  </r>
  <r>
    <n v="100"/>
    <n v="7.07"/>
    <x v="0"/>
    <x v="3"/>
    <n v="150"/>
    <n v="27.4"/>
    <n v="1.45"/>
    <n v="7.91"/>
    <n v="111.88"/>
    <n v="4"/>
    <s v="Critical"/>
    <s v="INVALID"/>
    <m/>
    <m/>
    <m/>
    <m/>
  </r>
  <r>
    <n v="200"/>
    <n v="11.23"/>
    <x v="0"/>
    <x v="2"/>
    <n v="1500"/>
    <n v="33.4"/>
    <n v="19.23"/>
    <n v="8.5500000000000007"/>
    <n v="76.14"/>
    <n v="22"/>
    <s v="Critical"/>
    <s v="VALID"/>
    <n v="0.38863636363636367"/>
    <s v="Low"/>
    <n v="47.685000000000002"/>
    <s v="Medium"/>
  </r>
  <r>
    <n v="250"/>
    <n v="14.41"/>
    <x v="2"/>
    <x v="2"/>
    <n v="2500"/>
    <n v="-0.2"/>
    <n v="2.77"/>
    <n v="5.32"/>
    <n v="36.92"/>
    <n v="24"/>
    <s v="Critical"/>
    <s v="VALID"/>
    <n v="0.22166666666666668"/>
    <s v="Medium"/>
    <n v="19.845000000000002"/>
    <s v="Low"/>
  </r>
  <r>
    <n v="1000"/>
    <n v="27.26"/>
    <x v="2"/>
    <x v="1"/>
    <n v="600"/>
    <n v="54"/>
    <n v="7.23"/>
    <n v="2.15"/>
    <n v="7.89"/>
    <n v="5"/>
    <s v="Moderate"/>
    <s v="VALID"/>
    <n v="0.43"/>
    <s v="Medium"/>
    <n v="7.5600000000000005"/>
    <s v="Low"/>
  </r>
  <r>
    <n v="600"/>
    <n v="13.68"/>
    <x v="0"/>
    <x v="0"/>
    <n v="300"/>
    <n v="84.8"/>
    <n v="2.0499999999999998"/>
    <n v="7.14"/>
    <n v="52.19"/>
    <n v="6"/>
    <s v="Critical"/>
    <s v="VALID"/>
    <n v="1.19"/>
    <s v="Low"/>
    <n v="27.119999999999997"/>
    <s v="Low"/>
  </r>
  <r>
    <n v="1500"/>
    <n v="47.8"/>
    <x v="4"/>
    <x v="0"/>
    <n v="300"/>
    <n v="10.1"/>
    <n v="15.3"/>
    <n v="9.43"/>
    <n v="19.73"/>
    <n v="6"/>
    <s v="Critical"/>
    <s v="VALID"/>
    <n v="1.5716666666666665"/>
    <s v="Low"/>
    <n v="17.515000000000001"/>
    <s v="Low"/>
  </r>
  <r>
    <n v="800"/>
    <n v="29.51"/>
    <x v="2"/>
    <x v="0"/>
    <n v="300"/>
    <n v="128.80000000000001"/>
    <n v="3.09"/>
    <n v="9.75"/>
    <n v="33.04"/>
    <n v="1"/>
    <s v="Critical"/>
    <s v="VALID"/>
    <n v="9.75"/>
    <s v="Low"/>
    <n v="18.064999999999998"/>
    <s v="Low"/>
  </r>
  <r>
    <n v="150"/>
    <n v="7.48"/>
    <x v="4"/>
    <x v="4"/>
    <n v="900"/>
    <n v="80.5"/>
    <n v="8.07"/>
    <n v="0.18"/>
    <n v="2.41"/>
    <n v="11"/>
    <s v="Normal"/>
    <s v="VALID"/>
    <n v="1.6363636363636361E-2"/>
    <s v="Low"/>
    <n v="5.24"/>
    <s v="Low"/>
  </r>
  <r>
    <n v="600"/>
    <n v="26.47"/>
    <x v="2"/>
    <x v="0"/>
    <n v="2500"/>
    <n v="36.200000000000003"/>
    <n v="7.17"/>
    <n v="8.48"/>
    <n v="32.04"/>
    <n v="18"/>
    <s v="Critical"/>
    <s v="VALID"/>
    <n v="0.47111111111111115"/>
    <s v="Low"/>
    <n v="19.605"/>
    <s v="Low"/>
  </r>
  <r>
    <n v="300"/>
    <n v="13.68"/>
    <x v="0"/>
    <x v="4"/>
    <n v="900"/>
    <n v="12.3"/>
    <n v="17.18"/>
    <n v="4.66"/>
    <n v="34.06"/>
    <n v="21"/>
    <s v="Moderate"/>
    <s v="VALID"/>
    <n v="0.22190476190476191"/>
    <s v="Medium"/>
    <n v="25.62"/>
    <s v="Low"/>
  </r>
  <r>
    <n v="300"/>
    <n v="9.59"/>
    <x v="0"/>
    <x v="1"/>
    <n v="1500"/>
    <n v="73"/>
    <n v="13.07"/>
    <n v="0.19"/>
    <n v="1.98"/>
    <n v="7"/>
    <s v="Normal"/>
    <s v="VALID"/>
    <n v="2.7142857142857142E-2"/>
    <s v="Low"/>
    <n v="7.5250000000000004"/>
    <s v="Low"/>
  </r>
  <r>
    <n v="100"/>
    <n v="4.28"/>
    <x v="4"/>
    <x v="0"/>
    <n v="900"/>
    <n v="83.1"/>
    <n v="5.1100000000000003"/>
    <n v="7.92"/>
    <n v="185.05"/>
    <n v="1"/>
    <s v="Critical"/>
    <s v="INVALID"/>
    <m/>
    <m/>
    <m/>
    <m/>
  </r>
  <r>
    <n v="800"/>
    <n v="21.96"/>
    <x v="3"/>
    <x v="3"/>
    <n v="600"/>
    <n v="19"/>
    <n v="10.82"/>
    <n v="0.43"/>
    <n v="1.96"/>
    <n v="12"/>
    <s v="Normal"/>
    <s v="VALID"/>
    <n v="3.5833333333333335E-2"/>
    <s v="Low"/>
    <n v="6.3900000000000006"/>
    <s v="Low"/>
  </r>
  <r>
    <n v="500"/>
    <n v="10.210000000000001"/>
    <x v="0"/>
    <x v="0"/>
    <n v="300"/>
    <n v="68.3"/>
    <n v="16.88"/>
    <n v="9.25"/>
    <n v="90.6"/>
    <n v="19"/>
    <s v="Critical"/>
    <s v="VALID"/>
    <n v="0.48684210526315791"/>
    <s v="Low"/>
    <n v="53.739999999999995"/>
    <s v="Medium"/>
  </r>
  <r>
    <n v="500"/>
    <n v="19.32"/>
    <x v="2"/>
    <x v="4"/>
    <n v="900"/>
    <n v="90.4"/>
    <n v="18.760000000000002"/>
    <n v="4.4000000000000004"/>
    <n v="22.77"/>
    <n v="4"/>
    <s v="Moderate"/>
    <s v="VALID"/>
    <n v="1.1000000000000001"/>
    <s v="Low"/>
    <n v="20.765000000000001"/>
    <s v="Low"/>
  </r>
  <r>
    <n v="250"/>
    <n v="13.65"/>
    <x v="3"/>
    <x v="4"/>
    <n v="150"/>
    <n v="37.4"/>
    <n v="6.56"/>
    <n v="3.7"/>
    <n v="27.11"/>
    <n v="18"/>
    <s v="Moderate"/>
    <s v="VALID"/>
    <n v="0.20555555555555557"/>
    <s v="Low"/>
    <n v="16.835000000000001"/>
    <s v="Low"/>
  </r>
  <r>
    <n v="200"/>
    <n v="10.98"/>
    <x v="2"/>
    <x v="0"/>
    <n v="600"/>
    <n v="20.6"/>
    <n v="9.9"/>
    <n v="6.62"/>
    <n v="60.29"/>
    <n v="6"/>
    <s v="Critical"/>
    <s v="VALID"/>
    <n v="1.1033333333333333"/>
    <s v="Low"/>
    <n v="35.094999999999999"/>
    <s v="Medium"/>
  </r>
  <r>
    <n v="800"/>
    <n v="31.24"/>
    <x v="3"/>
    <x v="1"/>
    <n v="300"/>
    <n v="108.5"/>
    <n v="3.05"/>
    <n v="9.35"/>
    <n v="29.93"/>
    <n v="13"/>
    <s v="Critical"/>
    <s v="VALID"/>
    <n v="0.71923076923076923"/>
    <s v="Low"/>
    <n v="16.489999999999998"/>
    <s v="Low"/>
  </r>
  <r>
    <n v="500"/>
    <n v="20.02"/>
    <x v="4"/>
    <x v="4"/>
    <n v="900"/>
    <n v="17.100000000000001"/>
    <n v="9.57"/>
    <n v="1.08"/>
    <n v="5.39"/>
    <n v="7"/>
    <s v="Normal"/>
    <s v="VALID"/>
    <n v="0.1542857142857143"/>
    <s v="Low"/>
    <n v="7.48"/>
    <s v="Low"/>
  </r>
  <r>
    <n v="500"/>
    <n v="11.35"/>
    <x v="4"/>
    <x v="4"/>
    <n v="600"/>
    <n v="57.8"/>
    <n v="18.93"/>
    <n v="2.5"/>
    <n v="22.03"/>
    <n v="17"/>
    <s v="Moderate"/>
    <s v="VALID"/>
    <n v="0.14705882352941177"/>
    <s v="Low"/>
    <n v="20.48"/>
    <s v="Low"/>
  </r>
  <r>
    <n v="600"/>
    <n v="29.1"/>
    <x v="3"/>
    <x v="4"/>
    <n v="1500"/>
    <n v="3.4"/>
    <n v="19.05"/>
    <n v="8.1999999999999993"/>
    <n v="28.18"/>
    <n v="7"/>
    <s v="Critical"/>
    <s v="VALID"/>
    <n v="1.1714285714285713"/>
    <s v="Low"/>
    <n v="23.615000000000002"/>
    <s v="Low"/>
  </r>
  <r>
    <n v="600"/>
    <n v="17.64"/>
    <x v="0"/>
    <x v="0"/>
    <n v="150"/>
    <n v="44.9"/>
    <n v="0.62"/>
    <n v="5.22"/>
    <n v="29.59"/>
    <n v="10"/>
    <s v="Critical"/>
    <s v="VALID"/>
    <n v="0.52200000000000002"/>
    <s v="Medium"/>
    <n v="15.105"/>
    <s v="Low"/>
  </r>
  <r>
    <n v="150"/>
    <n v="8.75"/>
    <x v="3"/>
    <x v="0"/>
    <n v="900"/>
    <n v="3.7"/>
    <n v="16.84"/>
    <n v="3.84"/>
    <n v="43.89"/>
    <n v="17"/>
    <s v="Moderate"/>
    <s v="VALID"/>
    <n v="0.22588235294117645"/>
    <s v="Low"/>
    <n v="30.365000000000002"/>
    <s v="Medium"/>
  </r>
  <r>
    <n v="400"/>
    <n v="11.43"/>
    <x v="3"/>
    <x v="1"/>
    <n v="1500"/>
    <n v="77.599999999999994"/>
    <n v="16.88"/>
    <n v="0.56000000000000005"/>
    <n v="4.9000000000000004"/>
    <n v="10"/>
    <s v="Normal"/>
    <s v="VALID"/>
    <n v="5.6000000000000008E-2"/>
    <s v="Low"/>
    <n v="10.89"/>
    <s v="Low"/>
  </r>
  <r>
    <n v="500"/>
    <n v="15.27"/>
    <x v="2"/>
    <x v="1"/>
    <n v="150"/>
    <n v="43.7"/>
    <n v="19.41"/>
    <n v="8.01"/>
    <n v="52.46"/>
    <n v="25"/>
    <s v="Critical"/>
    <s v="VALID"/>
    <n v="0.32040000000000002"/>
    <s v="Medium"/>
    <n v="35.935000000000002"/>
    <s v="Medium"/>
  </r>
  <r>
    <n v="100"/>
    <n v="5.45"/>
    <x v="4"/>
    <x v="1"/>
    <n v="600"/>
    <n v="12.4"/>
    <n v="14.13"/>
    <n v="8.86"/>
    <n v="162.57"/>
    <n v="11"/>
    <s v="Critical"/>
    <s v="INVALID"/>
    <m/>
    <m/>
    <m/>
    <m/>
  </r>
  <r>
    <n v="100"/>
    <n v="5.78"/>
    <x v="0"/>
    <x v="4"/>
    <n v="900"/>
    <n v="49.4"/>
    <n v="13.28"/>
    <n v="7.0000000000000007E-2"/>
    <n v="1.21"/>
    <n v="14"/>
    <s v="Normal"/>
    <s v="VALID"/>
    <n v="5.0000000000000001E-3"/>
    <s v="Low"/>
    <n v="7.2449999999999992"/>
    <s v="Low"/>
  </r>
  <r>
    <n v="150"/>
    <n v="7.52"/>
    <x v="4"/>
    <x v="4"/>
    <n v="600"/>
    <n v="3.9"/>
    <n v="6.91"/>
    <n v="3.12"/>
    <n v="41.49"/>
    <n v="16"/>
    <s v="Moderate"/>
    <s v="VALID"/>
    <n v="0.19500000000000001"/>
    <s v="Low"/>
    <n v="24.200000000000003"/>
    <s v="Low"/>
  </r>
  <r>
    <n v="50"/>
    <n v="4.7300000000000004"/>
    <x v="2"/>
    <x v="1"/>
    <n v="150"/>
    <n v="-26.1"/>
    <n v="6.97"/>
    <n v="1.24"/>
    <n v="26.22"/>
    <n v="11"/>
    <s v="Normal"/>
    <s v="VALID"/>
    <n v="0.11272727272727273"/>
    <s v="Low"/>
    <n v="16.594999999999999"/>
    <s v="Low"/>
  </r>
  <r>
    <n v="150"/>
    <n v="9.06"/>
    <x v="1"/>
    <x v="2"/>
    <n v="300"/>
    <n v="41.6"/>
    <n v="8.06"/>
    <n v="5.92"/>
    <n v="65.34"/>
    <n v="23"/>
    <s v="Critical"/>
    <s v="VALID"/>
    <n v="0.25739130434782609"/>
    <s v="Low"/>
    <n v="36.700000000000003"/>
    <s v="Medium"/>
  </r>
  <r>
    <n v="250"/>
    <n v="11.12"/>
    <x v="1"/>
    <x v="2"/>
    <n v="150"/>
    <n v="50.1"/>
    <n v="10.85"/>
    <n v="0.34"/>
    <n v="3.06"/>
    <n v="21"/>
    <s v="Normal"/>
    <s v="VALID"/>
    <n v="1.6190476190476193E-2"/>
    <s v="Low"/>
    <n v="6.9550000000000001"/>
    <s v="Low"/>
  </r>
  <r>
    <n v="200"/>
    <n v="7.76"/>
    <x v="1"/>
    <x v="1"/>
    <n v="600"/>
    <n v="73.900000000000006"/>
    <n v="6.25"/>
    <n v="0.82"/>
    <n v="10.57"/>
    <n v="10"/>
    <s v="Normal"/>
    <s v="VALID"/>
    <n v="8.199999999999999E-2"/>
    <s v="Low"/>
    <n v="8.41"/>
    <s v="Low"/>
  </r>
  <r>
    <n v="1000"/>
    <n v="28.91"/>
    <x v="3"/>
    <x v="2"/>
    <n v="600"/>
    <n v="69.599999999999994"/>
    <n v="16.07"/>
    <n v="6.87"/>
    <n v="23.76"/>
    <n v="22"/>
    <s v="Critical"/>
    <s v="VALID"/>
    <n v="0.31227272727272726"/>
    <s v="Low"/>
    <n v="19.914999999999999"/>
    <s v="Low"/>
  </r>
  <r>
    <n v="200"/>
    <n v="11.71"/>
    <x v="4"/>
    <x v="1"/>
    <n v="300"/>
    <n v="104.8"/>
    <n v="0.59"/>
    <n v="8.2899999999999991"/>
    <n v="70.790000000000006"/>
    <n v="21"/>
    <s v="Critical"/>
    <s v="VALID"/>
    <n v="0.3947619047619047"/>
    <s v="Low"/>
    <n v="35.690000000000005"/>
    <s v="Medium"/>
  </r>
  <r>
    <n v="150"/>
    <n v="9.6199999999999992"/>
    <x v="3"/>
    <x v="1"/>
    <n v="150"/>
    <n v="126"/>
    <n v="8.4700000000000006"/>
    <n v="3.19"/>
    <n v="33.159999999999997"/>
    <n v="10"/>
    <s v="Moderate"/>
    <s v="VALID"/>
    <n v="0.31900000000000001"/>
    <s v="Low"/>
    <n v="20.814999999999998"/>
    <s v="Low"/>
  </r>
  <r>
    <n v="150"/>
    <n v="5.71"/>
    <x v="2"/>
    <x v="0"/>
    <n v="600"/>
    <n v="50.1"/>
    <n v="2.81"/>
    <n v="5.52"/>
    <n v="96.67"/>
    <n v="16"/>
    <s v="Critical"/>
    <s v="VALID"/>
    <n v="0.34499999999999997"/>
    <s v="Low"/>
    <n v="49.74"/>
    <s v="Medium"/>
  </r>
  <r>
    <n v="250"/>
    <n v="8.98"/>
    <x v="2"/>
    <x v="3"/>
    <n v="2500"/>
    <n v="3"/>
    <n v="15.03"/>
    <n v="2.72"/>
    <n v="30.29"/>
    <n v="25"/>
    <s v="Moderate"/>
    <s v="VALID"/>
    <n v="0.10880000000000001"/>
    <s v="Low"/>
    <n v="22.66"/>
    <s v="Low"/>
  </r>
  <r>
    <n v="200"/>
    <n v="9.26"/>
    <x v="2"/>
    <x v="0"/>
    <n v="300"/>
    <n v="95.9"/>
    <n v="15.17"/>
    <n v="0.39"/>
    <n v="4.21"/>
    <n v="11"/>
    <s v="Normal"/>
    <s v="VALID"/>
    <n v="3.5454545454545454E-2"/>
    <s v="Medium"/>
    <n v="9.69"/>
    <s v="Low"/>
  </r>
  <r>
    <n v="50"/>
    <n v="4.88"/>
    <x v="0"/>
    <x v="3"/>
    <n v="600"/>
    <n v="23.9"/>
    <n v="12.19"/>
    <n v="1.94"/>
    <n v="39.75"/>
    <n v="2"/>
    <s v="Normal"/>
    <s v="VALID"/>
    <n v="0.97"/>
    <s v="Low"/>
    <n v="25.97"/>
    <s v="Low"/>
  </r>
  <r>
    <n v="800"/>
    <n v="26.68"/>
    <x v="4"/>
    <x v="1"/>
    <n v="150"/>
    <n v="77.3"/>
    <n v="1.72"/>
    <n v="1.7"/>
    <n v="6.37"/>
    <n v="2"/>
    <s v="Normal"/>
    <s v="VALID"/>
    <n v="0.85"/>
    <s v="Low"/>
    <n v="4.0449999999999999"/>
    <s v="Low"/>
  </r>
  <r>
    <n v="800"/>
    <n v="28.91"/>
    <x v="2"/>
    <x v="2"/>
    <n v="2500"/>
    <n v="113.9"/>
    <n v="7.13"/>
    <n v="6.97"/>
    <n v="24.11"/>
    <n v="11"/>
    <s v="Critical"/>
    <s v="VALID"/>
    <n v="0.63363636363636366"/>
    <s v="Low"/>
    <n v="15.62"/>
    <s v="Low"/>
  </r>
  <r>
    <n v="1200"/>
    <n v="19.059999999999999"/>
    <x v="0"/>
    <x v="0"/>
    <n v="600"/>
    <n v="10"/>
    <n v="18.3"/>
    <n v="0.64"/>
    <n v="3.36"/>
    <n v="24"/>
    <s v="Normal"/>
    <s v="VALID"/>
    <n v="2.6666666666666668E-2"/>
    <s v="Medium"/>
    <n v="10.83"/>
    <s v="Low"/>
  </r>
  <r>
    <n v="600"/>
    <n v="17.16"/>
    <x v="2"/>
    <x v="2"/>
    <n v="150"/>
    <n v="47"/>
    <n v="4.92"/>
    <n v="7.12"/>
    <n v="41.49"/>
    <n v="2"/>
    <s v="Critical"/>
    <s v="VALID"/>
    <n v="3.56"/>
    <s v="Low"/>
    <n v="23.205000000000002"/>
    <s v="Low"/>
  </r>
  <r>
    <n v="150"/>
    <n v="5.41"/>
    <x v="3"/>
    <x v="0"/>
    <n v="1500"/>
    <n v="44.1"/>
    <n v="9.25"/>
    <n v="8.4"/>
    <n v="155.27000000000001"/>
    <n v="8"/>
    <s v="Critical"/>
    <s v="INVALID"/>
    <m/>
    <m/>
    <m/>
    <m/>
  </r>
  <r>
    <n v="300"/>
    <n v="17.739999999999998"/>
    <x v="2"/>
    <x v="3"/>
    <n v="2500"/>
    <n v="28.4"/>
    <n v="1.77"/>
    <n v="0.85"/>
    <n v="4.79"/>
    <n v="15"/>
    <s v="Normal"/>
    <s v="VALID"/>
    <n v="5.6666666666666664E-2"/>
    <s v="Medium"/>
    <n v="3.2800000000000002"/>
    <s v="Low"/>
  </r>
  <r>
    <n v="1200"/>
    <n v="35.19"/>
    <x v="2"/>
    <x v="0"/>
    <n v="600"/>
    <n v="45.8"/>
    <n v="7.81"/>
    <n v="3.15"/>
    <n v="8.9499999999999993"/>
    <n v="22"/>
    <s v="Moderate"/>
    <s v="VALID"/>
    <n v="0.14318181818181819"/>
    <s v="Medium"/>
    <n v="8.379999999999999"/>
    <s v="Low"/>
  </r>
  <r>
    <n v="300"/>
    <n v="13.22"/>
    <x v="0"/>
    <x v="4"/>
    <n v="300"/>
    <n v="-25"/>
    <n v="17.489999999999998"/>
    <n v="1.06"/>
    <n v="8.02"/>
    <n v="12"/>
    <s v="Normal"/>
    <s v="VALID"/>
    <n v="8.8333333333333333E-2"/>
    <s v="Low"/>
    <n v="12.754999999999999"/>
    <s v="Low"/>
  </r>
  <r>
    <n v="1500"/>
    <n v="42.02"/>
    <x v="1"/>
    <x v="2"/>
    <n v="900"/>
    <n v="21.2"/>
    <n v="9.66"/>
    <n v="7.87"/>
    <n v="18.73"/>
    <n v="10"/>
    <s v="Critical"/>
    <s v="VALID"/>
    <n v="0.78700000000000003"/>
    <s v="Low"/>
    <n v="14.195"/>
    <s v="Low"/>
  </r>
  <r>
    <n v="250"/>
    <n v="12.72"/>
    <x v="2"/>
    <x v="0"/>
    <n v="150"/>
    <n v="49"/>
    <n v="8.1199999999999992"/>
    <n v="2.68"/>
    <n v="21.07"/>
    <n v="13"/>
    <s v="Moderate"/>
    <s v="VALID"/>
    <n v="0.20615384615384616"/>
    <s v="Low"/>
    <n v="14.594999999999999"/>
    <s v="Low"/>
  </r>
  <r>
    <n v="500"/>
    <n v="21.07"/>
    <x v="2"/>
    <x v="0"/>
    <n v="600"/>
    <n v="83.4"/>
    <n v="9.5399999999999991"/>
    <n v="1.1599999999999999"/>
    <n v="5.51"/>
    <n v="1"/>
    <s v="Normal"/>
    <s v="VALID"/>
    <n v="1.1599999999999999"/>
    <s v="Low"/>
    <n v="7.5249999999999995"/>
    <s v="Low"/>
  </r>
  <r>
    <n v="100"/>
    <n v="4.5199999999999996"/>
    <x v="4"/>
    <x v="3"/>
    <n v="300"/>
    <n v="-25.5"/>
    <n v="0.61"/>
    <n v="7.73"/>
    <n v="171.02"/>
    <n v="21"/>
    <s v="Critical"/>
    <s v="INVALID"/>
    <m/>
    <m/>
    <m/>
    <m/>
  </r>
  <r>
    <n v="600"/>
    <n v="12.67"/>
    <x v="0"/>
    <x v="2"/>
    <n v="600"/>
    <n v="60"/>
    <n v="0.91"/>
    <n v="8.3000000000000007"/>
    <n v="65.510000000000005"/>
    <n v="20"/>
    <s v="Critical"/>
    <s v="VALID"/>
    <n v="0.41500000000000004"/>
    <s v="Low"/>
    <n v="33.21"/>
    <s v="Medium"/>
  </r>
  <r>
    <n v="400"/>
    <n v="15.28"/>
    <x v="0"/>
    <x v="2"/>
    <n v="600"/>
    <n v="13.1"/>
    <n v="4.66"/>
    <n v="0.1"/>
    <n v="0.65"/>
    <n v="22"/>
    <s v="Normal"/>
    <s v="VALID"/>
    <n v="4.5454545454545461E-3"/>
    <s v="Low"/>
    <n v="2.6550000000000002"/>
    <s v="Low"/>
  </r>
  <r>
    <n v="1000"/>
    <n v="26.76"/>
    <x v="3"/>
    <x v="3"/>
    <n v="2500"/>
    <n v="44.5"/>
    <n v="19.02"/>
    <n v="3.99"/>
    <n v="14.91"/>
    <n v="2"/>
    <s v="Moderate"/>
    <s v="VALID"/>
    <n v="1.9950000000000001"/>
    <s v="Low"/>
    <n v="16.965"/>
    <s v="Low"/>
  </r>
  <r>
    <n v="1200"/>
    <n v="31.17"/>
    <x v="0"/>
    <x v="0"/>
    <n v="150"/>
    <n v="6.4"/>
    <n v="17.64"/>
    <n v="0.37"/>
    <n v="1.19"/>
    <n v="10"/>
    <s v="Normal"/>
    <s v="VALID"/>
    <n v="3.6999999999999998E-2"/>
    <s v="Medium"/>
    <n v="9.4150000000000009"/>
    <s v="Low"/>
  </r>
  <r>
    <n v="250"/>
    <n v="8.39"/>
    <x v="2"/>
    <x v="3"/>
    <n v="900"/>
    <n v="-18"/>
    <n v="19.43"/>
    <n v="4.67"/>
    <n v="55.66"/>
    <n v="14"/>
    <s v="Moderate"/>
    <s v="VALID"/>
    <n v="0.33357142857142857"/>
    <s v="Low"/>
    <n v="37.545000000000002"/>
    <s v="Medium"/>
  </r>
  <r>
    <n v="1200"/>
    <n v="27.97"/>
    <x v="4"/>
    <x v="1"/>
    <n v="150"/>
    <n v="22.8"/>
    <n v="8.2799999999999994"/>
    <n v="5.33"/>
    <n v="19.059999999999999"/>
    <n v="18"/>
    <s v="Critical"/>
    <s v="VALID"/>
    <n v="0.2961111111111111"/>
    <s v="Low"/>
    <n v="13.669999999999998"/>
    <s v="Low"/>
  </r>
  <r>
    <n v="300"/>
    <n v="14.98"/>
    <x v="1"/>
    <x v="4"/>
    <n v="150"/>
    <n v="-36.299999999999997"/>
    <n v="8.76"/>
    <n v="9.4499999999999993"/>
    <n v="63.08"/>
    <n v="13"/>
    <s v="Critical"/>
    <s v="VALID"/>
    <n v="0.72692307692307689"/>
    <s v="Low"/>
    <n v="35.92"/>
    <s v="Medium"/>
  </r>
  <r>
    <n v="1000"/>
    <n v="19.34"/>
    <x v="1"/>
    <x v="1"/>
    <n v="300"/>
    <n v="33.5"/>
    <n v="5.84"/>
    <n v="8.8699999999999992"/>
    <n v="45.86"/>
    <n v="23"/>
    <s v="Critical"/>
    <s v="VALID"/>
    <n v="0.38565217391304346"/>
    <s v="Low"/>
    <n v="25.85"/>
    <s v="Low"/>
  </r>
  <r>
    <n v="500"/>
    <n v="21.07"/>
    <x v="4"/>
    <x v="0"/>
    <n v="900"/>
    <n v="121.1"/>
    <n v="19.73"/>
    <n v="6.19"/>
    <n v="29.38"/>
    <n v="9"/>
    <s v="Critical"/>
    <s v="VALID"/>
    <n v="0.68777777777777782"/>
    <s v="Low"/>
    <n v="24.555"/>
    <s v="Low"/>
  </r>
  <r>
    <n v="400"/>
    <n v="17.350000000000001"/>
    <x v="0"/>
    <x v="0"/>
    <n v="900"/>
    <n v="9.6"/>
    <n v="13.27"/>
    <n v="7.76"/>
    <n v="44.73"/>
    <n v="20"/>
    <s v="Critical"/>
    <s v="VALID"/>
    <n v="0.38800000000000001"/>
    <s v="Low"/>
    <n v="29"/>
    <s v="Low"/>
  </r>
  <r>
    <n v="1500"/>
    <n v="32.520000000000003"/>
    <x v="4"/>
    <x v="3"/>
    <n v="300"/>
    <n v="50.3"/>
    <n v="16.559999999999999"/>
    <n v="1.61"/>
    <n v="4.95"/>
    <n v="4"/>
    <s v="Normal"/>
    <s v="VALID"/>
    <n v="0.40250000000000002"/>
    <s v="Low"/>
    <n v="10.754999999999999"/>
    <s v="Low"/>
  </r>
  <r>
    <n v="150"/>
    <n v="5.67"/>
    <x v="4"/>
    <x v="2"/>
    <n v="300"/>
    <n v="21.1"/>
    <n v="14.81"/>
    <n v="2.16"/>
    <n v="38.1"/>
    <n v="2"/>
    <s v="Moderate"/>
    <s v="VALID"/>
    <n v="1.08"/>
    <s v="Low"/>
    <n v="26.455000000000002"/>
    <s v="Low"/>
  </r>
  <r>
    <n v="50"/>
    <n v="5.84"/>
    <x v="1"/>
    <x v="0"/>
    <n v="1500"/>
    <n v="63.9"/>
    <n v="19.37"/>
    <n v="4.08"/>
    <n v="69.86"/>
    <n v="18"/>
    <s v="Moderate"/>
    <s v="VALID"/>
    <n v="0.22666666666666668"/>
    <s v="Low"/>
    <n v="44.615000000000002"/>
    <s v="Medium"/>
  </r>
  <r>
    <n v="250"/>
    <n v="7.48"/>
    <x v="4"/>
    <x v="0"/>
    <n v="2500"/>
    <n v="22.4"/>
    <n v="16.239999999999998"/>
    <n v="1.07"/>
    <n v="14.3"/>
    <n v="8"/>
    <s v="Normal"/>
    <s v="VALID"/>
    <n v="0.13375000000000001"/>
    <s v="Medium"/>
    <n v="15.27"/>
    <s v="Low"/>
  </r>
  <r>
    <n v="50"/>
    <n v="5.0999999999999996"/>
    <x v="0"/>
    <x v="3"/>
    <n v="1500"/>
    <n v="123.1"/>
    <n v="16.93"/>
    <n v="5.24"/>
    <n v="102.75"/>
    <n v="21"/>
    <s v="Critical"/>
    <s v="INVALID"/>
    <m/>
    <m/>
    <m/>
    <m/>
  </r>
  <r>
    <n v="600"/>
    <n v="26.1"/>
    <x v="0"/>
    <x v="0"/>
    <n v="900"/>
    <n v="-34"/>
    <n v="7.16"/>
    <n v="7"/>
    <n v="26.82"/>
    <n v="3"/>
    <s v="Critical"/>
    <s v="VALID"/>
    <n v="2.3333333333333335"/>
    <s v="Medium"/>
    <n v="16.990000000000002"/>
    <s v="Low"/>
  </r>
  <r>
    <n v="800"/>
    <n v="17.68"/>
    <x v="0"/>
    <x v="2"/>
    <n v="600"/>
    <n v="-8.1"/>
    <n v="11.35"/>
    <n v="9.76"/>
    <n v="55.2"/>
    <n v="15"/>
    <s v="Critical"/>
    <s v="VALID"/>
    <n v="0.65066666666666662"/>
    <s v="Low"/>
    <n v="33.274999999999999"/>
    <s v="Medium"/>
  </r>
  <r>
    <n v="150"/>
    <n v="8.14"/>
    <x v="2"/>
    <x v="3"/>
    <n v="600"/>
    <n v="80.5"/>
    <n v="0.6"/>
    <n v="3.07"/>
    <n v="37.71"/>
    <n v="20"/>
    <s v="Moderate"/>
    <s v="VALID"/>
    <n v="0.1535"/>
    <s v="Low"/>
    <n v="19.155000000000001"/>
    <s v="Low"/>
  </r>
  <r>
    <n v="300"/>
    <n v="8.61"/>
    <x v="4"/>
    <x v="1"/>
    <n v="600"/>
    <n v="89.5"/>
    <n v="6.63"/>
    <n v="0.01"/>
    <n v="0.12"/>
    <n v="21"/>
    <s v="Normal"/>
    <s v="VALID"/>
    <n v="4.7619047619047619E-4"/>
    <s v="Low"/>
    <n v="3.375"/>
    <s v="Low"/>
  </r>
  <r>
    <n v="1200"/>
    <n v="29.77"/>
    <x v="0"/>
    <x v="3"/>
    <n v="150"/>
    <n v="124.8"/>
    <n v="6.59"/>
    <n v="7.7"/>
    <n v="25.86"/>
    <n v="17"/>
    <s v="Critical"/>
    <s v="VALID"/>
    <n v="0.45294117647058824"/>
    <s v="Low"/>
    <n v="16.225000000000001"/>
    <s v="Low"/>
  </r>
  <r>
    <n v="1500"/>
    <n v="33.67"/>
    <x v="0"/>
    <x v="4"/>
    <n v="900"/>
    <n v="63"/>
    <n v="18.34"/>
    <n v="3.72"/>
    <n v="11.05"/>
    <n v="8"/>
    <s v="Moderate"/>
    <s v="VALID"/>
    <n v="0.46500000000000002"/>
    <s v="Low"/>
    <n v="14.695"/>
    <s v="Low"/>
  </r>
  <r>
    <n v="1200"/>
    <n v="34.1"/>
    <x v="1"/>
    <x v="4"/>
    <n v="150"/>
    <n v="75.2"/>
    <n v="13.57"/>
    <n v="0.53"/>
    <n v="1.55"/>
    <n v="10"/>
    <s v="Normal"/>
    <s v="VALID"/>
    <n v="5.3000000000000005E-2"/>
    <s v="Low"/>
    <n v="7.5600000000000005"/>
    <s v="Low"/>
  </r>
  <r>
    <n v="250"/>
    <n v="14.04"/>
    <x v="0"/>
    <x v="1"/>
    <n v="900"/>
    <n v="14.2"/>
    <n v="18.329999999999998"/>
    <n v="5"/>
    <n v="35.61"/>
    <n v="5"/>
    <s v="Moderate"/>
    <s v="VALID"/>
    <n v="1"/>
    <s v="Low"/>
    <n v="26.97"/>
    <s v="Low"/>
  </r>
  <r>
    <n v="500"/>
    <n v="11.64"/>
    <x v="1"/>
    <x v="1"/>
    <n v="300"/>
    <n v="25"/>
    <n v="10.3"/>
    <n v="7.78"/>
    <n v="66.84"/>
    <n v="24"/>
    <s v="Critical"/>
    <s v="VALID"/>
    <n v="0.32416666666666666"/>
    <s v="Low"/>
    <n v="38.57"/>
    <s v="Medium"/>
  </r>
  <r>
    <n v="150"/>
    <n v="7.88"/>
    <x v="4"/>
    <x v="4"/>
    <n v="600"/>
    <n v="25.2"/>
    <n v="2.58"/>
    <n v="1.79"/>
    <n v="22.72"/>
    <n v="2"/>
    <s v="Normal"/>
    <s v="VALID"/>
    <n v="0.89500000000000002"/>
    <s v="Low"/>
    <n v="12.649999999999999"/>
    <s v="Low"/>
  </r>
  <r>
    <n v="600"/>
    <n v="15.66"/>
    <x v="4"/>
    <x v="0"/>
    <n v="900"/>
    <n v="37.799999999999997"/>
    <n v="6.92"/>
    <n v="0.44"/>
    <n v="2.81"/>
    <n v="5"/>
    <s v="Normal"/>
    <s v="VALID"/>
    <n v="8.7999999999999995E-2"/>
    <s v="Low"/>
    <n v="4.8650000000000002"/>
    <s v="Low"/>
  </r>
  <r>
    <n v="400"/>
    <n v="18.59"/>
    <x v="2"/>
    <x v="2"/>
    <n v="150"/>
    <n v="45.5"/>
    <n v="7.49"/>
    <n v="8.65"/>
    <n v="46.53"/>
    <n v="11"/>
    <s v="Critical"/>
    <s v="VALID"/>
    <n v="0.78636363636363638"/>
    <s v="Low"/>
    <n v="27.01"/>
    <s v="Low"/>
  </r>
  <r>
    <n v="300"/>
    <n v="13.55"/>
    <x v="2"/>
    <x v="3"/>
    <n v="1500"/>
    <n v="29"/>
    <n v="7.94"/>
    <n v="4.79"/>
    <n v="35.35"/>
    <n v="7"/>
    <s v="Moderate"/>
    <s v="VALID"/>
    <n v="0.68428571428571427"/>
    <s v="Low"/>
    <n v="21.645"/>
    <s v="Low"/>
  </r>
  <r>
    <n v="250"/>
    <n v="9.01"/>
    <x v="2"/>
    <x v="4"/>
    <n v="1500"/>
    <n v="8.1"/>
    <n v="14.67"/>
    <n v="7.8"/>
    <n v="86.57"/>
    <n v="16"/>
    <s v="Critical"/>
    <s v="VALID"/>
    <n v="0.48749999999999999"/>
    <s v="Medium"/>
    <n v="50.62"/>
    <s v="Medium"/>
  </r>
  <r>
    <n v="400"/>
    <n v="12.1"/>
    <x v="2"/>
    <x v="2"/>
    <n v="2500"/>
    <n v="51.2"/>
    <n v="3.4"/>
    <n v="4.5199999999999996"/>
    <n v="37.36"/>
    <n v="16"/>
    <s v="Moderate"/>
    <s v="VALID"/>
    <n v="0.28249999999999997"/>
    <s v="Medium"/>
    <n v="20.38"/>
    <s v="Low"/>
  </r>
  <r>
    <n v="600"/>
    <n v="22.48"/>
    <x v="3"/>
    <x v="0"/>
    <n v="600"/>
    <n v="73.3"/>
    <n v="14.86"/>
    <n v="5.51"/>
    <n v="24.51"/>
    <n v="12"/>
    <s v="Critical"/>
    <s v="VALID"/>
    <n v="0.45916666666666667"/>
    <s v="Medium"/>
    <n v="19.685000000000002"/>
    <s v="Low"/>
  </r>
  <r>
    <n v="300"/>
    <n v="10.32"/>
    <x v="0"/>
    <x v="1"/>
    <n v="150"/>
    <n v="10"/>
    <n v="13.16"/>
    <n v="5.12"/>
    <n v="49.61"/>
    <n v="19"/>
    <s v="Critical"/>
    <s v="VALID"/>
    <n v="0.26947368421052631"/>
    <s v="Low"/>
    <n v="31.384999999999998"/>
    <s v="Medium"/>
  </r>
  <r>
    <n v="500"/>
    <n v="14.46"/>
    <x v="1"/>
    <x v="1"/>
    <n v="600"/>
    <n v="-15.3"/>
    <n v="15.12"/>
    <n v="2.94"/>
    <n v="20.329999999999998"/>
    <n v="23"/>
    <s v="Moderate"/>
    <s v="VALID"/>
    <n v="0.12782608695652173"/>
    <s v="Low"/>
    <n v="17.724999999999998"/>
    <s v="Low"/>
  </r>
  <r>
    <n v="1200"/>
    <n v="21.53"/>
    <x v="2"/>
    <x v="2"/>
    <n v="900"/>
    <n v="17.2"/>
    <n v="19.61"/>
    <n v="6.89"/>
    <n v="32"/>
    <n v="24"/>
    <s v="Critical"/>
    <s v="VALID"/>
    <n v="0.2870833333333333"/>
    <s v="Low"/>
    <n v="25.805"/>
    <s v="Low"/>
  </r>
  <r>
    <n v="100"/>
    <n v="4.0999999999999996"/>
    <x v="2"/>
    <x v="1"/>
    <n v="900"/>
    <n v="-36.6"/>
    <n v="9.98"/>
    <n v="5.68"/>
    <n v="138.54"/>
    <n v="19"/>
    <s v="Critical"/>
    <s v="INVALID"/>
    <m/>
    <m/>
    <m/>
    <m/>
  </r>
  <r>
    <n v="1500"/>
    <n v="40.479999999999997"/>
    <x v="1"/>
    <x v="4"/>
    <n v="1500"/>
    <n v="98.3"/>
    <n v="9.9499999999999993"/>
    <n v="4.6100000000000003"/>
    <n v="11.39"/>
    <n v="18"/>
    <s v="Moderate"/>
    <s v="VALID"/>
    <n v="0.25611111111111112"/>
    <s v="Low"/>
    <n v="10.67"/>
    <s v="Low"/>
  </r>
  <r>
    <n v="150"/>
    <n v="6.56"/>
    <x v="4"/>
    <x v="0"/>
    <n v="150"/>
    <n v="76.900000000000006"/>
    <n v="9.65"/>
    <n v="6.62"/>
    <n v="100.91"/>
    <n v="18"/>
    <s v="Critical"/>
    <s v="INVALID"/>
    <m/>
    <m/>
    <m/>
    <m/>
  </r>
  <r>
    <n v="1200"/>
    <n v="33.44"/>
    <x v="3"/>
    <x v="4"/>
    <n v="300"/>
    <n v="69.900000000000006"/>
    <n v="8.39"/>
    <n v="7.09"/>
    <n v="21.2"/>
    <n v="5"/>
    <s v="Critical"/>
    <s v="VALID"/>
    <n v="1.4179999999999999"/>
    <s v="Low"/>
    <n v="14.795"/>
    <s v="Low"/>
  </r>
  <r>
    <n v="250"/>
    <n v="14.39"/>
    <x v="4"/>
    <x v="2"/>
    <n v="1500"/>
    <n v="53.2"/>
    <n v="17.670000000000002"/>
    <n v="9.08"/>
    <n v="63.1"/>
    <n v="10"/>
    <s v="Critical"/>
    <s v="VALID"/>
    <n v="0.90800000000000003"/>
    <s v="Low"/>
    <n v="40.385000000000005"/>
    <s v="Medium"/>
  </r>
  <r>
    <n v="800"/>
    <n v="19.010000000000002"/>
    <x v="4"/>
    <x v="1"/>
    <n v="150"/>
    <n v="67.599999999999994"/>
    <n v="16.13"/>
    <n v="7.98"/>
    <n v="41.98"/>
    <n v="5"/>
    <s v="Critical"/>
    <s v="VALID"/>
    <n v="1.5960000000000001"/>
    <s v="Medium"/>
    <n v="29.055"/>
    <s v="Low"/>
  </r>
  <r>
    <n v="400"/>
    <n v="15.24"/>
    <x v="0"/>
    <x v="2"/>
    <n v="150"/>
    <n v="38.5"/>
    <n v="7.57"/>
    <n v="1.6"/>
    <n v="10.5"/>
    <n v="13"/>
    <s v="Normal"/>
    <s v="VALID"/>
    <n v="0.12307692307692308"/>
    <s v="Low"/>
    <n v="9.0350000000000001"/>
    <s v="Low"/>
  </r>
  <r>
    <n v="50"/>
    <n v="3.27"/>
    <x v="4"/>
    <x v="3"/>
    <n v="300"/>
    <n v="41"/>
    <n v="0.64"/>
    <n v="3.03"/>
    <n v="92.66"/>
    <n v="9"/>
    <s v="Moderate"/>
    <s v="VALID"/>
    <n v="0.33666666666666667"/>
    <s v="Low"/>
    <n v="46.65"/>
    <s v="Medium"/>
  </r>
  <r>
    <n v="300"/>
    <n v="7.91"/>
    <x v="2"/>
    <x v="3"/>
    <n v="1500"/>
    <n v="20.7"/>
    <n v="10.81"/>
    <n v="2.29"/>
    <n v="28.95"/>
    <n v="12"/>
    <s v="Moderate"/>
    <s v="VALID"/>
    <n v="0.19083333333333333"/>
    <s v="Low"/>
    <n v="19.88"/>
    <s v="Low"/>
  </r>
  <r>
    <n v="400"/>
    <n v="19.86"/>
    <x v="0"/>
    <x v="0"/>
    <n v="2500"/>
    <n v="43.1"/>
    <n v="2.27"/>
    <n v="2.1800000000000002"/>
    <n v="10.98"/>
    <n v="1"/>
    <s v="Moderate"/>
    <s v="VALID"/>
    <n v="2.1800000000000002"/>
    <s v="Medium"/>
    <n v="6.625"/>
    <s v="Low"/>
  </r>
  <r>
    <n v="50"/>
    <n v="4.4400000000000004"/>
    <x v="0"/>
    <x v="4"/>
    <n v="900"/>
    <n v="79.400000000000006"/>
    <n v="6.13"/>
    <n v="6.24"/>
    <n v="140.54"/>
    <n v="24"/>
    <s v="Critical"/>
    <s v="INVALID"/>
    <m/>
    <m/>
    <m/>
    <m/>
  </r>
  <r>
    <n v="800"/>
    <n v="19.04"/>
    <x v="1"/>
    <x v="4"/>
    <n v="150"/>
    <n v="111"/>
    <n v="0.01"/>
    <n v="5.01"/>
    <n v="26.31"/>
    <n v="6"/>
    <s v="Critical"/>
    <s v="VALID"/>
    <n v="0.83499999999999996"/>
    <s v="Low"/>
    <n v="13.16"/>
    <s v="Low"/>
  </r>
  <r>
    <n v="250"/>
    <n v="9.98"/>
    <x v="2"/>
    <x v="2"/>
    <n v="900"/>
    <n v="53.2"/>
    <n v="3.57"/>
    <n v="3.4"/>
    <n v="34.07"/>
    <n v="11"/>
    <s v="Moderate"/>
    <s v="VALID"/>
    <n v="0.30909090909090908"/>
    <s v="Low"/>
    <n v="18.82"/>
    <s v="Low"/>
  </r>
  <r>
    <n v="100"/>
    <n v="4.34"/>
    <x v="3"/>
    <x v="0"/>
    <n v="1500"/>
    <n v="22.6"/>
    <n v="7.12"/>
    <n v="1.62"/>
    <n v="37.33"/>
    <n v="3"/>
    <s v="Normal"/>
    <s v="VALID"/>
    <n v="0.54"/>
    <s v="Low"/>
    <n v="22.224999999999998"/>
    <s v="Low"/>
  </r>
  <r>
    <n v="150"/>
    <n v="9.3800000000000008"/>
    <x v="4"/>
    <x v="2"/>
    <n v="1500"/>
    <n v="29.5"/>
    <n v="10.11"/>
    <n v="2.41"/>
    <n v="25.69"/>
    <n v="1"/>
    <s v="Moderate"/>
    <s v="VALID"/>
    <n v="2.41"/>
    <s v="Medium"/>
    <n v="17.899999999999999"/>
    <s v="Low"/>
  </r>
  <r>
    <n v="400"/>
    <n v="15.39"/>
    <x v="3"/>
    <x v="0"/>
    <n v="150"/>
    <n v="119.6"/>
    <n v="16.37"/>
    <n v="8"/>
    <n v="51.98"/>
    <n v="14"/>
    <s v="Critical"/>
    <s v="VALID"/>
    <n v="0.5714285714285714"/>
    <s v="Medium"/>
    <n v="34.174999999999997"/>
    <s v="Medium"/>
  </r>
  <r>
    <n v="1500"/>
    <n v="37.590000000000003"/>
    <x v="4"/>
    <x v="3"/>
    <n v="900"/>
    <n v="69.7"/>
    <n v="11.87"/>
    <n v="1.39"/>
    <n v="3.7"/>
    <n v="7"/>
    <s v="Normal"/>
    <s v="VALID"/>
    <n v="0.19857142857142857"/>
    <s v="Low"/>
    <n v="7.7850000000000001"/>
    <s v="Low"/>
  </r>
  <r>
    <n v="1500"/>
    <n v="30.85"/>
    <x v="0"/>
    <x v="1"/>
    <n v="900"/>
    <n v="18.5"/>
    <n v="12.39"/>
    <n v="8.3699999999999992"/>
    <n v="27.13"/>
    <n v="24"/>
    <s v="Critical"/>
    <s v="VALID"/>
    <n v="0.34874999999999995"/>
    <s v="Low"/>
    <n v="19.759999999999998"/>
    <s v="Low"/>
  </r>
  <r>
    <n v="1200"/>
    <n v="36.08"/>
    <x v="0"/>
    <x v="2"/>
    <n v="1500"/>
    <n v="17.7"/>
    <n v="10.34"/>
    <n v="4.6100000000000003"/>
    <n v="12.78"/>
    <n v="14"/>
    <s v="Moderate"/>
    <s v="VALID"/>
    <n v="0.32928571428571429"/>
    <s v="Low"/>
    <n v="11.559999999999999"/>
    <s v="Low"/>
  </r>
  <r>
    <n v="1500"/>
    <n v="40.659999999999997"/>
    <x v="4"/>
    <x v="3"/>
    <n v="1500"/>
    <n v="90.8"/>
    <n v="8.74"/>
    <n v="0.53"/>
    <n v="1.3"/>
    <n v="17"/>
    <s v="Normal"/>
    <s v="VALID"/>
    <n v="3.1176470588235295E-2"/>
    <s v="Medium"/>
    <n v="5.0200000000000005"/>
    <s v="Low"/>
  </r>
  <r>
    <n v="200"/>
    <n v="7.73"/>
    <x v="4"/>
    <x v="0"/>
    <n v="150"/>
    <n v="51.4"/>
    <n v="17"/>
    <n v="0.49"/>
    <n v="6.34"/>
    <n v="4"/>
    <s v="Normal"/>
    <s v="VALID"/>
    <n v="0.1225"/>
    <s v="Medium"/>
    <n v="11.67"/>
    <s v="Low"/>
  </r>
  <r>
    <n v="250"/>
    <n v="10.72"/>
    <x v="2"/>
    <x v="0"/>
    <n v="900"/>
    <n v="-8.5"/>
    <n v="5.3"/>
    <n v="5.51"/>
    <n v="51.4"/>
    <n v="13"/>
    <s v="Critical"/>
    <s v="VALID"/>
    <n v="0.42384615384615382"/>
    <s v="Low"/>
    <n v="28.349999999999998"/>
    <s v="Low"/>
  </r>
  <r>
    <n v="250"/>
    <n v="9.25"/>
    <x v="1"/>
    <x v="4"/>
    <n v="150"/>
    <n v="28.1"/>
    <n v="9.1999999999999993"/>
    <n v="4.5599999999999996"/>
    <n v="49.3"/>
    <n v="18"/>
    <s v="Moderate"/>
    <s v="VALID"/>
    <n v="0.2533333333333333"/>
    <s v="Low"/>
    <n v="29.25"/>
    <s v="Low"/>
  </r>
  <r>
    <n v="50"/>
    <n v="5.61"/>
    <x v="3"/>
    <x v="0"/>
    <n v="2500"/>
    <n v="1.3"/>
    <n v="3.5"/>
    <n v="9.5299999999999994"/>
    <n v="169.88"/>
    <n v="8"/>
    <s v="Critical"/>
    <s v="INVALID"/>
    <m/>
    <m/>
    <m/>
    <m/>
  </r>
  <r>
    <n v="150"/>
    <n v="9.7100000000000009"/>
    <x v="2"/>
    <x v="4"/>
    <n v="900"/>
    <n v="11.6"/>
    <n v="3.38"/>
    <n v="2.72"/>
    <n v="28.01"/>
    <n v="24"/>
    <s v="Moderate"/>
    <s v="VALID"/>
    <n v="0.11333333333333334"/>
    <s v="Medium"/>
    <n v="15.695"/>
    <s v="Low"/>
  </r>
  <r>
    <n v="100"/>
    <n v="6.21"/>
    <x v="1"/>
    <x v="2"/>
    <n v="1500"/>
    <n v="50.5"/>
    <n v="19.940000000000001"/>
    <n v="4.78"/>
    <n v="76.97"/>
    <n v="4"/>
    <s v="Moderate"/>
    <s v="VALID"/>
    <n v="1.1950000000000001"/>
    <s v="Low"/>
    <n v="48.454999999999998"/>
    <s v="Medium"/>
  </r>
  <r>
    <n v="1500"/>
    <n v="22.39"/>
    <x v="2"/>
    <x v="2"/>
    <n v="1500"/>
    <n v="57.9"/>
    <n v="12.28"/>
    <n v="2.8"/>
    <n v="12.51"/>
    <n v="20"/>
    <s v="Moderate"/>
    <s v="VALID"/>
    <n v="0.13999999999999999"/>
    <s v="Medium"/>
    <n v="12.395"/>
    <s v="Low"/>
  </r>
  <r>
    <n v="1500"/>
    <n v="45.28"/>
    <x v="0"/>
    <x v="2"/>
    <n v="900"/>
    <n v="9.1999999999999993"/>
    <n v="17.55"/>
    <n v="1.1299999999999999"/>
    <n v="2.5"/>
    <n v="6"/>
    <s v="Normal"/>
    <s v="VALID"/>
    <n v="0.18833333333333332"/>
    <s v="Medium"/>
    <n v="10.025"/>
    <s v="Low"/>
  </r>
  <r>
    <n v="1000"/>
    <n v="22.05"/>
    <x v="4"/>
    <x v="2"/>
    <n v="1500"/>
    <n v="29.4"/>
    <n v="0.25"/>
    <n v="7.56"/>
    <n v="34.29"/>
    <n v="4"/>
    <s v="Critical"/>
    <s v="VALID"/>
    <n v="1.89"/>
    <s v="Low"/>
    <n v="17.27"/>
    <s v="Low"/>
  </r>
  <r>
    <n v="250"/>
    <n v="11.53"/>
    <x v="3"/>
    <x v="1"/>
    <n v="300"/>
    <n v="-9"/>
    <n v="9.6"/>
    <n v="1.84"/>
    <n v="15.96"/>
    <n v="22"/>
    <s v="Normal"/>
    <s v="VALID"/>
    <n v="8.3636363636363634E-2"/>
    <s v="Medium"/>
    <n v="12.780000000000001"/>
    <s v="Low"/>
  </r>
  <r>
    <n v="50"/>
    <n v="5.28"/>
    <x v="0"/>
    <x v="1"/>
    <n v="900"/>
    <n v="53.5"/>
    <n v="19.260000000000002"/>
    <n v="0.86"/>
    <n v="16.29"/>
    <n v="17"/>
    <s v="Normal"/>
    <s v="VALID"/>
    <n v="5.0588235294117649E-2"/>
    <s v="Low"/>
    <n v="17.774999999999999"/>
    <s v="Low"/>
  </r>
  <r>
    <n v="1200"/>
    <n v="30.85"/>
    <x v="4"/>
    <x v="0"/>
    <n v="2500"/>
    <n v="67.599999999999994"/>
    <n v="7.07"/>
    <n v="8.9"/>
    <n v="28.85"/>
    <n v="19"/>
    <s v="Critical"/>
    <s v="VALID"/>
    <n v="0.46842105263157896"/>
    <s v="Low"/>
    <n v="17.96"/>
    <s v="Low"/>
  </r>
  <r>
    <n v="1200"/>
    <n v="38.85"/>
    <x v="1"/>
    <x v="1"/>
    <n v="900"/>
    <n v="77.400000000000006"/>
    <n v="11.5"/>
    <n v="0.03"/>
    <n v="0.08"/>
    <n v="18"/>
    <s v="Normal"/>
    <s v="VALID"/>
    <n v="1.6666666666666666E-3"/>
    <s v="Medium"/>
    <n v="5.79"/>
    <s v="Low"/>
  </r>
  <r>
    <n v="1000"/>
    <n v="31.79"/>
    <x v="2"/>
    <x v="0"/>
    <n v="2500"/>
    <n v="19.899999999999999"/>
    <n v="7.87"/>
    <n v="8.4499999999999993"/>
    <n v="26.58"/>
    <n v="12"/>
    <s v="Critical"/>
    <s v="VALID"/>
    <n v="0.70416666666666661"/>
    <s v="Low"/>
    <n v="17.224999999999998"/>
    <s v="Low"/>
  </r>
  <r>
    <n v="100"/>
    <n v="5.28"/>
    <x v="2"/>
    <x v="2"/>
    <n v="1500"/>
    <n v="-0.5"/>
    <n v="0.88"/>
    <n v="2.37"/>
    <n v="44.89"/>
    <n v="18"/>
    <s v="Moderate"/>
    <s v="VALID"/>
    <n v="0.13166666666666668"/>
    <s v="Medium"/>
    <n v="22.885000000000002"/>
    <s v="Low"/>
  </r>
  <r>
    <n v="50"/>
    <n v="3.72"/>
    <x v="3"/>
    <x v="3"/>
    <n v="1500"/>
    <n v="89.2"/>
    <n v="7.29"/>
    <n v="2.2799999999999998"/>
    <n v="61.29"/>
    <n v="6"/>
    <s v="Moderate"/>
    <s v="VALID"/>
    <n v="0.37999999999999995"/>
    <s v="Medium"/>
    <n v="34.29"/>
    <s v="Medium"/>
  </r>
  <r>
    <n v="300"/>
    <n v="12.36"/>
    <x v="4"/>
    <x v="4"/>
    <n v="1500"/>
    <n v="10.199999999999999"/>
    <n v="1.58"/>
    <n v="2.06"/>
    <n v="16.670000000000002"/>
    <n v="4"/>
    <s v="Moderate"/>
    <s v="VALID"/>
    <n v="0.51500000000000001"/>
    <s v="Medium"/>
    <n v="9.125"/>
    <s v="Low"/>
  </r>
  <r>
    <n v="800"/>
    <n v="14.93"/>
    <x v="4"/>
    <x v="3"/>
    <n v="150"/>
    <n v="76.7"/>
    <n v="1.74"/>
    <n v="7.64"/>
    <n v="51.17"/>
    <n v="5"/>
    <s v="Critical"/>
    <s v="VALID"/>
    <n v="1.528"/>
    <s v="Medium"/>
    <n v="26.455000000000002"/>
    <s v="Low"/>
  </r>
  <r>
    <n v="250"/>
    <n v="13.81"/>
    <x v="4"/>
    <x v="0"/>
    <n v="300"/>
    <n v="-2.9"/>
    <n v="5.82"/>
    <n v="3.7"/>
    <n v="26.79"/>
    <n v="1"/>
    <s v="Moderate"/>
    <s v="VALID"/>
    <n v="3.7"/>
    <s v="Low"/>
    <n v="16.305"/>
    <s v="Low"/>
  </r>
  <r>
    <n v="150"/>
    <n v="9.06"/>
    <x v="4"/>
    <x v="3"/>
    <n v="1500"/>
    <n v="36.5"/>
    <n v="3.74"/>
    <n v="3.59"/>
    <n v="39.619999999999997"/>
    <n v="6"/>
    <s v="Moderate"/>
    <s v="VALID"/>
    <n v="0.59833333333333327"/>
    <s v="Low"/>
    <n v="21.68"/>
    <s v="Low"/>
  </r>
  <r>
    <n v="800"/>
    <n v="30.08"/>
    <x v="4"/>
    <x v="2"/>
    <n v="2500"/>
    <n v="78.400000000000006"/>
    <n v="0.68"/>
    <n v="3.95"/>
    <n v="13.13"/>
    <n v="7"/>
    <s v="Moderate"/>
    <s v="VALID"/>
    <n v="0.56428571428571428"/>
    <s v="Medium"/>
    <n v="6.9050000000000002"/>
    <s v="Low"/>
  </r>
  <r>
    <n v="600"/>
    <n v="12.87"/>
    <x v="2"/>
    <x v="4"/>
    <n v="150"/>
    <n v="59.2"/>
    <n v="1.96"/>
    <n v="5.9"/>
    <n v="45.84"/>
    <n v="10"/>
    <s v="Critical"/>
    <s v="VALID"/>
    <n v="0.59000000000000008"/>
    <s v="Medium"/>
    <n v="23.900000000000002"/>
    <s v="Low"/>
  </r>
  <r>
    <n v="50"/>
    <n v="5.1100000000000003"/>
    <x v="2"/>
    <x v="3"/>
    <n v="300"/>
    <n v="2"/>
    <n v="16.71"/>
    <n v="1.89"/>
    <n v="36.99"/>
    <n v="22"/>
    <s v="Normal"/>
    <s v="VALID"/>
    <n v="8.5909090909090907E-2"/>
    <s v="Low"/>
    <n v="26.85"/>
    <s v="Low"/>
  </r>
  <r>
    <n v="250"/>
    <n v="9.91"/>
    <x v="0"/>
    <x v="1"/>
    <n v="2500"/>
    <n v="42.7"/>
    <n v="10.050000000000001"/>
    <n v="0.38"/>
    <n v="3.83"/>
    <n v="25"/>
    <s v="Normal"/>
    <s v="VALID"/>
    <n v="1.52E-2"/>
    <s v="Low"/>
    <n v="6.94"/>
    <s v="Low"/>
  </r>
  <r>
    <n v="300"/>
    <n v="10.62"/>
    <x v="3"/>
    <x v="4"/>
    <n v="2500"/>
    <n v="30.6"/>
    <n v="4.55"/>
    <n v="7.18"/>
    <n v="67.61"/>
    <n v="7"/>
    <s v="Critical"/>
    <s v="VALID"/>
    <n v="1.0257142857142856"/>
    <s v="Medium"/>
    <n v="36.08"/>
    <s v="Medium"/>
  </r>
  <r>
    <n v="250"/>
    <n v="13.79"/>
    <x v="3"/>
    <x v="3"/>
    <n v="300"/>
    <n v="93.5"/>
    <n v="12.87"/>
    <n v="4.1399999999999997"/>
    <n v="30.02"/>
    <n v="17"/>
    <s v="Moderate"/>
    <s v="VALID"/>
    <n v="0.24352941176470586"/>
    <s v="Medium"/>
    <n v="21.445"/>
    <s v="Low"/>
  </r>
  <r>
    <n v="500"/>
    <n v="21.72"/>
    <x v="4"/>
    <x v="4"/>
    <n v="600"/>
    <n v="51.8"/>
    <n v="3.16"/>
    <n v="8.67"/>
    <n v="39.92"/>
    <n v="13"/>
    <s v="Critical"/>
    <s v="VALID"/>
    <n v="0.66692307692307695"/>
    <s v="Low"/>
    <n v="21.54"/>
    <s v="Low"/>
  </r>
  <r>
    <n v="200"/>
    <n v="7.2"/>
    <x v="1"/>
    <x v="4"/>
    <n v="900"/>
    <n v="26.3"/>
    <n v="5.64"/>
    <n v="8.76"/>
    <n v="121.67"/>
    <n v="14"/>
    <s v="Critical"/>
    <s v="INVALID"/>
    <m/>
    <m/>
    <m/>
    <m/>
  </r>
  <r>
    <n v="100"/>
    <n v="6.92"/>
    <x v="3"/>
    <x v="0"/>
    <n v="150"/>
    <n v="48.5"/>
    <n v="19.88"/>
    <n v="2.12"/>
    <n v="30.64"/>
    <n v="21"/>
    <s v="Moderate"/>
    <s v="VALID"/>
    <n v="0.10095238095238096"/>
    <s v="Low"/>
    <n v="25.259999999999998"/>
    <s v="Low"/>
  </r>
  <r>
    <n v="800"/>
    <n v="26.21"/>
    <x v="3"/>
    <x v="0"/>
    <n v="600"/>
    <n v="117.5"/>
    <n v="3.85"/>
    <n v="7.0000000000000007E-2"/>
    <n v="0.27"/>
    <n v="10"/>
    <s v="Normal"/>
    <s v="VALID"/>
    <n v="7.000000000000001E-3"/>
    <s v="Low"/>
    <n v="2.06"/>
    <s v="Low"/>
  </r>
  <r>
    <n v="800"/>
    <n v="22.69"/>
    <x v="4"/>
    <x v="1"/>
    <n v="900"/>
    <n v="55.8"/>
    <n v="10.82"/>
    <n v="2.11"/>
    <n v="9.3000000000000007"/>
    <n v="19"/>
    <s v="Moderate"/>
    <s v="VALID"/>
    <n v="0.11105263157894736"/>
    <s v="Low"/>
    <n v="10.06"/>
    <s v="Low"/>
  </r>
  <r>
    <n v="150"/>
    <n v="9.5"/>
    <x v="0"/>
    <x v="1"/>
    <n v="300"/>
    <n v="-14.4"/>
    <n v="15.66"/>
    <n v="2.94"/>
    <n v="30.95"/>
    <n v="11"/>
    <s v="Moderate"/>
    <s v="VALID"/>
    <n v="0.26727272727272727"/>
    <s v="Low"/>
    <n v="23.305"/>
    <s v="Low"/>
  </r>
  <r>
    <n v="150"/>
    <n v="7.12"/>
    <x v="0"/>
    <x v="2"/>
    <n v="150"/>
    <n v="43.5"/>
    <n v="11.39"/>
    <n v="5.19"/>
    <n v="72.89"/>
    <n v="22"/>
    <s v="Critical"/>
    <s v="VALID"/>
    <n v="0.23590909090909093"/>
    <s v="Low"/>
    <n v="42.14"/>
    <s v="Medium"/>
  </r>
  <r>
    <n v="250"/>
    <n v="8.5299999999999994"/>
    <x v="4"/>
    <x v="1"/>
    <n v="300"/>
    <n v="51.8"/>
    <n v="18.04"/>
    <n v="8.17"/>
    <n v="95.78"/>
    <n v="6"/>
    <s v="Critical"/>
    <s v="VALID"/>
    <n v="1.3616666666666666"/>
    <s v="Low"/>
    <n v="56.91"/>
    <s v="Medium"/>
  </r>
  <r>
    <n v="600"/>
    <n v="16.64"/>
    <x v="4"/>
    <x v="3"/>
    <n v="2500"/>
    <n v="45.3"/>
    <n v="8.27"/>
    <n v="7.75"/>
    <n v="46.57"/>
    <n v="14"/>
    <s v="Critical"/>
    <s v="VALID"/>
    <n v="0.5535714285714286"/>
    <s v="Low"/>
    <n v="27.42"/>
    <s v="Low"/>
  </r>
  <r>
    <n v="150"/>
    <n v="5.43"/>
    <x v="2"/>
    <x v="3"/>
    <n v="2500"/>
    <n v="93"/>
    <n v="14.89"/>
    <n v="7.94"/>
    <n v="146.22"/>
    <n v="11"/>
    <s v="Critical"/>
    <s v="INVALID"/>
    <m/>
    <m/>
    <m/>
    <m/>
  </r>
  <r>
    <n v="50"/>
    <n v="5"/>
    <x v="1"/>
    <x v="1"/>
    <n v="900"/>
    <n v="12.8"/>
    <n v="7.87"/>
    <n v="4.72"/>
    <n v="94.4"/>
    <n v="4"/>
    <s v="Moderate"/>
    <s v="VALID"/>
    <n v="1.18"/>
    <s v="Medium"/>
    <n v="51.135000000000005"/>
    <s v="Medium"/>
  </r>
  <r>
    <n v="400"/>
    <n v="18.8"/>
    <x v="3"/>
    <x v="2"/>
    <n v="600"/>
    <n v="84.4"/>
    <n v="13.84"/>
    <n v="6.85"/>
    <n v="36.44"/>
    <n v="8"/>
    <s v="Critical"/>
    <s v="VALID"/>
    <n v="0.85624999999999996"/>
    <s v="Low"/>
    <n v="25.14"/>
    <s v="Low"/>
  </r>
  <r>
    <n v="150"/>
    <n v="7.25"/>
    <x v="0"/>
    <x v="0"/>
    <n v="600"/>
    <n v="11"/>
    <n v="1.34"/>
    <n v="0.78"/>
    <n v="10.76"/>
    <n v="12"/>
    <s v="Normal"/>
    <s v="VALID"/>
    <n v="6.5000000000000002E-2"/>
    <s v="Low"/>
    <n v="6.05"/>
    <s v="Low"/>
  </r>
  <r>
    <n v="150"/>
    <n v="5.7"/>
    <x v="2"/>
    <x v="4"/>
    <n v="2500"/>
    <n v="37.299999999999997"/>
    <n v="19.64"/>
    <n v="3.25"/>
    <n v="57.02"/>
    <n v="9"/>
    <s v="Moderate"/>
    <s v="VALID"/>
    <n v="0.3611111111111111"/>
    <s v="Low"/>
    <n v="38.33"/>
    <s v="Medium"/>
  </r>
  <r>
    <n v="1500"/>
    <n v="36.36"/>
    <x v="1"/>
    <x v="0"/>
    <n v="300"/>
    <n v="53.7"/>
    <n v="15.07"/>
    <n v="3.33"/>
    <n v="9.16"/>
    <n v="4"/>
    <s v="Moderate"/>
    <s v="VALID"/>
    <n v="0.83250000000000002"/>
    <s v="Medium"/>
    <n v="12.115"/>
    <s v="Low"/>
  </r>
  <r>
    <n v="300"/>
    <n v="17.100000000000001"/>
    <x v="3"/>
    <x v="2"/>
    <n v="900"/>
    <n v="94.3"/>
    <n v="1.3"/>
    <n v="2.8"/>
    <n v="16.37"/>
    <n v="16"/>
    <s v="Moderate"/>
    <s v="VALID"/>
    <n v="0.17499999999999999"/>
    <s v="Low"/>
    <n v="8.8350000000000009"/>
    <s v="Low"/>
  </r>
  <r>
    <n v="1200"/>
    <n v="35.94"/>
    <x v="3"/>
    <x v="3"/>
    <n v="2500"/>
    <n v="59.7"/>
    <n v="2.46"/>
    <n v="8.74"/>
    <n v="24.32"/>
    <n v="23"/>
    <s v="Critical"/>
    <s v="VALID"/>
    <n v="0.38"/>
    <s v="Low"/>
    <n v="13.39"/>
    <s v="Low"/>
  </r>
  <r>
    <n v="250"/>
    <n v="9.07"/>
    <x v="1"/>
    <x v="0"/>
    <n v="300"/>
    <n v="4.5999999999999996"/>
    <n v="10.86"/>
    <n v="7.99"/>
    <n v="88.09"/>
    <n v="9"/>
    <s v="Critical"/>
    <s v="VALID"/>
    <n v="0.88777777777777778"/>
    <s v="Medium"/>
    <n v="49.475000000000001"/>
    <s v="Medium"/>
  </r>
  <r>
    <n v="400"/>
    <n v="18.5"/>
    <x v="1"/>
    <x v="0"/>
    <n v="1500"/>
    <n v="20.100000000000001"/>
    <n v="2.13"/>
    <n v="7.4"/>
    <n v="40"/>
    <n v="14"/>
    <s v="Critical"/>
    <s v="VALID"/>
    <n v="0.52857142857142858"/>
    <s v="Low"/>
    <n v="21.065000000000001"/>
    <s v="Low"/>
  </r>
  <r>
    <n v="50"/>
    <n v="3.84"/>
    <x v="4"/>
    <x v="1"/>
    <n v="150"/>
    <n v="103.8"/>
    <n v="10.56"/>
    <n v="6.08"/>
    <n v="158.33000000000001"/>
    <n v="25"/>
    <s v="Critical"/>
    <s v="INVALID"/>
    <m/>
    <m/>
    <m/>
    <m/>
  </r>
  <r>
    <n v="600"/>
    <n v="28.54"/>
    <x v="3"/>
    <x v="2"/>
    <n v="300"/>
    <n v="-16.8"/>
    <n v="9.59"/>
    <n v="7.41"/>
    <n v="25.96"/>
    <n v="22"/>
    <s v="Critical"/>
    <s v="VALID"/>
    <n v="0.33681818181818185"/>
    <s v="Low"/>
    <n v="17.774999999999999"/>
    <s v="Low"/>
  </r>
  <r>
    <n v="150"/>
    <n v="9.8000000000000007"/>
    <x v="2"/>
    <x v="1"/>
    <n v="900"/>
    <n v="15"/>
    <n v="19.89"/>
    <n v="2.78"/>
    <n v="28.37"/>
    <n v="24"/>
    <s v="Moderate"/>
    <s v="VALID"/>
    <n v="0.11583333333333333"/>
    <s v="Low"/>
    <n v="24.130000000000003"/>
    <s v="Low"/>
  </r>
  <r>
    <n v="400"/>
    <n v="10.84"/>
    <x v="4"/>
    <x v="2"/>
    <n v="600"/>
    <n v="52.6"/>
    <n v="19.760000000000002"/>
    <n v="0.73"/>
    <n v="6.73"/>
    <n v="11"/>
    <s v="Normal"/>
    <s v="VALID"/>
    <n v="6.6363636363636361E-2"/>
    <s v="Low"/>
    <n v="13.245000000000001"/>
    <s v="Low"/>
  </r>
  <r>
    <n v="300"/>
    <n v="7.26"/>
    <x v="3"/>
    <x v="2"/>
    <n v="900"/>
    <n v="-42.6"/>
    <n v="4.7699999999999996"/>
    <n v="2.94"/>
    <n v="40.5"/>
    <n v="14"/>
    <s v="Moderate"/>
    <s v="VALID"/>
    <n v="0.21"/>
    <s v="Low"/>
    <n v="22.634999999999998"/>
    <s v="Low"/>
  </r>
  <r>
    <n v="1000"/>
    <n v="33.909999999999997"/>
    <x v="4"/>
    <x v="0"/>
    <n v="600"/>
    <n v="22.2"/>
    <n v="17.02"/>
    <n v="0.54"/>
    <n v="1.59"/>
    <n v="13"/>
    <s v="Normal"/>
    <s v="VALID"/>
    <n v="4.1538461538461538E-2"/>
    <s v="Low"/>
    <n v="9.3049999999999997"/>
    <s v="Low"/>
  </r>
  <r>
    <n v="200"/>
    <n v="11.46"/>
    <x v="4"/>
    <x v="0"/>
    <n v="900"/>
    <n v="65.900000000000006"/>
    <n v="7.26"/>
    <n v="6.64"/>
    <n v="57.94"/>
    <n v="24"/>
    <s v="Critical"/>
    <s v="VALID"/>
    <n v="0.27666666666666667"/>
    <s v="Low"/>
    <n v="32.6"/>
    <s v="Medium"/>
  </r>
  <r>
    <n v="1200"/>
    <n v="37.409999999999997"/>
    <x v="0"/>
    <x v="4"/>
    <n v="2500"/>
    <n v="37.299999999999997"/>
    <n v="1.59"/>
    <n v="1.39"/>
    <n v="3.72"/>
    <n v="15"/>
    <s v="Normal"/>
    <s v="VALID"/>
    <n v="9.2666666666666661E-2"/>
    <s v="Low"/>
    <n v="2.6550000000000002"/>
    <s v="Low"/>
  </r>
  <r>
    <n v="800"/>
    <n v="19.489999999999998"/>
    <x v="3"/>
    <x v="2"/>
    <n v="600"/>
    <n v="12.4"/>
    <n v="18.09"/>
    <n v="6.92"/>
    <n v="35.51"/>
    <n v="13"/>
    <s v="Critical"/>
    <s v="VALID"/>
    <n v="0.53230769230769226"/>
    <s v="Medium"/>
    <n v="26.799999999999997"/>
    <s v="Low"/>
  </r>
  <r>
    <n v="200"/>
    <n v="8.69"/>
    <x v="0"/>
    <x v="4"/>
    <n v="2500"/>
    <n v="45.2"/>
    <n v="1.94"/>
    <n v="0.46"/>
    <n v="5.29"/>
    <n v="23"/>
    <s v="Normal"/>
    <s v="VALID"/>
    <n v="0.02"/>
    <s v="Low"/>
    <n v="3.6150000000000002"/>
    <s v="Low"/>
  </r>
  <r>
    <n v="1000"/>
    <n v="26.68"/>
    <x v="4"/>
    <x v="0"/>
    <n v="900"/>
    <n v="28.9"/>
    <n v="10.81"/>
    <n v="7.59"/>
    <n v="28.45"/>
    <n v="16"/>
    <s v="Critical"/>
    <s v="VALID"/>
    <n v="0.47437499999999999"/>
    <s v="Medium"/>
    <n v="19.63"/>
    <s v="Low"/>
  </r>
  <r>
    <n v="1200"/>
    <n v="39.24"/>
    <x v="0"/>
    <x v="3"/>
    <n v="900"/>
    <n v="64.900000000000006"/>
    <n v="14.05"/>
    <n v="0.71"/>
    <n v="1.81"/>
    <n v="7"/>
    <s v="Normal"/>
    <s v="VALID"/>
    <n v="0.10142857142857142"/>
    <s v="Low"/>
    <n v="7.9300000000000006"/>
    <s v="Low"/>
  </r>
  <r>
    <n v="1200"/>
    <n v="22.11"/>
    <x v="1"/>
    <x v="1"/>
    <n v="150"/>
    <n v="130.30000000000001"/>
    <n v="2.48"/>
    <n v="7.65"/>
    <n v="34.6"/>
    <n v="12"/>
    <s v="Critical"/>
    <s v="VALID"/>
    <n v="0.63750000000000007"/>
    <s v="Low"/>
    <n v="18.54"/>
    <s v="Low"/>
  </r>
  <r>
    <n v="300"/>
    <n v="8.06"/>
    <x v="3"/>
    <x v="3"/>
    <n v="600"/>
    <n v="25.1"/>
    <n v="6.17"/>
    <n v="3.02"/>
    <n v="37.47"/>
    <n v="7"/>
    <s v="Moderate"/>
    <s v="VALID"/>
    <n v="0.43142857142857144"/>
    <s v="Low"/>
    <n v="21.82"/>
    <s v="Low"/>
  </r>
  <r>
    <n v="150"/>
    <n v="6.44"/>
    <x v="0"/>
    <x v="0"/>
    <n v="600"/>
    <n v="54.6"/>
    <n v="3.36"/>
    <n v="9.07"/>
    <n v="140.84"/>
    <n v="25"/>
    <s v="Critical"/>
    <s v="INVALID"/>
    <m/>
    <m/>
    <m/>
    <m/>
  </r>
  <r>
    <n v="400"/>
    <n v="16.46"/>
    <x v="1"/>
    <x v="3"/>
    <n v="600"/>
    <n v="83.5"/>
    <n v="8.7200000000000006"/>
    <n v="0.47"/>
    <n v="2.86"/>
    <n v="23"/>
    <s v="Normal"/>
    <s v="VALID"/>
    <n v="2.0434782608695651E-2"/>
    <s v="Low"/>
    <n v="5.79"/>
    <s v="Low"/>
  </r>
  <r>
    <n v="1500"/>
    <n v="31.01"/>
    <x v="0"/>
    <x v="1"/>
    <n v="2500"/>
    <n v="23.6"/>
    <n v="7.25"/>
    <n v="1.59"/>
    <n v="5.13"/>
    <n v="23"/>
    <s v="Normal"/>
    <s v="VALID"/>
    <n v="6.9130434782608705E-2"/>
    <s v="Low"/>
    <n v="6.1899999999999995"/>
    <s v="Low"/>
  </r>
  <r>
    <n v="1200"/>
    <n v="19.22"/>
    <x v="0"/>
    <x v="2"/>
    <n v="2500"/>
    <n v="77.7"/>
    <n v="14.18"/>
    <n v="6.42"/>
    <n v="33.4"/>
    <n v="7"/>
    <s v="Critical"/>
    <s v="VALID"/>
    <n v="0.91714285714285715"/>
    <s v="Medium"/>
    <n v="23.79"/>
    <s v="Low"/>
  </r>
  <r>
    <n v="1000"/>
    <n v="24.04"/>
    <x v="0"/>
    <x v="1"/>
    <n v="300"/>
    <n v="109.6"/>
    <n v="11.57"/>
    <n v="0.55000000000000004"/>
    <n v="2.29"/>
    <n v="5"/>
    <s v="Normal"/>
    <s v="VALID"/>
    <n v="0.11000000000000001"/>
    <s v="Medium"/>
    <n v="6.93"/>
    <s v="Low"/>
  </r>
  <r>
    <n v="600"/>
    <n v="24.78"/>
    <x v="2"/>
    <x v="3"/>
    <n v="600"/>
    <n v="41.9"/>
    <n v="14.82"/>
    <n v="8.49"/>
    <n v="34.26"/>
    <n v="18"/>
    <s v="Critical"/>
    <s v="VALID"/>
    <n v="0.47166666666666668"/>
    <s v="Low"/>
    <n v="24.54"/>
    <s v="Low"/>
  </r>
  <r>
    <n v="1000"/>
    <n v="17.8"/>
    <x v="1"/>
    <x v="3"/>
    <n v="150"/>
    <n v="68.3"/>
    <n v="3.97"/>
    <n v="8.42"/>
    <n v="47.3"/>
    <n v="19"/>
    <s v="Critical"/>
    <s v="VALID"/>
    <n v="0.44315789473684208"/>
    <s v="Low"/>
    <n v="25.634999999999998"/>
    <s v="Low"/>
  </r>
  <r>
    <n v="400"/>
    <n v="14.63"/>
    <x v="2"/>
    <x v="3"/>
    <n v="900"/>
    <n v="71.7"/>
    <n v="5.17"/>
    <n v="3.74"/>
    <n v="25.56"/>
    <n v="13"/>
    <s v="Moderate"/>
    <s v="VALID"/>
    <n v="0.28769230769230769"/>
    <s v="Low"/>
    <n v="15.364999999999998"/>
    <s v="Low"/>
  </r>
  <r>
    <n v="1000"/>
    <n v="23.09"/>
    <x v="2"/>
    <x v="4"/>
    <n v="150"/>
    <n v="97.5"/>
    <n v="5.43"/>
    <n v="7.98"/>
    <n v="34.56"/>
    <n v="14"/>
    <s v="Critical"/>
    <s v="VALID"/>
    <n v="0.57000000000000006"/>
    <s v="Low"/>
    <n v="19.995000000000001"/>
    <s v="Low"/>
  </r>
  <r>
    <n v="250"/>
    <n v="14.41"/>
    <x v="2"/>
    <x v="0"/>
    <n v="1500"/>
    <n v="8.9"/>
    <n v="4.82"/>
    <n v="0.87"/>
    <n v="6.04"/>
    <n v="19"/>
    <s v="Normal"/>
    <s v="VALID"/>
    <n v="4.5789473684210526E-2"/>
    <s v="Low"/>
    <n v="5.43"/>
    <s v="Low"/>
  </r>
  <r>
    <n v="250"/>
    <n v="10.15"/>
    <x v="1"/>
    <x v="0"/>
    <n v="2500"/>
    <n v="65.7"/>
    <n v="14.34"/>
    <n v="9.59"/>
    <n v="94.48"/>
    <n v="2"/>
    <s v="Critical"/>
    <s v="VALID"/>
    <n v="4.7949999999999999"/>
    <s v="Medium"/>
    <n v="54.410000000000004"/>
    <s v="Medium"/>
  </r>
  <r>
    <n v="1000"/>
    <n v="26.3"/>
    <x v="2"/>
    <x v="3"/>
    <n v="2500"/>
    <n v="34.4"/>
    <n v="19.5"/>
    <n v="6.68"/>
    <n v="25.4"/>
    <n v="10"/>
    <s v="Critical"/>
    <s v="VALID"/>
    <n v="0.66799999999999993"/>
    <s v="Medium"/>
    <n v="22.45"/>
    <s v="Low"/>
  </r>
  <r>
    <n v="1500"/>
    <n v="27.26"/>
    <x v="0"/>
    <x v="0"/>
    <n v="900"/>
    <n v="39.700000000000003"/>
    <n v="2.36"/>
    <n v="7.04"/>
    <n v="25.83"/>
    <n v="9"/>
    <s v="Critical"/>
    <s v="VALID"/>
    <n v="0.78222222222222226"/>
    <s v="Medium"/>
    <n v="14.094999999999999"/>
    <s v="Low"/>
  </r>
  <r>
    <n v="250"/>
    <n v="11.54"/>
    <x v="1"/>
    <x v="2"/>
    <n v="600"/>
    <n v="33.1"/>
    <n v="18.2"/>
    <n v="5.96"/>
    <n v="51.65"/>
    <n v="25"/>
    <s v="Critical"/>
    <s v="VALID"/>
    <n v="0.2384"/>
    <s v="Low"/>
    <n v="34.924999999999997"/>
    <s v="Medium"/>
  </r>
  <r>
    <n v="250"/>
    <n v="11.08"/>
    <x v="0"/>
    <x v="0"/>
    <n v="900"/>
    <n v="75.3"/>
    <n v="5.85"/>
    <n v="4.92"/>
    <n v="44.4"/>
    <n v="21"/>
    <s v="Moderate"/>
    <s v="VALID"/>
    <n v="0.23428571428571429"/>
    <s v="Low"/>
    <n v="25.125"/>
    <s v="Low"/>
  </r>
  <r>
    <n v="300"/>
    <n v="7.51"/>
    <x v="1"/>
    <x v="2"/>
    <n v="300"/>
    <n v="118.2"/>
    <n v="10.35"/>
    <n v="1.69"/>
    <n v="22.5"/>
    <n v="11"/>
    <s v="Normal"/>
    <s v="VALID"/>
    <n v="0.15363636363636363"/>
    <s v="Low"/>
    <n v="16.425000000000001"/>
    <s v="Low"/>
  </r>
  <r>
    <n v="800"/>
    <n v="17.38"/>
    <x v="3"/>
    <x v="3"/>
    <n v="1500"/>
    <n v="7.3"/>
    <n v="17.510000000000002"/>
    <n v="0.27"/>
    <n v="1.55"/>
    <n v="10"/>
    <s v="Normal"/>
    <s v="VALID"/>
    <n v="2.7000000000000003E-2"/>
    <s v="Low"/>
    <n v="9.5300000000000011"/>
    <s v="Low"/>
  </r>
  <r>
    <n v="50"/>
    <n v="4.6100000000000003"/>
    <x v="3"/>
    <x v="3"/>
    <n v="150"/>
    <n v="62.2"/>
    <n v="0.31"/>
    <n v="0.81"/>
    <n v="17.57"/>
    <n v="13"/>
    <s v="Normal"/>
    <s v="VALID"/>
    <n v="6.2307692307692314E-2"/>
    <s v="Medium"/>
    <n v="8.94"/>
    <s v="Low"/>
  </r>
  <r>
    <n v="250"/>
    <n v="13.91"/>
    <x v="4"/>
    <x v="4"/>
    <n v="150"/>
    <n v="50.4"/>
    <n v="5.0999999999999996"/>
    <n v="6.97"/>
    <n v="50.11"/>
    <n v="20"/>
    <s v="Critical"/>
    <s v="VALID"/>
    <n v="0.34849999999999998"/>
    <s v="Low"/>
    <n v="27.605"/>
    <s v="Low"/>
  </r>
  <r>
    <n v="200"/>
    <n v="6.18"/>
    <x v="3"/>
    <x v="2"/>
    <n v="1500"/>
    <n v="95.2"/>
    <n v="0.18"/>
    <n v="2.95"/>
    <n v="47.73"/>
    <n v="24"/>
    <s v="Moderate"/>
    <s v="VALID"/>
    <n v="0.12291666666666667"/>
    <s v="Low"/>
    <n v="23.954999999999998"/>
    <s v="Low"/>
  </r>
  <r>
    <n v="400"/>
    <n v="17.89"/>
    <x v="0"/>
    <x v="4"/>
    <n v="600"/>
    <n v="50.6"/>
    <n v="3.04"/>
    <n v="4.51"/>
    <n v="25.21"/>
    <n v="18"/>
    <s v="Moderate"/>
    <s v="VALID"/>
    <n v="0.25055555555555553"/>
    <s v="Medium"/>
    <n v="14.125"/>
    <s v="Low"/>
  </r>
  <r>
    <n v="1200"/>
    <n v="29.45"/>
    <x v="2"/>
    <x v="4"/>
    <n v="300"/>
    <n v="52.3"/>
    <n v="10.23"/>
    <n v="8.92"/>
    <n v="30.29"/>
    <n v="25"/>
    <s v="Critical"/>
    <s v="VALID"/>
    <n v="0.35680000000000001"/>
    <s v="Low"/>
    <n v="20.259999999999998"/>
    <s v="Low"/>
  </r>
  <r>
    <n v="600"/>
    <n v="19.72"/>
    <x v="1"/>
    <x v="1"/>
    <n v="1500"/>
    <n v="-16.8"/>
    <n v="10.41"/>
    <n v="2.66"/>
    <n v="13.49"/>
    <n v="3"/>
    <s v="Moderate"/>
    <s v="VALID"/>
    <n v="0.88666666666666671"/>
    <s v="Low"/>
    <n v="11.95"/>
    <s v="Low"/>
  </r>
  <r>
    <n v="300"/>
    <n v="15.03"/>
    <x v="4"/>
    <x v="0"/>
    <n v="600"/>
    <n v="54.8"/>
    <n v="14.85"/>
    <n v="7.96"/>
    <n v="52.96"/>
    <n v="5"/>
    <s v="Critical"/>
    <s v="VALID"/>
    <n v="1.5920000000000001"/>
    <s v="Medium"/>
    <n v="33.905000000000001"/>
    <s v="Medium"/>
  </r>
  <r>
    <n v="500"/>
    <n v="18.760000000000002"/>
    <x v="3"/>
    <x v="3"/>
    <n v="2500"/>
    <n v="45.7"/>
    <n v="13.43"/>
    <n v="0.11"/>
    <n v="0.59"/>
    <n v="12"/>
    <s v="Normal"/>
    <s v="VALID"/>
    <n v="9.1666666666666667E-3"/>
    <s v="Low"/>
    <n v="7.01"/>
    <s v="Low"/>
  </r>
  <r>
    <n v="600"/>
    <n v="18.649999999999999"/>
    <x v="4"/>
    <x v="2"/>
    <n v="900"/>
    <n v="31.6"/>
    <n v="4.92"/>
    <n v="4.1500000000000004"/>
    <n v="22.25"/>
    <n v="12"/>
    <s v="Moderate"/>
    <s v="VALID"/>
    <n v="0.34583333333333338"/>
    <s v="Medium"/>
    <n v="13.585000000000001"/>
    <s v="Low"/>
  </r>
  <r>
    <n v="200"/>
    <n v="6.48"/>
    <x v="2"/>
    <x v="0"/>
    <n v="300"/>
    <n v="15.5"/>
    <n v="2"/>
    <n v="9.5500000000000007"/>
    <n v="147.38"/>
    <n v="13"/>
    <s v="Critical"/>
    <s v="INVALID"/>
    <m/>
    <m/>
    <m/>
    <m/>
  </r>
  <r>
    <n v="500"/>
    <n v="19.579999999999998"/>
    <x v="0"/>
    <x v="4"/>
    <n v="900"/>
    <n v="89.8"/>
    <n v="6.51"/>
    <n v="4.78"/>
    <n v="24.41"/>
    <n v="7"/>
    <s v="Moderate"/>
    <s v="VALID"/>
    <n v="0.68285714285714294"/>
    <s v="Low"/>
    <n v="15.46"/>
    <s v="Low"/>
  </r>
  <r>
    <n v="50"/>
    <n v="3.59"/>
    <x v="3"/>
    <x v="0"/>
    <n v="300"/>
    <n v="63.5"/>
    <n v="4.6500000000000004"/>
    <n v="8.6199999999999992"/>
    <n v="240.11"/>
    <n v="2"/>
    <s v="Critical"/>
    <s v="INVALID"/>
    <m/>
    <m/>
    <m/>
    <m/>
  </r>
  <r>
    <n v="800"/>
    <n v="25.7"/>
    <x v="0"/>
    <x v="0"/>
    <n v="2500"/>
    <n v="77.7"/>
    <n v="13.12"/>
    <n v="8.1"/>
    <n v="31.52"/>
    <n v="18"/>
    <s v="Critical"/>
    <s v="VALID"/>
    <n v="0.44999999999999996"/>
    <s v="Low"/>
    <n v="22.32"/>
    <s v="Low"/>
  </r>
  <r>
    <n v="400"/>
    <n v="19.8"/>
    <x v="3"/>
    <x v="2"/>
    <n v="1500"/>
    <n v="59.6"/>
    <n v="6.84"/>
    <n v="2.5"/>
    <n v="12.63"/>
    <n v="8"/>
    <s v="Moderate"/>
    <s v="VALID"/>
    <n v="0.3125"/>
    <s v="Medium"/>
    <n v="9.7349999999999994"/>
    <s v="Low"/>
  </r>
  <r>
    <n v="300"/>
    <n v="7.67"/>
    <x v="3"/>
    <x v="3"/>
    <n v="600"/>
    <n v="24.5"/>
    <n v="3.81"/>
    <n v="3.54"/>
    <n v="46.15"/>
    <n v="18"/>
    <s v="Moderate"/>
    <s v="VALID"/>
    <n v="0.19666666666666666"/>
    <s v="Medium"/>
    <n v="24.98"/>
    <s v="Low"/>
  </r>
  <r>
    <n v="800"/>
    <n v="30.43"/>
    <x v="1"/>
    <x v="3"/>
    <n v="300"/>
    <n v="-23.5"/>
    <n v="17.350000000000001"/>
    <n v="7.69"/>
    <n v="25.27"/>
    <n v="2"/>
    <s v="Critical"/>
    <s v="VALID"/>
    <n v="3.8450000000000002"/>
    <s v="Low"/>
    <n v="21.310000000000002"/>
    <s v="Low"/>
  </r>
  <r>
    <n v="600"/>
    <n v="16.38"/>
    <x v="4"/>
    <x v="0"/>
    <n v="600"/>
    <n v="37.700000000000003"/>
    <n v="0.97"/>
    <n v="9.5500000000000007"/>
    <n v="58.3"/>
    <n v="8"/>
    <s v="Critical"/>
    <s v="VALID"/>
    <n v="1.1937500000000001"/>
    <s v="Low"/>
    <n v="29.634999999999998"/>
    <s v="Low"/>
  </r>
  <r>
    <n v="300"/>
    <n v="16.23"/>
    <x v="1"/>
    <x v="1"/>
    <n v="1500"/>
    <n v="36"/>
    <n v="5.92"/>
    <n v="7.49"/>
    <n v="46.15"/>
    <n v="7"/>
    <s v="Critical"/>
    <s v="VALID"/>
    <n v="1.07"/>
    <s v="Low"/>
    <n v="26.035"/>
    <s v="Low"/>
  </r>
  <r>
    <n v="1000"/>
    <n v="34.89"/>
    <x v="4"/>
    <x v="3"/>
    <n v="600"/>
    <n v="84.6"/>
    <n v="19.059999999999999"/>
    <n v="9.66"/>
    <n v="27.69"/>
    <n v="13"/>
    <s v="Critical"/>
    <s v="VALID"/>
    <n v="0.74307692307692308"/>
    <s v="Medium"/>
    <n v="23.375"/>
    <s v="Low"/>
  </r>
  <r>
    <n v="100"/>
    <n v="7.7"/>
    <x v="3"/>
    <x v="2"/>
    <n v="900"/>
    <n v="28.8"/>
    <n v="13.74"/>
    <n v="4.68"/>
    <n v="60.78"/>
    <n v="20"/>
    <s v="Moderate"/>
    <s v="VALID"/>
    <n v="0.23399999999999999"/>
    <s v="Low"/>
    <n v="37.26"/>
    <s v="Medium"/>
  </r>
  <r>
    <n v="1500"/>
    <n v="37.94"/>
    <x v="4"/>
    <x v="1"/>
    <n v="150"/>
    <n v="60.3"/>
    <n v="13.98"/>
    <n v="6.6"/>
    <n v="17.399999999999999"/>
    <n v="15"/>
    <s v="Critical"/>
    <s v="VALID"/>
    <n v="0.44"/>
    <s v="Low"/>
    <n v="15.69"/>
    <s v="Low"/>
  </r>
  <r>
    <n v="300"/>
    <n v="12.84"/>
    <x v="4"/>
    <x v="4"/>
    <n v="300"/>
    <n v="81.8"/>
    <n v="16.55"/>
    <n v="2.9"/>
    <n v="22.59"/>
    <n v="22"/>
    <s v="Moderate"/>
    <s v="VALID"/>
    <n v="0.13181818181818181"/>
    <s v="Low"/>
    <n v="19.57"/>
    <s v="Low"/>
  </r>
  <r>
    <n v="1200"/>
    <n v="36.51"/>
    <x v="1"/>
    <x v="4"/>
    <n v="600"/>
    <n v="64.3"/>
    <n v="2.61"/>
    <n v="6"/>
    <n v="16.43"/>
    <n v="25"/>
    <s v="Critical"/>
    <s v="VALID"/>
    <n v="0.24"/>
    <s v="Low"/>
    <n v="9.52"/>
    <s v="Low"/>
  </r>
  <r>
    <n v="150"/>
    <n v="8.25"/>
    <x v="0"/>
    <x v="2"/>
    <n v="600"/>
    <n v="34.799999999999997"/>
    <n v="11.25"/>
    <n v="8.85"/>
    <n v="107.27"/>
    <n v="22"/>
    <s v="Critical"/>
    <s v="INVALID"/>
    <m/>
    <m/>
    <m/>
    <m/>
  </r>
  <r>
    <n v="1000"/>
    <n v="17.059999999999999"/>
    <x v="4"/>
    <x v="4"/>
    <n v="300"/>
    <n v="-32.5"/>
    <n v="8.8000000000000007"/>
    <n v="2.63"/>
    <n v="15.42"/>
    <n v="2"/>
    <s v="Moderate"/>
    <s v="VALID"/>
    <n v="1.3149999999999999"/>
    <s v="Low"/>
    <n v="12.11"/>
    <s v="Low"/>
  </r>
  <r>
    <n v="1000"/>
    <n v="32.090000000000003"/>
    <x v="2"/>
    <x v="4"/>
    <n v="1500"/>
    <n v="25.5"/>
    <n v="13.34"/>
    <n v="4.12"/>
    <n v="12.84"/>
    <n v="20"/>
    <s v="Moderate"/>
    <s v="VALID"/>
    <n v="0.20600000000000002"/>
    <s v="Low"/>
    <n v="13.09"/>
    <s v="Low"/>
  </r>
  <r>
    <n v="100"/>
    <n v="5.0999999999999996"/>
    <x v="3"/>
    <x v="4"/>
    <n v="600"/>
    <n v="115.8"/>
    <n v="3.39"/>
    <n v="1.03"/>
    <n v="20.2"/>
    <n v="11"/>
    <s v="Normal"/>
    <s v="VALID"/>
    <n v="9.3636363636363643E-2"/>
    <s v="Medium"/>
    <n v="11.795"/>
    <s v="Low"/>
  </r>
  <r>
    <n v="500"/>
    <n v="11.45"/>
    <x v="4"/>
    <x v="4"/>
    <n v="300"/>
    <n v="29.5"/>
    <n v="0.28999999999999998"/>
    <n v="7.15"/>
    <n v="62.45"/>
    <n v="2"/>
    <s v="Critical"/>
    <s v="VALID"/>
    <n v="3.5750000000000002"/>
    <s v="Low"/>
    <n v="31.37"/>
    <s v="Medium"/>
  </r>
  <r>
    <n v="100"/>
    <n v="5.64"/>
    <x v="3"/>
    <x v="1"/>
    <n v="900"/>
    <n v="20.9"/>
    <n v="6.42"/>
    <n v="4.88"/>
    <n v="86.52"/>
    <n v="2"/>
    <s v="Moderate"/>
    <s v="VALID"/>
    <n v="2.44"/>
    <s v="Low"/>
    <n v="46.47"/>
    <s v="Medium"/>
  </r>
  <r>
    <n v="1500"/>
    <n v="41.19"/>
    <x v="0"/>
    <x v="0"/>
    <n v="600"/>
    <n v="81"/>
    <n v="4.5999999999999996"/>
    <n v="9.33"/>
    <n v="22.65"/>
    <n v="22"/>
    <s v="Critical"/>
    <s v="VALID"/>
    <n v="0.42409090909090907"/>
    <s v="Low"/>
    <n v="13.625"/>
    <s v="Low"/>
  </r>
  <r>
    <n v="250"/>
    <n v="6.62"/>
    <x v="4"/>
    <x v="1"/>
    <n v="1500"/>
    <n v="36.9"/>
    <n v="18.18"/>
    <n v="0.01"/>
    <n v="0.15"/>
    <n v="16"/>
    <s v="Normal"/>
    <s v="VALID"/>
    <n v="6.2500000000000001E-4"/>
    <s v="Low"/>
    <n v="9.1649999999999991"/>
    <s v="Low"/>
  </r>
  <r>
    <n v="300"/>
    <n v="14.69"/>
    <x v="1"/>
    <x v="0"/>
    <n v="300"/>
    <n v="38.799999999999997"/>
    <n v="6.6"/>
    <n v="5.59"/>
    <n v="38.049999999999997"/>
    <n v="18"/>
    <s v="Critical"/>
    <s v="VALID"/>
    <n v="0.31055555555555553"/>
    <s v="Medium"/>
    <n v="22.324999999999999"/>
    <s v="Low"/>
  </r>
  <r>
    <n v="200"/>
    <n v="7.08"/>
    <x v="4"/>
    <x v="4"/>
    <n v="600"/>
    <n v="-7.9"/>
    <n v="10.46"/>
    <n v="4.7300000000000004"/>
    <n v="66.81"/>
    <n v="20"/>
    <s v="Moderate"/>
    <s v="VALID"/>
    <n v="0.23650000000000002"/>
    <s v="Low"/>
    <n v="38.635000000000005"/>
    <s v="Medium"/>
  </r>
  <r>
    <n v="50"/>
    <n v="3.2"/>
    <x v="1"/>
    <x v="0"/>
    <n v="900"/>
    <n v="75.5"/>
    <n v="19.11"/>
    <n v="7.07"/>
    <n v="220.94"/>
    <n v="4"/>
    <s v="Critical"/>
    <s v="INVALID"/>
    <m/>
    <m/>
    <m/>
    <m/>
  </r>
  <r>
    <n v="250"/>
    <n v="11.01"/>
    <x v="3"/>
    <x v="1"/>
    <n v="300"/>
    <n v="4.0999999999999996"/>
    <n v="19.649999999999999"/>
    <n v="2.08"/>
    <n v="18.89"/>
    <n v="3"/>
    <s v="Moderate"/>
    <s v="VALID"/>
    <n v="0.69333333333333336"/>
    <s v="Low"/>
    <n v="19.27"/>
    <s v="Low"/>
  </r>
  <r>
    <n v="250"/>
    <n v="7.62"/>
    <x v="1"/>
    <x v="0"/>
    <n v="900"/>
    <n v="51.7"/>
    <n v="13.11"/>
    <n v="5.51"/>
    <n v="72.31"/>
    <n v="11"/>
    <s v="Critical"/>
    <s v="VALID"/>
    <n v="0.50090909090909086"/>
    <s v="Low"/>
    <n v="42.71"/>
    <s v="Medium"/>
  </r>
  <r>
    <n v="50"/>
    <n v="3.33"/>
    <x v="1"/>
    <x v="2"/>
    <n v="150"/>
    <n v="32.5"/>
    <n v="1.52"/>
    <n v="5.86"/>
    <n v="175.98"/>
    <n v="18"/>
    <s v="Critical"/>
    <s v="INVALID"/>
    <m/>
    <m/>
    <m/>
    <m/>
  </r>
  <r>
    <n v="400"/>
    <n v="10.62"/>
    <x v="3"/>
    <x v="3"/>
    <n v="150"/>
    <n v="52.7"/>
    <n v="15.45"/>
    <n v="5.39"/>
    <n v="50.75"/>
    <n v="21"/>
    <s v="Critical"/>
    <s v="VALID"/>
    <n v="0.25666666666666665"/>
    <s v="Low"/>
    <n v="33.1"/>
    <s v="Medium"/>
  </r>
  <r>
    <n v="400"/>
    <n v="13.53"/>
    <x v="2"/>
    <x v="0"/>
    <n v="150"/>
    <n v="44.8"/>
    <n v="8.3699999999999992"/>
    <n v="0.52"/>
    <n v="3.84"/>
    <n v="10"/>
    <s v="Normal"/>
    <s v="VALID"/>
    <n v="5.2000000000000005E-2"/>
    <s v="Low"/>
    <n v="6.1049999999999995"/>
    <s v="Low"/>
  </r>
  <r>
    <n v="800"/>
    <n v="12.09"/>
    <x v="2"/>
    <x v="2"/>
    <n v="1500"/>
    <n v="10.5"/>
    <n v="0.11"/>
    <n v="3.74"/>
    <n v="30.93"/>
    <n v="24"/>
    <s v="Moderate"/>
    <s v="VALID"/>
    <n v="0.15583333333333335"/>
    <s v="Low"/>
    <n v="15.52"/>
    <s v="Low"/>
  </r>
  <r>
    <n v="1500"/>
    <n v="43.41"/>
    <x v="0"/>
    <x v="2"/>
    <n v="300"/>
    <n v="42"/>
    <n v="2.09"/>
    <n v="1.95"/>
    <n v="4.49"/>
    <n v="12"/>
    <s v="Normal"/>
    <s v="VALID"/>
    <n v="0.16250000000000001"/>
    <s v="Medium"/>
    <n v="3.29"/>
    <s v="Low"/>
  </r>
  <r>
    <n v="50"/>
    <n v="5.21"/>
    <x v="3"/>
    <x v="2"/>
    <n v="2500"/>
    <n v="17.399999999999999"/>
    <n v="3.97"/>
    <n v="7.35"/>
    <n v="141.07"/>
    <n v="2"/>
    <s v="Critical"/>
    <s v="INVALID"/>
    <m/>
    <m/>
    <m/>
    <m/>
  </r>
  <r>
    <n v="500"/>
    <n v="18.46"/>
    <x v="2"/>
    <x v="3"/>
    <n v="2500"/>
    <n v="21"/>
    <n v="12.59"/>
    <n v="9.89"/>
    <n v="53.58"/>
    <n v="20"/>
    <s v="Critical"/>
    <s v="VALID"/>
    <n v="0.49450000000000005"/>
    <s v="Medium"/>
    <n v="33.085000000000001"/>
    <s v="Medium"/>
  </r>
  <r>
    <n v="50"/>
    <n v="4.03"/>
    <x v="2"/>
    <x v="1"/>
    <n v="150"/>
    <n v="32.700000000000003"/>
    <n v="19.88"/>
    <n v="0.2"/>
    <n v="4.96"/>
    <n v="6"/>
    <s v="Normal"/>
    <s v="VALID"/>
    <n v="3.3333333333333333E-2"/>
    <s v="Medium"/>
    <n v="12.42"/>
    <s v="Low"/>
  </r>
  <r>
    <n v="200"/>
    <n v="6.58"/>
    <x v="4"/>
    <x v="4"/>
    <n v="300"/>
    <n v="78.8"/>
    <n v="7.47"/>
    <n v="1.97"/>
    <n v="29.94"/>
    <n v="19"/>
    <s v="Normal"/>
    <s v="VALID"/>
    <n v="0.10368421052631578"/>
    <s v="Low"/>
    <n v="18.705000000000002"/>
    <s v="Low"/>
  </r>
  <r>
    <n v="800"/>
    <n v="15.93"/>
    <x v="2"/>
    <x v="4"/>
    <n v="1500"/>
    <n v="31"/>
    <n v="16.53"/>
    <n v="0.34"/>
    <n v="2.13"/>
    <n v="20"/>
    <s v="Normal"/>
    <s v="VALID"/>
    <n v="1.7000000000000001E-2"/>
    <s v="Low"/>
    <n v="9.33"/>
    <s v="Low"/>
  </r>
  <r>
    <n v="600"/>
    <n v="10.33"/>
    <x v="1"/>
    <x v="0"/>
    <n v="300"/>
    <n v="95.8"/>
    <n v="3.46"/>
    <n v="7.68"/>
    <n v="74.349999999999994"/>
    <n v="4"/>
    <s v="Critical"/>
    <s v="VALID"/>
    <n v="1.92"/>
    <s v="Medium"/>
    <n v="38.904999999999994"/>
    <s v="Medium"/>
  </r>
  <r>
    <n v="400"/>
    <n v="18.23"/>
    <x v="4"/>
    <x v="0"/>
    <n v="1500"/>
    <n v="49.1"/>
    <n v="1.07"/>
    <n v="1.63"/>
    <n v="8.94"/>
    <n v="4"/>
    <s v="Normal"/>
    <s v="VALID"/>
    <n v="0.40749999999999997"/>
    <s v="Low"/>
    <n v="5.0049999999999999"/>
    <s v="Low"/>
  </r>
  <r>
    <n v="800"/>
    <n v="17.28"/>
    <x v="1"/>
    <x v="2"/>
    <n v="300"/>
    <n v="45.5"/>
    <n v="4.3899999999999997"/>
    <n v="0.91"/>
    <n v="5.27"/>
    <n v="3"/>
    <s v="Normal"/>
    <s v="VALID"/>
    <n v="0.30333333333333334"/>
    <s v="Medium"/>
    <n v="4.83"/>
    <s v="Low"/>
  </r>
  <r>
    <n v="150"/>
    <n v="6.29"/>
    <x v="3"/>
    <x v="3"/>
    <n v="1500"/>
    <n v="-2.9"/>
    <n v="10.56"/>
    <n v="0.23"/>
    <n v="3.66"/>
    <n v="23"/>
    <s v="Normal"/>
    <s v="VALID"/>
    <n v="0.01"/>
    <s v="Low"/>
    <n v="7.11"/>
    <s v="Low"/>
  </r>
  <r>
    <n v="300"/>
    <n v="17.170000000000002"/>
    <x v="3"/>
    <x v="1"/>
    <n v="2500"/>
    <n v="46.2"/>
    <n v="8.3800000000000008"/>
    <n v="4.7"/>
    <n v="27.37"/>
    <n v="11"/>
    <s v="Moderate"/>
    <s v="VALID"/>
    <n v="0.4272727272727273"/>
    <s v="Medium"/>
    <n v="17.875"/>
    <s v="Low"/>
  </r>
  <r>
    <n v="400"/>
    <n v="11.98"/>
    <x v="0"/>
    <x v="0"/>
    <n v="300"/>
    <n v="-44.1"/>
    <n v="16.96"/>
    <n v="1.54"/>
    <n v="12.85"/>
    <n v="8"/>
    <s v="Normal"/>
    <s v="VALID"/>
    <n v="0.1925"/>
    <s v="Medium"/>
    <n v="14.905000000000001"/>
    <s v="Low"/>
  </r>
  <r>
    <n v="250"/>
    <n v="8.74"/>
    <x v="0"/>
    <x v="0"/>
    <n v="2500"/>
    <n v="22.6"/>
    <n v="3.9"/>
    <n v="4.41"/>
    <n v="50.46"/>
    <n v="19"/>
    <s v="Moderate"/>
    <s v="VALID"/>
    <n v="0.23210526315789473"/>
    <s v="Low"/>
    <n v="27.18"/>
    <s v="Low"/>
  </r>
  <r>
    <n v="200"/>
    <n v="10.26"/>
    <x v="4"/>
    <x v="0"/>
    <n v="600"/>
    <n v="24.1"/>
    <n v="11.01"/>
    <n v="0.12"/>
    <n v="1.17"/>
    <n v="24"/>
    <s v="Normal"/>
    <s v="VALID"/>
    <n v="5.0000000000000001E-3"/>
    <s v="Medium"/>
    <n v="6.09"/>
    <s v="Low"/>
  </r>
  <r>
    <n v="500"/>
    <n v="23.22"/>
    <x v="1"/>
    <x v="0"/>
    <n v="900"/>
    <n v="46.8"/>
    <n v="13.79"/>
    <n v="3.08"/>
    <n v="13.26"/>
    <n v="18"/>
    <s v="Moderate"/>
    <s v="VALID"/>
    <n v="0.1711111111111111"/>
    <s v="Low"/>
    <n v="13.524999999999999"/>
    <s v="Low"/>
  </r>
  <r>
    <n v="500"/>
    <n v="13.5"/>
    <x v="1"/>
    <x v="3"/>
    <n v="300"/>
    <n v="-10.1"/>
    <n v="9.9"/>
    <n v="5.45"/>
    <n v="40.369999999999997"/>
    <n v="25"/>
    <s v="Critical"/>
    <s v="VALID"/>
    <n v="0.218"/>
    <s v="Low"/>
    <n v="25.134999999999998"/>
    <s v="Low"/>
  </r>
  <r>
    <n v="250"/>
    <n v="8.83"/>
    <x v="3"/>
    <x v="0"/>
    <n v="2500"/>
    <n v="80.099999999999994"/>
    <n v="4.16"/>
    <n v="2.2200000000000002"/>
    <n v="25.14"/>
    <n v="20"/>
    <s v="Moderate"/>
    <s v="VALID"/>
    <n v="0.11100000000000002"/>
    <s v="Low"/>
    <n v="14.65"/>
    <s v="Low"/>
  </r>
  <r>
    <n v="100"/>
    <n v="6.22"/>
    <x v="3"/>
    <x v="3"/>
    <n v="1500"/>
    <n v="48.5"/>
    <n v="6.68"/>
    <n v="4.13"/>
    <n v="66.400000000000006"/>
    <n v="21"/>
    <s v="Moderate"/>
    <s v="VALID"/>
    <n v="0.19666666666666666"/>
    <s v="Medium"/>
    <n v="36.540000000000006"/>
    <s v="Medium"/>
  </r>
  <r>
    <n v="50"/>
    <n v="4.59"/>
    <x v="4"/>
    <x v="4"/>
    <n v="600"/>
    <n v="53"/>
    <n v="19.59"/>
    <n v="9.6199999999999992"/>
    <n v="209.59"/>
    <n v="1"/>
    <s v="Critical"/>
    <s v="INVALID"/>
    <m/>
    <m/>
    <m/>
    <m/>
  </r>
  <r>
    <n v="250"/>
    <n v="13.97"/>
    <x v="3"/>
    <x v="0"/>
    <n v="2500"/>
    <n v="91.2"/>
    <n v="6.08"/>
    <n v="2.31"/>
    <n v="16.54"/>
    <n v="15"/>
    <s v="Moderate"/>
    <s v="VALID"/>
    <n v="0.154"/>
    <s v="Low"/>
    <n v="11.309999999999999"/>
    <s v="Low"/>
  </r>
  <r>
    <n v="250"/>
    <n v="7.81"/>
    <x v="4"/>
    <x v="1"/>
    <n v="2500"/>
    <n v="0.2"/>
    <n v="4.22"/>
    <n v="8.43"/>
    <n v="107.94"/>
    <n v="20"/>
    <s v="Critical"/>
    <s v="INVALID"/>
    <m/>
    <m/>
    <m/>
    <m/>
  </r>
  <r>
    <n v="500"/>
    <n v="17.25"/>
    <x v="3"/>
    <x v="2"/>
    <n v="900"/>
    <n v="115.9"/>
    <n v="3.95"/>
    <n v="3.41"/>
    <n v="19.77"/>
    <n v="3"/>
    <s v="Moderate"/>
    <s v="VALID"/>
    <n v="1.1366666666666667"/>
    <s v="Medium"/>
    <n v="11.86"/>
    <s v="Low"/>
  </r>
  <r>
    <n v="1500"/>
    <n v="38.44"/>
    <x v="2"/>
    <x v="2"/>
    <n v="2500"/>
    <n v="84.5"/>
    <n v="19.2"/>
    <n v="7.43"/>
    <n v="19.329999999999998"/>
    <n v="15"/>
    <s v="Critical"/>
    <s v="VALID"/>
    <n v="0.49533333333333329"/>
    <s v="Low"/>
    <n v="19.265000000000001"/>
    <s v="Low"/>
  </r>
  <r>
    <n v="1000"/>
    <n v="19.27"/>
    <x v="0"/>
    <x v="4"/>
    <n v="1500"/>
    <n v="14.9"/>
    <n v="1.18"/>
    <n v="5.13"/>
    <n v="26.62"/>
    <n v="11"/>
    <s v="Critical"/>
    <s v="VALID"/>
    <n v="0.46636363636363637"/>
    <s v="Medium"/>
    <n v="13.9"/>
    <s v="Low"/>
  </r>
  <r>
    <n v="600"/>
    <n v="27.65"/>
    <x v="0"/>
    <x v="2"/>
    <n v="1500"/>
    <n v="59.7"/>
    <n v="15.54"/>
    <n v="7.65"/>
    <n v="27.67"/>
    <n v="14"/>
    <s v="Critical"/>
    <s v="VALID"/>
    <n v="0.54642857142857149"/>
    <s v="Medium"/>
    <n v="21.605"/>
    <s v="Low"/>
  </r>
  <r>
    <n v="250"/>
    <n v="10.91"/>
    <x v="3"/>
    <x v="0"/>
    <n v="600"/>
    <n v="101"/>
    <n v="16.72"/>
    <n v="3.49"/>
    <n v="31.99"/>
    <n v="21"/>
    <s v="Moderate"/>
    <s v="VALID"/>
    <n v="0.16619047619047619"/>
    <s v="Medium"/>
    <n v="24.354999999999997"/>
    <s v="Low"/>
  </r>
  <r>
    <n v="250"/>
    <n v="8.36"/>
    <x v="0"/>
    <x v="2"/>
    <n v="2500"/>
    <n v="13.4"/>
    <n v="0.78"/>
    <n v="2.6"/>
    <n v="31.1"/>
    <n v="14"/>
    <s v="Moderate"/>
    <s v="VALID"/>
    <n v="0.18571428571428572"/>
    <s v="Low"/>
    <n v="15.940000000000001"/>
    <s v="Low"/>
  </r>
  <r>
    <n v="1200"/>
    <n v="39.82"/>
    <x v="1"/>
    <x v="3"/>
    <n v="150"/>
    <n v="85.1"/>
    <n v="3.94"/>
    <n v="8.5"/>
    <n v="21.35"/>
    <n v="8"/>
    <s v="Critical"/>
    <s v="VALID"/>
    <n v="1.0625"/>
    <s v="Medium"/>
    <n v="12.645000000000001"/>
    <s v="Low"/>
  </r>
  <r>
    <n v="1200"/>
    <n v="29.76"/>
    <x v="2"/>
    <x v="0"/>
    <n v="1500"/>
    <n v="26.7"/>
    <n v="2.75"/>
    <n v="9.7100000000000009"/>
    <n v="32.630000000000003"/>
    <n v="14"/>
    <s v="Critical"/>
    <s v="VALID"/>
    <n v="0.69357142857142862"/>
    <s v="Low"/>
    <n v="17.690000000000001"/>
    <s v="Low"/>
  </r>
  <r>
    <n v="250"/>
    <n v="14.25"/>
    <x v="3"/>
    <x v="1"/>
    <n v="600"/>
    <n v="78.3"/>
    <n v="8.49"/>
    <n v="4.82"/>
    <n v="33.82"/>
    <n v="11"/>
    <s v="Moderate"/>
    <s v="VALID"/>
    <n v="0.43818181818181823"/>
    <s v="Medium"/>
    <n v="21.155000000000001"/>
    <s v="Low"/>
  </r>
  <r>
    <n v="100"/>
    <n v="7.2"/>
    <x v="1"/>
    <x v="2"/>
    <n v="300"/>
    <n v="56"/>
    <n v="4.5199999999999996"/>
    <n v="2.54"/>
    <n v="35.28"/>
    <n v="11"/>
    <s v="Moderate"/>
    <s v="VALID"/>
    <n v="0.23090909090909092"/>
    <s v="Low"/>
    <n v="19.899999999999999"/>
    <s v="Low"/>
  </r>
  <r>
    <n v="200"/>
    <n v="6"/>
    <x v="0"/>
    <x v="0"/>
    <n v="2500"/>
    <n v="54.9"/>
    <n v="6.59"/>
    <n v="2.97"/>
    <n v="49.5"/>
    <n v="3"/>
    <s v="Moderate"/>
    <s v="VALID"/>
    <n v="0.9900000000000001"/>
    <s v="Low"/>
    <n v="28.045000000000002"/>
    <s v="Low"/>
  </r>
  <r>
    <n v="150"/>
    <n v="7.85"/>
    <x v="4"/>
    <x v="4"/>
    <n v="1500"/>
    <n v="80.3"/>
    <n v="13.23"/>
    <n v="4.91"/>
    <n v="62.55"/>
    <n v="13"/>
    <s v="Moderate"/>
    <s v="VALID"/>
    <n v="0.37769230769230772"/>
    <s v="Medium"/>
    <n v="37.89"/>
    <s v="Medium"/>
  </r>
  <r>
    <n v="200"/>
    <n v="6.59"/>
    <x v="4"/>
    <x v="3"/>
    <n v="900"/>
    <n v="21.4"/>
    <n v="12.65"/>
    <n v="1.39"/>
    <n v="21.09"/>
    <n v="17"/>
    <s v="Normal"/>
    <s v="VALID"/>
    <n v="8.1764705882352934E-2"/>
    <s v="Medium"/>
    <n v="16.87"/>
    <s v="Low"/>
  </r>
  <r>
    <n v="1500"/>
    <n v="23.28"/>
    <x v="1"/>
    <x v="4"/>
    <n v="300"/>
    <n v="55.9"/>
    <n v="7.31"/>
    <n v="3.44"/>
    <n v="14.78"/>
    <n v="24"/>
    <s v="Moderate"/>
    <s v="VALID"/>
    <n v="0.14333333333333334"/>
    <s v="Low"/>
    <n v="11.045"/>
    <s v="Low"/>
  </r>
  <r>
    <n v="200"/>
    <n v="8.9499999999999993"/>
    <x v="3"/>
    <x v="1"/>
    <n v="2500"/>
    <n v="-14.8"/>
    <n v="7.22"/>
    <n v="4.9000000000000004"/>
    <n v="54.75"/>
    <n v="20"/>
    <s v="Moderate"/>
    <s v="VALID"/>
    <n v="0.24500000000000002"/>
    <s v="Low"/>
    <n v="30.984999999999999"/>
    <s v="Medium"/>
  </r>
  <r>
    <n v="500"/>
    <n v="23.11"/>
    <x v="0"/>
    <x v="4"/>
    <n v="900"/>
    <n v="-25.8"/>
    <n v="0.55000000000000004"/>
    <n v="7.04"/>
    <n v="30.46"/>
    <n v="19"/>
    <s v="Critical"/>
    <s v="VALID"/>
    <n v="0.3705263157894737"/>
    <s v="Medium"/>
    <n v="15.505000000000001"/>
    <s v="Low"/>
  </r>
  <r>
    <n v="250"/>
    <n v="7.67"/>
    <x v="0"/>
    <x v="0"/>
    <n v="300"/>
    <n v="17"/>
    <n v="13.07"/>
    <n v="4.5599999999999996"/>
    <n v="59.45"/>
    <n v="14"/>
    <s v="Moderate"/>
    <s v="VALID"/>
    <n v="0.32571428571428568"/>
    <s v="Low"/>
    <n v="36.260000000000005"/>
    <s v="Medium"/>
  </r>
  <r>
    <n v="100"/>
    <n v="5.1100000000000003"/>
    <x v="1"/>
    <x v="3"/>
    <n v="300"/>
    <n v="29.8"/>
    <n v="9.35"/>
    <n v="8.5399999999999991"/>
    <n v="167.12"/>
    <n v="12"/>
    <s v="Critical"/>
    <s v="INVALID"/>
    <m/>
    <m/>
    <m/>
    <m/>
  </r>
  <r>
    <n v="150"/>
    <n v="5.98"/>
    <x v="0"/>
    <x v="0"/>
    <n v="150"/>
    <n v="30"/>
    <n v="16"/>
    <n v="8.4700000000000006"/>
    <n v="141.63999999999999"/>
    <n v="2"/>
    <s v="Critical"/>
    <s v="INVALID"/>
    <m/>
    <m/>
    <m/>
    <m/>
  </r>
  <r>
    <n v="500"/>
    <n v="11.8"/>
    <x v="4"/>
    <x v="3"/>
    <n v="1500"/>
    <n v="9"/>
    <n v="4.58"/>
    <n v="7.75"/>
    <n v="65.680000000000007"/>
    <n v="7"/>
    <s v="Critical"/>
    <s v="VALID"/>
    <n v="1.1071428571428572"/>
    <s v="Low"/>
    <n v="35.130000000000003"/>
    <s v="Medium"/>
  </r>
  <r>
    <n v="100"/>
    <n v="7.56"/>
    <x v="1"/>
    <x v="1"/>
    <n v="150"/>
    <n v="38.4"/>
    <n v="9.0500000000000007"/>
    <n v="2.2200000000000002"/>
    <n v="29.37"/>
    <n v="25"/>
    <s v="Moderate"/>
    <s v="VALID"/>
    <n v="8.8800000000000004E-2"/>
    <s v="Medium"/>
    <n v="19.21"/>
    <s v="Low"/>
  </r>
  <r>
    <n v="250"/>
    <n v="12.07"/>
    <x v="2"/>
    <x v="2"/>
    <n v="600"/>
    <n v="5.4"/>
    <n v="2.33"/>
    <n v="9.1999999999999993"/>
    <n v="76.22"/>
    <n v="17"/>
    <s v="Critical"/>
    <s v="VALID"/>
    <n v="0.54117647058823526"/>
    <s v="Low"/>
    <n v="39.274999999999999"/>
    <s v="Medium"/>
  </r>
  <r>
    <n v="400"/>
    <n v="15.86"/>
    <x v="0"/>
    <x v="0"/>
    <n v="150"/>
    <n v="24"/>
    <n v="1.32"/>
    <n v="1.06"/>
    <n v="6.68"/>
    <n v="1"/>
    <s v="Normal"/>
    <s v="VALID"/>
    <n v="1.06"/>
    <s v="Low"/>
    <n v="4"/>
    <s v="Low"/>
  </r>
  <r>
    <n v="150"/>
    <n v="5.86"/>
    <x v="1"/>
    <x v="0"/>
    <n v="900"/>
    <n v="-9"/>
    <n v="1.97"/>
    <n v="4.22"/>
    <n v="72.010000000000005"/>
    <n v="7"/>
    <s v="Moderate"/>
    <s v="VALID"/>
    <n v="0.60285714285714287"/>
    <s v="Low"/>
    <n v="36.99"/>
    <s v="Medium"/>
  </r>
  <r>
    <n v="250"/>
    <n v="10.98"/>
    <x v="0"/>
    <x v="2"/>
    <n v="300"/>
    <n v="-13"/>
    <n v="8.3000000000000007"/>
    <n v="5.05"/>
    <n v="45.99"/>
    <n v="23"/>
    <s v="Critical"/>
    <s v="VALID"/>
    <n v="0.21956521739130433"/>
    <s v="Low"/>
    <n v="27.145000000000003"/>
    <s v="Low"/>
  </r>
  <r>
    <n v="1000"/>
    <n v="20.36"/>
    <x v="4"/>
    <x v="3"/>
    <n v="600"/>
    <n v="73.400000000000006"/>
    <n v="9.77"/>
    <n v="5.07"/>
    <n v="24.9"/>
    <n v="20"/>
    <s v="Critical"/>
    <s v="VALID"/>
    <n v="0.2535"/>
    <s v="Low"/>
    <n v="17.335000000000001"/>
    <s v="Low"/>
  </r>
  <r>
    <n v="300"/>
    <n v="9.5"/>
    <x v="0"/>
    <x v="3"/>
    <n v="1500"/>
    <n v="63.9"/>
    <n v="1.68"/>
    <n v="1.77"/>
    <n v="18.63"/>
    <n v="20"/>
    <s v="Normal"/>
    <s v="VALID"/>
    <n v="8.8499999999999995E-2"/>
    <s v="Low"/>
    <n v="10.154999999999999"/>
    <s v="Low"/>
  </r>
  <r>
    <n v="250"/>
    <n v="11.93"/>
    <x v="4"/>
    <x v="0"/>
    <n v="900"/>
    <n v="-1.5"/>
    <n v="13.99"/>
    <n v="9.0500000000000007"/>
    <n v="75.86"/>
    <n v="1"/>
    <s v="Critical"/>
    <s v="VALID"/>
    <n v="9.0500000000000007"/>
    <s v="Medium"/>
    <n v="44.924999999999997"/>
    <s v="Medium"/>
  </r>
  <r>
    <n v="100"/>
    <n v="6.48"/>
    <x v="0"/>
    <x v="1"/>
    <n v="1500"/>
    <n v="25.2"/>
    <n v="19.86"/>
    <n v="0.84"/>
    <n v="12.96"/>
    <n v="3"/>
    <s v="Normal"/>
    <s v="VALID"/>
    <n v="0.27999999999999997"/>
    <s v="Low"/>
    <n v="16.41"/>
    <s v="Low"/>
  </r>
  <r>
    <n v="1500"/>
    <n v="32.42"/>
    <x v="0"/>
    <x v="0"/>
    <n v="2500"/>
    <n v="52.5"/>
    <n v="14.33"/>
    <n v="0.35"/>
    <n v="1.08"/>
    <n v="9"/>
    <s v="Normal"/>
    <s v="VALID"/>
    <n v="3.888888888888889E-2"/>
    <s v="Medium"/>
    <n v="7.7050000000000001"/>
    <s v="Low"/>
  </r>
  <r>
    <n v="50"/>
    <n v="5.91"/>
    <x v="4"/>
    <x v="0"/>
    <n v="1500"/>
    <n v="69.5"/>
    <n v="12.51"/>
    <n v="2.88"/>
    <n v="48.73"/>
    <n v="3"/>
    <s v="Moderate"/>
    <s v="VALID"/>
    <n v="0.96"/>
    <s v="Medium"/>
    <n v="30.619999999999997"/>
    <s v="Medium"/>
  </r>
  <r>
    <n v="1200"/>
    <n v="38.4"/>
    <x v="0"/>
    <x v="1"/>
    <n v="150"/>
    <n v="55.4"/>
    <n v="4.88"/>
    <n v="5.01"/>
    <n v="13.05"/>
    <n v="4"/>
    <s v="Critical"/>
    <s v="VALID"/>
    <n v="1.2524999999999999"/>
    <s v="Medium"/>
    <n v="8.9649999999999999"/>
    <s v="Low"/>
  </r>
  <r>
    <n v="400"/>
    <n v="17.670000000000002"/>
    <x v="4"/>
    <x v="4"/>
    <n v="1500"/>
    <n v="93.7"/>
    <n v="2.4300000000000002"/>
    <n v="4.28"/>
    <n v="24.22"/>
    <n v="16"/>
    <s v="Moderate"/>
    <s v="VALID"/>
    <n v="0.26750000000000002"/>
    <s v="Low"/>
    <n v="13.324999999999999"/>
    <s v="Low"/>
  </r>
  <r>
    <n v="1500"/>
    <n v="32.43"/>
    <x v="0"/>
    <x v="3"/>
    <n v="1500"/>
    <n v="74.099999999999994"/>
    <n v="10.62"/>
    <n v="5.41"/>
    <n v="16.68"/>
    <n v="10"/>
    <s v="Critical"/>
    <s v="VALID"/>
    <n v="0.54100000000000004"/>
    <s v="Medium"/>
    <n v="13.649999999999999"/>
    <s v="Low"/>
  </r>
  <r>
    <n v="50"/>
    <n v="5.77"/>
    <x v="2"/>
    <x v="1"/>
    <n v="600"/>
    <n v="145.9"/>
    <n v="15.87"/>
    <n v="3.71"/>
    <n v="64.3"/>
    <n v="17"/>
    <s v="Moderate"/>
    <s v="VALID"/>
    <n v="0.21823529411764706"/>
    <s v="Medium"/>
    <n v="40.085000000000001"/>
    <s v="Medium"/>
  </r>
  <r>
    <n v="500"/>
    <n v="24.6"/>
    <x v="3"/>
    <x v="0"/>
    <n v="2500"/>
    <n v="112.2"/>
    <n v="3.86"/>
    <n v="4.95"/>
    <n v="20.12"/>
    <n v="20"/>
    <s v="Moderate"/>
    <s v="VALID"/>
    <n v="0.2475"/>
    <s v="Low"/>
    <n v="11.99"/>
    <s v="Low"/>
  </r>
  <r>
    <n v="1000"/>
    <n v="17.02"/>
    <x v="4"/>
    <x v="3"/>
    <n v="2500"/>
    <n v="59.2"/>
    <n v="12.76"/>
    <n v="4.63"/>
    <n v="27.2"/>
    <n v="12"/>
    <s v="Moderate"/>
    <s v="VALID"/>
    <n v="0.38583333333333331"/>
    <s v="Medium"/>
    <n v="19.98"/>
    <s v="Low"/>
  </r>
  <r>
    <n v="500"/>
    <n v="20.74"/>
    <x v="3"/>
    <x v="2"/>
    <n v="900"/>
    <n v="76.599999999999994"/>
    <n v="8.08"/>
    <n v="6.73"/>
    <n v="32.450000000000003"/>
    <n v="21"/>
    <s v="Critical"/>
    <s v="VALID"/>
    <n v="0.32047619047619047"/>
    <s v="Medium"/>
    <n v="20.265000000000001"/>
    <s v="Low"/>
  </r>
  <r>
    <n v="50"/>
    <n v="4.6399999999999997"/>
    <x v="2"/>
    <x v="1"/>
    <n v="300"/>
    <n v="43.9"/>
    <n v="10.26"/>
    <n v="6.19"/>
    <n v="133.41"/>
    <n v="12"/>
    <s v="Critical"/>
    <s v="INVALID"/>
    <m/>
    <m/>
    <m/>
    <m/>
  </r>
  <r>
    <n v="100"/>
    <n v="7.34"/>
    <x v="4"/>
    <x v="2"/>
    <n v="150"/>
    <n v="43.4"/>
    <n v="0.36"/>
    <n v="5.22"/>
    <n v="71.12"/>
    <n v="6"/>
    <s v="Critical"/>
    <s v="VALID"/>
    <n v="0.87"/>
    <s v="Low"/>
    <n v="35.74"/>
    <s v="Medium"/>
  </r>
  <r>
    <n v="200"/>
    <n v="7.11"/>
    <x v="4"/>
    <x v="3"/>
    <n v="900"/>
    <n v="82.3"/>
    <n v="19.23"/>
    <n v="9.02"/>
    <n v="126.86"/>
    <n v="8"/>
    <s v="Critical"/>
    <s v="INVALID"/>
    <m/>
    <m/>
    <m/>
    <m/>
  </r>
  <r>
    <n v="150"/>
    <n v="8.14"/>
    <x v="2"/>
    <x v="2"/>
    <n v="900"/>
    <n v="49.4"/>
    <n v="13.53"/>
    <n v="1.68"/>
    <n v="20.64"/>
    <n v="18"/>
    <s v="Normal"/>
    <s v="VALID"/>
    <n v="9.3333333333333324E-2"/>
    <s v="Low"/>
    <n v="17.085000000000001"/>
    <s v="Low"/>
  </r>
  <r>
    <n v="500"/>
    <n v="20.14"/>
    <x v="3"/>
    <x v="0"/>
    <n v="2500"/>
    <n v="-41.4"/>
    <n v="14.99"/>
    <n v="7.22"/>
    <n v="35.85"/>
    <n v="4"/>
    <s v="Critical"/>
    <s v="VALID"/>
    <n v="1.8049999999999999"/>
    <s v="Low"/>
    <n v="25.42"/>
    <s v="Low"/>
  </r>
  <r>
    <n v="250"/>
    <n v="7.07"/>
    <x v="2"/>
    <x v="3"/>
    <n v="1500"/>
    <n v="83"/>
    <n v="0.67"/>
    <n v="4.25"/>
    <n v="60.11"/>
    <n v="11"/>
    <s v="Moderate"/>
    <s v="VALID"/>
    <n v="0.38636363636363635"/>
    <s v="Medium"/>
    <n v="30.39"/>
    <s v="Medium"/>
  </r>
  <r>
    <n v="1500"/>
    <n v="39.119999999999997"/>
    <x v="3"/>
    <x v="2"/>
    <n v="2500"/>
    <n v="40.700000000000003"/>
    <n v="2.54"/>
    <n v="7.87"/>
    <n v="20.12"/>
    <n v="5"/>
    <s v="Critical"/>
    <s v="VALID"/>
    <n v="1.5740000000000001"/>
    <s v="Medium"/>
    <n v="11.33"/>
    <s v="Low"/>
  </r>
  <r>
    <n v="250"/>
    <n v="9.86"/>
    <x v="2"/>
    <x v="4"/>
    <n v="600"/>
    <n v="68.400000000000006"/>
    <n v="7.98"/>
    <n v="6.94"/>
    <n v="70.39"/>
    <n v="17"/>
    <s v="Critical"/>
    <s v="VALID"/>
    <n v="0.40823529411764709"/>
    <s v="Medium"/>
    <n v="39.185000000000002"/>
    <s v="Medium"/>
  </r>
  <r>
    <n v="1500"/>
    <n v="29.64"/>
    <x v="3"/>
    <x v="3"/>
    <n v="600"/>
    <n v="9.4"/>
    <n v="1.29"/>
    <n v="8.14"/>
    <n v="27.46"/>
    <n v="8"/>
    <s v="Critical"/>
    <s v="VALID"/>
    <n v="1.0175000000000001"/>
    <s v="Low"/>
    <n v="14.375"/>
    <s v="Low"/>
  </r>
  <r>
    <n v="1000"/>
    <n v="20.64"/>
    <x v="3"/>
    <x v="4"/>
    <n v="150"/>
    <n v="11.9"/>
    <n v="15.55"/>
    <n v="9.0299999999999994"/>
    <n v="43.75"/>
    <n v="24"/>
    <s v="Critical"/>
    <s v="VALID"/>
    <n v="0.37624999999999997"/>
    <s v="Low"/>
    <n v="29.65"/>
    <s v="Low"/>
  </r>
  <r>
    <n v="500"/>
    <n v="10.34"/>
    <x v="4"/>
    <x v="2"/>
    <n v="300"/>
    <n v="84"/>
    <n v="6.19"/>
    <n v="9.7100000000000009"/>
    <n v="93.91"/>
    <n v="20"/>
    <s v="Critical"/>
    <s v="VALID"/>
    <n v="0.48550000000000004"/>
    <s v="Low"/>
    <n v="50.05"/>
    <s v="Medium"/>
  </r>
  <r>
    <n v="1500"/>
    <n v="44.48"/>
    <x v="3"/>
    <x v="2"/>
    <n v="1500"/>
    <n v="-29.6"/>
    <n v="13.89"/>
    <n v="0.34"/>
    <n v="0.76"/>
    <n v="16"/>
    <s v="Normal"/>
    <s v="VALID"/>
    <n v="2.1250000000000002E-2"/>
    <s v="Low"/>
    <n v="7.3250000000000002"/>
    <s v="Low"/>
  </r>
  <r>
    <n v="300"/>
    <n v="16.190000000000001"/>
    <x v="4"/>
    <x v="3"/>
    <n v="300"/>
    <n v="7.5"/>
    <n v="5.6"/>
    <n v="3.21"/>
    <n v="19.829999999999998"/>
    <n v="22"/>
    <s v="Moderate"/>
    <s v="VALID"/>
    <n v="0.1459090909090909"/>
    <s v="Medium"/>
    <n v="12.715"/>
    <s v="Low"/>
  </r>
  <r>
    <n v="400"/>
    <n v="10.36"/>
    <x v="3"/>
    <x v="2"/>
    <n v="300"/>
    <n v="47.7"/>
    <n v="12.23"/>
    <n v="8.44"/>
    <n v="81.47"/>
    <n v="1"/>
    <s v="Critical"/>
    <s v="VALID"/>
    <n v="8.44"/>
    <s v="Low"/>
    <n v="46.85"/>
    <s v="Medium"/>
  </r>
  <r>
    <n v="200"/>
    <n v="11.25"/>
    <x v="0"/>
    <x v="4"/>
    <n v="150"/>
    <n v="49.9"/>
    <n v="14.66"/>
    <n v="0.79"/>
    <n v="7.02"/>
    <n v="21"/>
    <s v="Normal"/>
    <s v="VALID"/>
    <n v="3.7619047619047621E-2"/>
    <s v="Low"/>
    <n v="10.84"/>
    <s v="Low"/>
  </r>
  <r>
    <n v="1500"/>
    <n v="48.21"/>
    <x v="2"/>
    <x v="4"/>
    <n v="300"/>
    <n v="-7.8"/>
    <n v="11.53"/>
    <n v="4.54"/>
    <n v="9.42"/>
    <n v="2"/>
    <s v="Moderate"/>
    <s v="VALID"/>
    <n v="2.27"/>
    <s v="Low"/>
    <n v="10.475"/>
    <s v="Low"/>
  </r>
  <r>
    <n v="500"/>
    <n v="24.71"/>
    <x v="3"/>
    <x v="1"/>
    <n v="1500"/>
    <n v="117"/>
    <n v="15.95"/>
    <n v="3.69"/>
    <n v="14.93"/>
    <n v="13"/>
    <s v="Moderate"/>
    <s v="VALID"/>
    <n v="0.28384615384615386"/>
    <s v="Low"/>
    <n v="15.44"/>
    <s v="Low"/>
  </r>
  <r>
    <n v="800"/>
    <n v="24.54"/>
    <x v="2"/>
    <x v="4"/>
    <n v="600"/>
    <n v="50.1"/>
    <n v="17.02"/>
    <n v="6.98"/>
    <n v="28.44"/>
    <n v="17"/>
    <s v="Critical"/>
    <s v="VALID"/>
    <n v="0.4105882352941177"/>
    <s v="Medium"/>
    <n v="22.73"/>
    <s v="Low"/>
  </r>
  <r>
    <n v="250"/>
    <n v="8.64"/>
    <x v="0"/>
    <x v="2"/>
    <n v="1500"/>
    <n v="21.6"/>
    <n v="2.68"/>
    <n v="3.21"/>
    <n v="37.15"/>
    <n v="20"/>
    <s v="Moderate"/>
    <s v="VALID"/>
    <n v="0.1605"/>
    <s v="Low"/>
    <n v="19.914999999999999"/>
    <s v="Low"/>
  </r>
  <r>
    <n v="800"/>
    <n v="28.92"/>
    <x v="4"/>
    <x v="4"/>
    <n v="900"/>
    <n v="42.4"/>
    <n v="10.210000000000001"/>
    <n v="8.9"/>
    <n v="30.77"/>
    <n v="21"/>
    <s v="Critical"/>
    <s v="VALID"/>
    <n v="0.4238095238095238"/>
    <s v="Medium"/>
    <n v="20.490000000000002"/>
    <s v="Low"/>
  </r>
  <r>
    <n v="300"/>
    <n v="7.69"/>
    <x v="2"/>
    <x v="2"/>
    <n v="300"/>
    <n v="54.7"/>
    <n v="18.170000000000002"/>
    <n v="6.39"/>
    <n v="83.09"/>
    <n v="16"/>
    <s v="Critical"/>
    <s v="VALID"/>
    <n v="0.39937499999999998"/>
    <s v="Low"/>
    <n v="50.63"/>
    <s v="Medium"/>
  </r>
  <r>
    <n v="300"/>
    <n v="12.66"/>
    <x v="3"/>
    <x v="1"/>
    <n v="1500"/>
    <n v="135.4"/>
    <n v="2.77"/>
    <n v="5.85"/>
    <n v="46.21"/>
    <n v="25"/>
    <s v="Critical"/>
    <s v="VALID"/>
    <n v="0.23399999999999999"/>
    <s v="Low"/>
    <n v="24.490000000000002"/>
    <s v="Low"/>
  </r>
  <r>
    <n v="150"/>
    <n v="7.37"/>
    <x v="2"/>
    <x v="4"/>
    <n v="300"/>
    <n v="24"/>
    <n v="17.39"/>
    <n v="5.32"/>
    <n v="72.180000000000007"/>
    <n v="16"/>
    <s v="Critical"/>
    <s v="VALID"/>
    <n v="0.33250000000000002"/>
    <s v="Medium"/>
    <n v="44.785000000000004"/>
    <s v="Medium"/>
  </r>
  <r>
    <n v="800"/>
    <n v="29.97"/>
    <x v="0"/>
    <x v="4"/>
    <n v="150"/>
    <n v="29.2"/>
    <n v="0.68"/>
    <n v="8.8800000000000008"/>
    <n v="29.63"/>
    <n v="6"/>
    <s v="Critical"/>
    <s v="VALID"/>
    <n v="1.4800000000000002"/>
    <s v="Low"/>
    <n v="15.154999999999999"/>
    <s v="Low"/>
  </r>
  <r>
    <n v="250"/>
    <n v="6.91"/>
    <x v="0"/>
    <x v="4"/>
    <n v="600"/>
    <n v="117.5"/>
    <n v="9.0500000000000007"/>
    <n v="9.44"/>
    <n v="136.61000000000001"/>
    <n v="4"/>
    <s v="Critical"/>
    <s v="INVALID"/>
    <m/>
    <m/>
    <m/>
    <m/>
  </r>
  <r>
    <n v="1200"/>
    <n v="23.28"/>
    <x v="1"/>
    <x v="0"/>
    <n v="900"/>
    <n v="-3.5"/>
    <n v="5.46"/>
    <n v="2.8"/>
    <n v="12.03"/>
    <n v="2"/>
    <s v="Moderate"/>
    <s v="VALID"/>
    <n v="1.4"/>
    <s v="Low"/>
    <n v="8.7449999999999992"/>
    <s v="Low"/>
  </r>
  <r>
    <n v="150"/>
    <n v="5.13"/>
    <x v="4"/>
    <x v="2"/>
    <n v="300"/>
    <n v="70.599999999999994"/>
    <n v="4.04"/>
    <n v="4.43"/>
    <n v="86.35"/>
    <n v="16"/>
    <s v="Moderate"/>
    <s v="VALID"/>
    <n v="0.27687499999999998"/>
    <s v="Low"/>
    <n v="45.195"/>
    <s v="Medium"/>
  </r>
  <r>
    <n v="800"/>
    <n v="28.48"/>
    <x v="0"/>
    <x v="2"/>
    <n v="2500"/>
    <n v="73"/>
    <n v="5.76"/>
    <n v="1.51"/>
    <n v="5.3"/>
    <n v="19"/>
    <s v="Normal"/>
    <s v="VALID"/>
    <n v="7.9473684210526321E-2"/>
    <s v="Low"/>
    <n v="5.5299999999999994"/>
    <s v="Low"/>
  </r>
  <r>
    <n v="100"/>
    <n v="6.36"/>
    <x v="0"/>
    <x v="2"/>
    <n v="600"/>
    <n v="144.69999999999999"/>
    <n v="19.8"/>
    <n v="7.5"/>
    <n v="117.92"/>
    <n v="9"/>
    <s v="Critical"/>
    <s v="INVALID"/>
    <m/>
    <m/>
    <m/>
    <m/>
  </r>
  <r>
    <n v="50"/>
    <n v="3.16"/>
    <x v="0"/>
    <x v="4"/>
    <n v="600"/>
    <n v="40.4"/>
    <n v="12.22"/>
    <n v="5.14"/>
    <n v="162.66"/>
    <n v="1"/>
    <s v="Critical"/>
    <s v="INVALID"/>
    <m/>
    <m/>
    <m/>
    <m/>
  </r>
  <r>
    <n v="1000"/>
    <n v="24.52"/>
    <x v="2"/>
    <x v="2"/>
    <n v="300"/>
    <n v="42.2"/>
    <n v="19.14"/>
    <n v="5.62"/>
    <n v="22.92"/>
    <n v="13"/>
    <s v="Critical"/>
    <s v="VALID"/>
    <n v="0.43230769230769234"/>
    <s v="Low"/>
    <n v="21.03"/>
    <s v="Low"/>
  </r>
  <r>
    <n v="500"/>
    <n v="11.99"/>
    <x v="1"/>
    <x v="2"/>
    <n v="900"/>
    <n v="24.5"/>
    <n v="8.1199999999999992"/>
    <n v="3.88"/>
    <n v="32.36"/>
    <n v="16"/>
    <s v="Moderate"/>
    <s v="VALID"/>
    <n v="0.24249999999999999"/>
    <s v="Low"/>
    <n v="20.239999999999998"/>
    <s v="Low"/>
  </r>
  <r>
    <n v="100"/>
    <n v="5.28"/>
    <x v="3"/>
    <x v="0"/>
    <n v="1500"/>
    <n v="-15.4"/>
    <n v="7.52"/>
    <n v="0.93"/>
    <n v="17.61"/>
    <n v="5"/>
    <s v="Normal"/>
    <s v="VALID"/>
    <n v="0.186"/>
    <s v="Low"/>
    <n v="12.565"/>
    <s v="Low"/>
  </r>
  <r>
    <n v="300"/>
    <n v="10.97"/>
    <x v="1"/>
    <x v="3"/>
    <n v="150"/>
    <n v="-42.6"/>
    <n v="11.52"/>
    <n v="4.7"/>
    <n v="42.84"/>
    <n v="16"/>
    <s v="Moderate"/>
    <s v="VALID"/>
    <n v="0.29375000000000001"/>
    <s v="Medium"/>
    <n v="27.18"/>
    <s v="Low"/>
  </r>
  <r>
    <n v="1200"/>
    <n v="24.25"/>
    <x v="0"/>
    <x v="3"/>
    <n v="300"/>
    <n v="59.6"/>
    <n v="2.35"/>
    <n v="5.71"/>
    <n v="23.55"/>
    <n v="19"/>
    <s v="Critical"/>
    <s v="VALID"/>
    <n v="0.3005263157894737"/>
    <s v="Low"/>
    <n v="12.950000000000001"/>
    <s v="Low"/>
  </r>
  <r>
    <n v="150"/>
    <n v="5.58"/>
    <x v="1"/>
    <x v="2"/>
    <n v="900"/>
    <n v="33.200000000000003"/>
    <n v="13.73"/>
    <n v="2.75"/>
    <n v="49.28"/>
    <n v="14"/>
    <s v="Moderate"/>
    <s v="VALID"/>
    <n v="0.19642857142857142"/>
    <s v="Low"/>
    <n v="31.505000000000003"/>
    <s v="Medium"/>
  </r>
  <r>
    <n v="1500"/>
    <n v="49.53"/>
    <x v="1"/>
    <x v="4"/>
    <n v="150"/>
    <n v="11.1"/>
    <n v="15.18"/>
    <n v="0.31"/>
    <n v="0.63"/>
    <n v="7"/>
    <s v="Normal"/>
    <s v="VALID"/>
    <n v="4.4285714285714282E-2"/>
    <s v="Low"/>
    <n v="7.9050000000000002"/>
    <s v="Low"/>
  </r>
  <r>
    <n v="500"/>
    <n v="24.55"/>
    <x v="3"/>
    <x v="1"/>
    <n v="900"/>
    <n v="-4"/>
    <n v="18.89"/>
    <n v="7.2"/>
    <n v="29.33"/>
    <n v="17"/>
    <s v="Critical"/>
    <s v="VALID"/>
    <n v="0.42352941176470588"/>
    <s v="Low"/>
    <n v="24.11"/>
    <s v="Low"/>
  </r>
  <r>
    <n v="300"/>
    <n v="16.899999999999999"/>
    <x v="3"/>
    <x v="3"/>
    <n v="2500"/>
    <n v="102.6"/>
    <n v="5.0199999999999996"/>
    <n v="8.27"/>
    <n v="48.93"/>
    <n v="3"/>
    <s v="Critical"/>
    <s v="VALID"/>
    <n v="2.7566666666666664"/>
    <s v="Low"/>
    <n v="26.975000000000001"/>
    <s v="Low"/>
  </r>
  <r>
    <n v="1200"/>
    <n v="39.479999999999997"/>
    <x v="4"/>
    <x v="0"/>
    <n v="300"/>
    <n v="-48.4"/>
    <n v="18.95"/>
    <n v="7.62"/>
    <n v="19.3"/>
    <n v="15"/>
    <s v="Critical"/>
    <s v="VALID"/>
    <n v="0.50800000000000001"/>
    <s v="Medium"/>
    <n v="19.125"/>
    <s v="Low"/>
  </r>
  <r>
    <n v="400"/>
    <n v="13.2"/>
    <x v="1"/>
    <x v="3"/>
    <n v="2500"/>
    <n v="-18.2"/>
    <n v="17.05"/>
    <n v="7.78"/>
    <n v="58.94"/>
    <n v="2"/>
    <s v="Critical"/>
    <s v="VALID"/>
    <n v="3.89"/>
    <s v="Low"/>
    <n v="37.994999999999997"/>
    <s v="Medium"/>
  </r>
  <r>
    <n v="800"/>
    <n v="23.08"/>
    <x v="3"/>
    <x v="4"/>
    <n v="900"/>
    <n v="52.5"/>
    <n v="10.44"/>
    <n v="4.1500000000000004"/>
    <n v="17.98"/>
    <n v="23"/>
    <s v="Moderate"/>
    <s v="VALID"/>
    <n v="0.18043478260869567"/>
    <s v="Medium"/>
    <n v="14.21"/>
    <s v="Low"/>
  </r>
  <r>
    <n v="100"/>
    <n v="7.57"/>
    <x v="0"/>
    <x v="0"/>
    <n v="2500"/>
    <n v="18"/>
    <n v="4.41"/>
    <n v="7.7"/>
    <n v="101.72"/>
    <n v="18"/>
    <s v="Critical"/>
    <s v="INVALID"/>
    <m/>
    <m/>
    <m/>
    <m/>
  </r>
  <r>
    <n v="250"/>
    <n v="11.58"/>
    <x v="1"/>
    <x v="4"/>
    <n v="600"/>
    <n v="32"/>
    <n v="1.0900000000000001"/>
    <n v="1.9"/>
    <n v="16.41"/>
    <n v="7"/>
    <s v="Normal"/>
    <s v="VALID"/>
    <n v="0.27142857142857141"/>
    <s v="Medium"/>
    <n v="8.75"/>
    <s v="Low"/>
  </r>
  <r>
    <n v="50"/>
    <n v="4.12"/>
    <x v="0"/>
    <x v="1"/>
    <n v="600"/>
    <n v="-15.7"/>
    <n v="18.510000000000002"/>
    <n v="2.2400000000000002"/>
    <n v="54.37"/>
    <n v="1"/>
    <s v="Moderate"/>
    <s v="VALID"/>
    <n v="2.2400000000000002"/>
    <s v="Low"/>
    <n v="36.44"/>
    <s v="Medium"/>
  </r>
  <r>
    <n v="50"/>
    <n v="3.71"/>
    <x v="2"/>
    <x v="2"/>
    <n v="300"/>
    <n v="-1.3"/>
    <n v="1.0900000000000001"/>
    <n v="6.23"/>
    <n v="167.92"/>
    <n v="1"/>
    <s v="Critical"/>
    <s v="INVALID"/>
    <m/>
    <m/>
    <m/>
    <m/>
  </r>
  <r>
    <n v="200"/>
    <n v="11.79"/>
    <x v="1"/>
    <x v="0"/>
    <n v="900"/>
    <n v="-24.3"/>
    <n v="19.29"/>
    <n v="6.49"/>
    <n v="55.05"/>
    <n v="3"/>
    <s v="Critical"/>
    <s v="VALID"/>
    <n v="2.1633333333333336"/>
    <s v="Low"/>
    <n v="37.17"/>
    <s v="Medium"/>
  </r>
  <r>
    <n v="250"/>
    <n v="7.79"/>
    <x v="0"/>
    <x v="4"/>
    <n v="1500"/>
    <n v="29.1"/>
    <n v="12.27"/>
    <n v="9.5500000000000007"/>
    <n v="122.59"/>
    <n v="7"/>
    <s v="Critical"/>
    <s v="INVALID"/>
    <m/>
    <m/>
    <m/>
    <m/>
  </r>
  <r>
    <n v="1200"/>
    <n v="33.47"/>
    <x v="2"/>
    <x v="0"/>
    <n v="600"/>
    <n v="32.200000000000003"/>
    <n v="1.96"/>
    <n v="4.88"/>
    <n v="14.58"/>
    <n v="2"/>
    <s v="Moderate"/>
    <s v="VALID"/>
    <n v="2.44"/>
    <s v="Medium"/>
    <n v="8.27"/>
    <s v="Low"/>
  </r>
  <r>
    <n v="150"/>
    <n v="5.79"/>
    <x v="3"/>
    <x v="2"/>
    <n v="150"/>
    <n v="-1.8"/>
    <n v="12.67"/>
    <n v="2.89"/>
    <n v="49.91"/>
    <n v="16"/>
    <s v="Moderate"/>
    <s v="VALID"/>
    <n v="0.18062500000000001"/>
    <s v="Low"/>
    <n v="31.29"/>
    <s v="Medium"/>
  </r>
  <r>
    <n v="200"/>
    <n v="7.88"/>
    <x v="1"/>
    <x v="0"/>
    <n v="150"/>
    <n v="-44.1"/>
    <n v="4.0999999999999996"/>
    <n v="0.69"/>
    <n v="8.76"/>
    <n v="17"/>
    <s v="Normal"/>
    <s v="VALID"/>
    <n v="4.0588235294117647E-2"/>
    <s v="Low"/>
    <n v="6.43"/>
    <s v="Low"/>
  </r>
  <r>
    <n v="500"/>
    <n v="23.77"/>
    <x v="3"/>
    <x v="4"/>
    <n v="1500"/>
    <n v="27.2"/>
    <n v="16.059999999999999"/>
    <n v="3.02"/>
    <n v="12.71"/>
    <n v="20"/>
    <s v="Moderate"/>
    <s v="VALID"/>
    <n v="0.151"/>
    <s v="Low"/>
    <n v="14.385"/>
    <s v="Low"/>
  </r>
  <r>
    <n v="50"/>
    <n v="4.47"/>
    <x v="3"/>
    <x v="0"/>
    <n v="1500"/>
    <n v="-48.4"/>
    <n v="12.34"/>
    <n v="0.96"/>
    <n v="21.48"/>
    <n v="20"/>
    <s v="Normal"/>
    <s v="VALID"/>
    <n v="4.8000000000000001E-2"/>
    <s v="Medium"/>
    <n v="16.91"/>
    <s v="Low"/>
  </r>
  <r>
    <n v="1000"/>
    <n v="22.01"/>
    <x v="0"/>
    <x v="0"/>
    <n v="900"/>
    <n v="9"/>
    <n v="1.63"/>
    <n v="1.29"/>
    <n v="5.86"/>
    <n v="14"/>
    <s v="Normal"/>
    <s v="VALID"/>
    <n v="9.2142857142857151E-2"/>
    <s v="Medium"/>
    <n v="3.7450000000000001"/>
    <s v="Low"/>
  </r>
  <r>
    <n v="1000"/>
    <n v="31.87"/>
    <x v="1"/>
    <x v="1"/>
    <n v="1500"/>
    <n v="68.599999999999994"/>
    <n v="11.36"/>
    <n v="7.71"/>
    <n v="24.19"/>
    <n v="20"/>
    <s v="Critical"/>
    <s v="VALID"/>
    <n v="0.38550000000000001"/>
    <s v="Low"/>
    <n v="17.774999999999999"/>
    <s v="Low"/>
  </r>
  <r>
    <n v="1200"/>
    <n v="22.36"/>
    <x v="1"/>
    <x v="2"/>
    <n v="600"/>
    <n v="-1.7"/>
    <n v="14.85"/>
    <n v="0.6"/>
    <n v="2.68"/>
    <n v="22"/>
    <s v="Normal"/>
    <s v="VALID"/>
    <n v="2.7272727272727271E-2"/>
    <s v="Medium"/>
    <n v="8.7650000000000006"/>
    <s v="Low"/>
  </r>
  <r>
    <n v="1500"/>
    <n v="27.94"/>
    <x v="4"/>
    <x v="0"/>
    <n v="2500"/>
    <n v="12.6"/>
    <n v="8.0399999999999991"/>
    <n v="5.84"/>
    <n v="20.9"/>
    <n v="8"/>
    <s v="Critical"/>
    <s v="VALID"/>
    <n v="0.73"/>
    <s v="Low"/>
    <n v="14.469999999999999"/>
    <s v="Low"/>
  </r>
  <r>
    <n v="500"/>
    <n v="12.94"/>
    <x v="0"/>
    <x v="3"/>
    <n v="900"/>
    <n v="92.1"/>
    <n v="14.83"/>
    <n v="4.63"/>
    <n v="35.78"/>
    <n v="6"/>
    <s v="Moderate"/>
    <s v="VALID"/>
    <n v="0.77166666666666661"/>
    <s v="Medium"/>
    <n v="25.305"/>
    <s v="Low"/>
  </r>
  <r>
    <n v="1200"/>
    <n v="26.41"/>
    <x v="3"/>
    <x v="1"/>
    <n v="2500"/>
    <n v="-45.4"/>
    <n v="4.07"/>
    <n v="4.3"/>
    <n v="16.28"/>
    <n v="16"/>
    <s v="Moderate"/>
    <s v="VALID"/>
    <n v="0.26874999999999999"/>
    <s v="Low"/>
    <n v="10.175000000000001"/>
    <s v="Low"/>
  </r>
  <r>
    <n v="1200"/>
    <n v="29.7"/>
    <x v="1"/>
    <x v="4"/>
    <n v="2500"/>
    <n v="88.7"/>
    <n v="4.04"/>
    <n v="8.81"/>
    <n v="29.66"/>
    <n v="20"/>
    <s v="Critical"/>
    <s v="VALID"/>
    <n v="0.4405"/>
    <s v="Medium"/>
    <n v="16.850000000000001"/>
    <s v="Low"/>
  </r>
  <r>
    <n v="50"/>
    <n v="4.74"/>
    <x v="2"/>
    <x v="0"/>
    <n v="2500"/>
    <n v="76.400000000000006"/>
    <n v="8.8800000000000008"/>
    <n v="9.94"/>
    <n v="209.7"/>
    <n v="23"/>
    <s v="Critical"/>
    <s v="INVALID"/>
    <m/>
    <m/>
    <m/>
    <m/>
  </r>
  <r>
    <n v="200"/>
    <n v="10.82"/>
    <x v="2"/>
    <x v="4"/>
    <n v="300"/>
    <n v="47"/>
    <n v="10.63"/>
    <n v="0.19"/>
    <n v="1.76"/>
    <n v="3"/>
    <s v="Normal"/>
    <s v="VALID"/>
    <n v="6.3333333333333339E-2"/>
    <s v="Medium"/>
    <n v="6.1950000000000003"/>
    <s v="Low"/>
  </r>
  <r>
    <n v="600"/>
    <n v="27.32"/>
    <x v="2"/>
    <x v="2"/>
    <n v="600"/>
    <n v="51.3"/>
    <n v="12.75"/>
    <n v="0.2"/>
    <n v="0.73"/>
    <n v="8"/>
    <s v="Normal"/>
    <s v="VALID"/>
    <n v="2.5000000000000001E-2"/>
    <s v="Low"/>
    <n v="6.74"/>
    <s v="Low"/>
  </r>
  <r>
    <n v="500"/>
    <n v="18.36"/>
    <x v="0"/>
    <x v="3"/>
    <n v="150"/>
    <n v="44.2"/>
    <n v="2.63"/>
    <n v="1.32"/>
    <n v="7.19"/>
    <n v="20"/>
    <s v="Normal"/>
    <s v="VALID"/>
    <n v="6.6000000000000003E-2"/>
    <s v="Low"/>
    <n v="4.91"/>
    <s v="Low"/>
  </r>
  <r>
    <n v="250"/>
    <n v="11.54"/>
    <x v="2"/>
    <x v="1"/>
    <n v="1500"/>
    <n v="110.5"/>
    <n v="2.58"/>
    <n v="5.89"/>
    <n v="51.04"/>
    <n v="1"/>
    <s v="Critical"/>
    <s v="VALID"/>
    <n v="5.89"/>
    <s v="Low"/>
    <n v="26.81"/>
    <s v="Low"/>
  </r>
  <r>
    <n v="150"/>
    <n v="8.32"/>
    <x v="2"/>
    <x v="0"/>
    <n v="900"/>
    <n v="73.5"/>
    <n v="15.64"/>
    <n v="3.38"/>
    <n v="40.619999999999997"/>
    <n v="10"/>
    <s v="Moderate"/>
    <s v="VALID"/>
    <n v="0.33799999999999997"/>
    <s v="Medium"/>
    <n v="28.13"/>
    <s v="Low"/>
  </r>
  <r>
    <n v="100"/>
    <n v="6.31"/>
    <x v="1"/>
    <x v="0"/>
    <n v="2500"/>
    <n v="29.2"/>
    <n v="3.95"/>
    <n v="0.65"/>
    <n v="10.3"/>
    <n v="10"/>
    <s v="Normal"/>
    <s v="VALID"/>
    <n v="6.5000000000000002E-2"/>
    <s v="Low"/>
    <n v="7.125"/>
    <s v="Low"/>
  </r>
  <r>
    <n v="300"/>
    <n v="8.56"/>
    <x v="3"/>
    <x v="2"/>
    <n v="150"/>
    <n v="114.4"/>
    <n v="6.52"/>
    <n v="4.8499999999999996"/>
    <n v="56.66"/>
    <n v="13"/>
    <s v="Moderate"/>
    <s v="VALID"/>
    <n v="0.37307692307692303"/>
    <s v="Medium"/>
    <n v="31.589999999999996"/>
    <s v="Medium"/>
  </r>
  <r>
    <n v="50"/>
    <n v="4.45"/>
    <x v="1"/>
    <x v="3"/>
    <n v="1500"/>
    <n v="55.6"/>
    <n v="3.31"/>
    <n v="1.91"/>
    <n v="42.92"/>
    <n v="5"/>
    <s v="Normal"/>
    <s v="VALID"/>
    <n v="0.38200000000000001"/>
    <s v="Low"/>
    <n v="23.115000000000002"/>
    <s v="Low"/>
  </r>
  <r>
    <n v="100"/>
    <n v="6.43"/>
    <x v="4"/>
    <x v="2"/>
    <n v="2500"/>
    <n v="38.5"/>
    <n v="4.9000000000000004"/>
    <n v="4.8600000000000003"/>
    <n v="75.58"/>
    <n v="13"/>
    <s v="Moderate"/>
    <s v="VALID"/>
    <n v="0.37384615384615388"/>
    <s v="Medium"/>
    <n v="40.24"/>
    <s v="Medium"/>
  </r>
  <r>
    <n v="100"/>
    <n v="4.3099999999999996"/>
    <x v="4"/>
    <x v="3"/>
    <n v="150"/>
    <n v="41.2"/>
    <n v="9.5"/>
    <n v="3.69"/>
    <n v="85.61"/>
    <n v="18"/>
    <s v="Moderate"/>
    <s v="VALID"/>
    <n v="0.20499999999999999"/>
    <s v="Medium"/>
    <n v="47.555"/>
    <s v="Medium"/>
  </r>
  <r>
    <n v="300"/>
    <n v="7.25"/>
    <x v="2"/>
    <x v="4"/>
    <n v="150"/>
    <n v="37.1"/>
    <n v="2.62"/>
    <n v="7.58"/>
    <n v="104.55"/>
    <n v="18"/>
    <s v="Critical"/>
    <s v="INVALID"/>
    <m/>
    <m/>
    <m/>
    <m/>
  </r>
  <r>
    <n v="200"/>
    <n v="9.94"/>
    <x v="0"/>
    <x v="0"/>
    <n v="900"/>
    <n v="45.4"/>
    <n v="3.75"/>
    <n v="1.49"/>
    <n v="14.99"/>
    <n v="4"/>
    <s v="Normal"/>
    <s v="VALID"/>
    <n v="0.3725"/>
    <s v="Low"/>
    <n v="9.370000000000001"/>
    <s v="Low"/>
  </r>
  <r>
    <n v="150"/>
    <n v="7.81"/>
    <x v="2"/>
    <x v="1"/>
    <n v="300"/>
    <n v="67.2"/>
    <n v="4.1500000000000004"/>
    <n v="1.66"/>
    <n v="21.25"/>
    <n v="9"/>
    <s v="Normal"/>
    <s v="VALID"/>
    <n v="0.18444444444444444"/>
    <s v="Low"/>
    <n v="12.7"/>
    <s v="Low"/>
  </r>
  <r>
    <n v="1000"/>
    <n v="15.99"/>
    <x v="0"/>
    <x v="1"/>
    <n v="900"/>
    <n v="78.099999999999994"/>
    <n v="9.93"/>
    <n v="8.75"/>
    <n v="54.72"/>
    <n v="24"/>
    <s v="Critical"/>
    <s v="VALID"/>
    <n v="0.36458333333333331"/>
    <s v="Low"/>
    <n v="32.325000000000003"/>
    <s v="Medium"/>
  </r>
  <r>
    <n v="1200"/>
    <n v="22.08"/>
    <x v="1"/>
    <x v="2"/>
    <n v="1500"/>
    <n v="6.1"/>
    <n v="3.22"/>
    <n v="7.37"/>
    <n v="33.380000000000003"/>
    <n v="17"/>
    <s v="Critical"/>
    <s v="VALID"/>
    <n v="0.43352941176470589"/>
    <s v="Low"/>
    <n v="18.3"/>
    <s v="Low"/>
  </r>
  <r>
    <n v="1200"/>
    <n v="34.78"/>
    <x v="0"/>
    <x v="4"/>
    <n v="1500"/>
    <n v="29.1"/>
    <n v="5.05"/>
    <n v="6.33"/>
    <n v="18.2"/>
    <n v="5"/>
    <s v="Critical"/>
    <s v="VALID"/>
    <n v="1.266"/>
    <s v="Medium"/>
    <n v="11.625"/>
    <s v="Low"/>
  </r>
  <r>
    <n v="600"/>
    <n v="16.989999999999998"/>
    <x v="3"/>
    <x v="2"/>
    <n v="300"/>
    <n v="15.1"/>
    <n v="8.26"/>
    <n v="8.26"/>
    <n v="48.62"/>
    <n v="8"/>
    <s v="Critical"/>
    <s v="VALID"/>
    <n v="1.0325"/>
    <s v="Medium"/>
    <n v="28.439999999999998"/>
    <s v="Low"/>
  </r>
  <r>
    <n v="250"/>
    <n v="7.3"/>
    <x v="2"/>
    <x v="3"/>
    <n v="2500"/>
    <n v="50.5"/>
    <n v="9.36"/>
    <n v="1.83"/>
    <n v="25.07"/>
    <n v="23"/>
    <s v="Normal"/>
    <s v="VALID"/>
    <n v="7.9565217391304358E-2"/>
    <s v="Low"/>
    <n v="17.215"/>
    <s v="Low"/>
  </r>
  <r>
    <n v="300"/>
    <n v="15.46"/>
    <x v="2"/>
    <x v="1"/>
    <n v="150"/>
    <n v="-11.8"/>
    <n v="12.57"/>
    <n v="7.01"/>
    <n v="45.34"/>
    <n v="15"/>
    <s v="Critical"/>
    <s v="VALID"/>
    <n v="0.46733333333333332"/>
    <s v="Medium"/>
    <n v="28.955000000000002"/>
    <s v="Low"/>
  </r>
  <r>
    <n v="1200"/>
    <n v="33.99"/>
    <x v="0"/>
    <x v="4"/>
    <n v="1500"/>
    <n v="113.4"/>
    <n v="17.059999999999999"/>
    <n v="5.68"/>
    <n v="16.71"/>
    <n v="5"/>
    <s v="Critical"/>
    <s v="VALID"/>
    <n v="1.1359999999999999"/>
    <s v="Low"/>
    <n v="16.884999999999998"/>
    <s v="Low"/>
  </r>
  <r>
    <n v="300"/>
    <n v="7.84"/>
    <x v="4"/>
    <x v="1"/>
    <n v="900"/>
    <n v="65.599999999999994"/>
    <n v="0.66"/>
    <n v="4.21"/>
    <n v="53.7"/>
    <n v="14"/>
    <s v="Moderate"/>
    <s v="VALID"/>
    <n v="0.30071428571428571"/>
    <s v="Medium"/>
    <n v="27.18"/>
    <s v="Low"/>
  </r>
  <r>
    <n v="1500"/>
    <n v="47.97"/>
    <x v="1"/>
    <x v="1"/>
    <n v="2500"/>
    <n v="-17.8"/>
    <n v="2.89"/>
    <n v="4.41"/>
    <n v="9.19"/>
    <n v="15"/>
    <s v="Moderate"/>
    <s v="VALID"/>
    <n v="0.29399999999999998"/>
    <s v="Low"/>
    <n v="6.04"/>
    <s v="Low"/>
  </r>
  <r>
    <n v="500"/>
    <n v="20.29"/>
    <x v="4"/>
    <x v="4"/>
    <n v="300"/>
    <n v="5"/>
    <n v="15.01"/>
    <n v="9.06"/>
    <n v="44.65"/>
    <n v="23"/>
    <s v="Critical"/>
    <s v="VALID"/>
    <n v="0.39391304347826089"/>
    <s v="Medium"/>
    <n v="29.83"/>
    <s v="Low"/>
  </r>
  <r>
    <n v="1000"/>
    <n v="23.59"/>
    <x v="0"/>
    <x v="3"/>
    <n v="900"/>
    <n v="23"/>
    <n v="5.08"/>
    <n v="3.46"/>
    <n v="14.67"/>
    <n v="23"/>
    <s v="Moderate"/>
    <s v="VALID"/>
    <n v="0.15043478260869564"/>
    <s v="Low"/>
    <n v="9.875"/>
    <s v="Low"/>
  </r>
  <r>
    <n v="400"/>
    <n v="11.3"/>
    <x v="0"/>
    <x v="3"/>
    <n v="300"/>
    <n v="41.5"/>
    <n v="11.66"/>
    <n v="2.21"/>
    <n v="19.559999999999999"/>
    <n v="23"/>
    <s v="Moderate"/>
    <s v="VALID"/>
    <n v="9.6086956521739125E-2"/>
    <s v="Low"/>
    <n v="15.61"/>
    <s v="Low"/>
  </r>
  <r>
    <n v="250"/>
    <n v="14.97"/>
    <x v="0"/>
    <x v="1"/>
    <n v="150"/>
    <n v="-17.100000000000001"/>
    <n v="10"/>
    <n v="4.7300000000000004"/>
    <n v="31.6"/>
    <n v="21"/>
    <s v="Moderate"/>
    <s v="VALID"/>
    <n v="0.22523809523809527"/>
    <s v="Low"/>
    <n v="20.8"/>
    <s v="Low"/>
  </r>
  <r>
    <n v="200"/>
    <n v="8.26"/>
    <x v="4"/>
    <x v="1"/>
    <n v="300"/>
    <n v="38.200000000000003"/>
    <n v="14.73"/>
    <n v="7.27"/>
    <n v="88.01"/>
    <n v="6"/>
    <s v="Critical"/>
    <s v="VALID"/>
    <n v="1.2116666666666667"/>
    <s v="Low"/>
    <n v="51.370000000000005"/>
    <s v="Medium"/>
  </r>
  <r>
    <n v="50"/>
    <n v="3.43"/>
    <x v="2"/>
    <x v="0"/>
    <n v="1500"/>
    <n v="6.9"/>
    <n v="8.99"/>
    <n v="0.14000000000000001"/>
    <n v="4.08"/>
    <n v="22"/>
    <s v="Normal"/>
    <s v="VALID"/>
    <n v="6.3636363636363638E-3"/>
    <s v="Low"/>
    <n v="6.5350000000000001"/>
    <s v="Low"/>
  </r>
  <r>
    <n v="50"/>
    <n v="5.01"/>
    <x v="4"/>
    <x v="1"/>
    <n v="1500"/>
    <n v="19"/>
    <n v="19.39"/>
    <n v="2.58"/>
    <n v="51.5"/>
    <n v="15"/>
    <s v="Moderate"/>
    <s v="VALID"/>
    <n v="0.17200000000000001"/>
    <s v="Medium"/>
    <n v="35.445"/>
    <s v="Medium"/>
  </r>
  <r>
    <n v="1000"/>
    <n v="26.39"/>
    <x v="0"/>
    <x v="0"/>
    <n v="2500"/>
    <n v="17.3"/>
    <n v="14.12"/>
    <n v="0.19"/>
    <n v="0.72"/>
    <n v="25"/>
    <s v="Normal"/>
    <s v="VALID"/>
    <n v="7.6E-3"/>
    <s v="Medium"/>
    <n v="7.42"/>
    <s v="Low"/>
  </r>
  <r>
    <n v="150"/>
    <n v="7.36"/>
    <x v="3"/>
    <x v="1"/>
    <n v="2500"/>
    <n v="93.3"/>
    <n v="19.899999999999999"/>
    <n v="2.14"/>
    <n v="29.08"/>
    <n v="15"/>
    <s v="Moderate"/>
    <s v="VALID"/>
    <n v="0.14266666666666666"/>
    <s v="Medium"/>
    <n v="24.49"/>
    <s v="Low"/>
  </r>
  <r>
    <n v="150"/>
    <n v="8.92"/>
    <x v="0"/>
    <x v="4"/>
    <n v="1500"/>
    <n v="45.3"/>
    <n v="17.739999999999998"/>
    <n v="1.08"/>
    <n v="12.11"/>
    <n v="2"/>
    <s v="Normal"/>
    <s v="VALID"/>
    <n v="0.54"/>
    <s v="Medium"/>
    <n v="14.924999999999999"/>
    <s v="Low"/>
  </r>
  <r>
    <n v="100"/>
    <n v="5.16"/>
    <x v="0"/>
    <x v="4"/>
    <n v="600"/>
    <n v="77.7"/>
    <n v="16.22"/>
    <n v="8.2100000000000009"/>
    <n v="159.11000000000001"/>
    <n v="14"/>
    <s v="Critical"/>
    <s v="INVALID"/>
    <m/>
    <m/>
    <m/>
    <m/>
  </r>
  <r>
    <n v="100"/>
    <n v="4.0999999999999996"/>
    <x v="1"/>
    <x v="2"/>
    <n v="900"/>
    <n v="52"/>
    <n v="12.02"/>
    <n v="8.56"/>
    <n v="208.78"/>
    <n v="21"/>
    <s v="Critical"/>
    <s v="INVALID"/>
    <m/>
    <m/>
    <m/>
    <m/>
  </r>
  <r>
    <n v="300"/>
    <n v="15.08"/>
    <x v="1"/>
    <x v="4"/>
    <n v="1500"/>
    <n v="26.8"/>
    <n v="11.1"/>
    <n v="6.99"/>
    <n v="46.35"/>
    <n v="8"/>
    <s v="Critical"/>
    <s v="VALID"/>
    <n v="0.87375000000000003"/>
    <s v="Low"/>
    <n v="28.725000000000001"/>
    <s v="Low"/>
  </r>
  <r>
    <n v="300"/>
    <n v="12.3"/>
    <x v="3"/>
    <x v="3"/>
    <n v="900"/>
    <n v="-1.9"/>
    <n v="0.49"/>
    <n v="8.94"/>
    <n v="72.680000000000007"/>
    <n v="3"/>
    <s v="Critical"/>
    <s v="VALID"/>
    <n v="2.98"/>
    <s v="Medium"/>
    <n v="36.585000000000001"/>
    <s v="Medium"/>
  </r>
  <r>
    <n v="1500"/>
    <n v="25.42"/>
    <x v="4"/>
    <x v="2"/>
    <n v="1500"/>
    <n v="12.3"/>
    <n v="4.53"/>
    <n v="0.27"/>
    <n v="1.06"/>
    <n v="4"/>
    <s v="Normal"/>
    <s v="VALID"/>
    <n v="6.7500000000000004E-2"/>
    <s v="Low"/>
    <n v="2.7949999999999999"/>
    <s v="Low"/>
  </r>
  <r>
    <n v="1500"/>
    <n v="38.49"/>
    <x v="0"/>
    <x v="2"/>
    <n v="1500"/>
    <n v="47.9"/>
    <n v="9.7899999999999991"/>
    <n v="5.75"/>
    <n v="14.94"/>
    <n v="13"/>
    <s v="Critical"/>
    <s v="VALID"/>
    <n v="0.44230769230769229"/>
    <s v="Medium"/>
    <n v="12.364999999999998"/>
    <s v="Low"/>
  </r>
  <r>
    <n v="250"/>
    <n v="14.81"/>
    <x v="2"/>
    <x v="0"/>
    <n v="2500"/>
    <n v="70.8"/>
    <n v="7.22"/>
    <n v="9.39"/>
    <n v="63.4"/>
    <n v="19"/>
    <s v="Critical"/>
    <s v="VALID"/>
    <n v="0.49421052631578949"/>
    <s v="Medium"/>
    <n v="35.31"/>
    <s v="Medium"/>
  </r>
  <r>
    <n v="100"/>
    <n v="4.26"/>
    <x v="4"/>
    <x v="3"/>
    <n v="900"/>
    <n v="17.399999999999999"/>
    <n v="12.07"/>
    <n v="0.69"/>
    <n v="16.2"/>
    <n v="24"/>
    <s v="Normal"/>
    <s v="VALID"/>
    <n v="2.8749999999999998E-2"/>
    <s v="Medium"/>
    <n v="14.135"/>
    <s v="Low"/>
  </r>
  <r>
    <n v="150"/>
    <n v="6.8"/>
    <x v="4"/>
    <x v="2"/>
    <n v="900"/>
    <n v="-0.7"/>
    <n v="17.579999999999998"/>
    <n v="3.43"/>
    <n v="50.44"/>
    <n v="7"/>
    <s v="Moderate"/>
    <s v="VALID"/>
    <n v="0.49000000000000005"/>
    <s v="Low"/>
    <n v="34.01"/>
    <s v="Medium"/>
  </r>
  <r>
    <n v="600"/>
    <n v="15.01"/>
    <x v="2"/>
    <x v="3"/>
    <n v="300"/>
    <n v="105.3"/>
    <n v="0.89"/>
    <n v="7.62"/>
    <n v="50.77"/>
    <n v="2"/>
    <s v="Critical"/>
    <s v="VALID"/>
    <n v="3.81"/>
    <s v="Low"/>
    <n v="25.830000000000002"/>
    <s v="Low"/>
  </r>
  <r>
    <n v="500"/>
    <n v="16.93"/>
    <x v="3"/>
    <x v="3"/>
    <n v="1500"/>
    <n v="56.6"/>
    <n v="3.99"/>
    <n v="9.35"/>
    <n v="55.23"/>
    <n v="1"/>
    <s v="Critical"/>
    <s v="VALID"/>
    <n v="9.35"/>
    <s v="Low"/>
    <n v="29.61"/>
    <s v="Low"/>
  </r>
  <r>
    <n v="200"/>
    <n v="8.15"/>
    <x v="3"/>
    <x v="3"/>
    <n v="150"/>
    <n v="-38.299999999999997"/>
    <n v="8.1199999999999992"/>
    <n v="4.0199999999999996"/>
    <n v="49.33"/>
    <n v="17"/>
    <s v="Moderate"/>
    <s v="VALID"/>
    <n v="0.2364705882352941"/>
    <s v="Medium"/>
    <n v="28.724999999999998"/>
    <s v="Low"/>
  </r>
  <r>
    <n v="200"/>
    <n v="11.54"/>
    <x v="3"/>
    <x v="1"/>
    <n v="150"/>
    <n v="-18.600000000000001"/>
    <n v="9.17"/>
    <n v="5.72"/>
    <n v="49.57"/>
    <n v="12"/>
    <s v="Critical"/>
    <s v="VALID"/>
    <n v="0.47666666666666663"/>
    <s v="Low"/>
    <n v="29.37"/>
    <s v="Low"/>
  </r>
  <r>
    <n v="1000"/>
    <n v="21.38"/>
    <x v="1"/>
    <x v="3"/>
    <n v="600"/>
    <n v="23.1"/>
    <n v="14.04"/>
    <n v="8.89"/>
    <n v="41.58"/>
    <n v="6"/>
    <s v="Critical"/>
    <s v="VALID"/>
    <n v="1.4816666666666667"/>
    <s v="Low"/>
    <n v="27.81"/>
    <s v="Low"/>
  </r>
  <r>
    <n v="100"/>
    <n v="7.35"/>
    <x v="0"/>
    <x v="3"/>
    <n v="600"/>
    <n v="131.19999999999999"/>
    <n v="3.24"/>
    <n v="4.92"/>
    <n v="66.94"/>
    <n v="5"/>
    <s v="Moderate"/>
    <s v="VALID"/>
    <n v="0.98399999999999999"/>
    <s v="Low"/>
    <n v="35.089999999999996"/>
    <s v="Medium"/>
  </r>
  <r>
    <n v="1500"/>
    <n v="41.08"/>
    <x v="3"/>
    <x v="2"/>
    <n v="1500"/>
    <n v="16.600000000000001"/>
    <n v="9.56"/>
    <n v="2.27"/>
    <n v="5.53"/>
    <n v="14"/>
    <s v="Moderate"/>
    <s v="VALID"/>
    <n v="0.16214285714285714"/>
    <s v="Low"/>
    <n v="7.5449999999999999"/>
    <s v="Low"/>
  </r>
  <r>
    <n v="1200"/>
    <n v="36.4"/>
    <x v="2"/>
    <x v="2"/>
    <n v="150"/>
    <n v="33.200000000000003"/>
    <n v="4.5599999999999996"/>
    <n v="2.09"/>
    <n v="5.74"/>
    <n v="21"/>
    <s v="Moderate"/>
    <s v="VALID"/>
    <n v="9.9523809523809514E-2"/>
    <s v="Medium"/>
    <n v="5.15"/>
    <s v="Low"/>
  </r>
  <r>
    <n v="100"/>
    <n v="4.3499999999999996"/>
    <x v="1"/>
    <x v="2"/>
    <n v="1500"/>
    <n v="16.899999999999999"/>
    <n v="11.22"/>
    <n v="9.5299999999999994"/>
    <n v="219.08"/>
    <n v="10"/>
    <s v="Critical"/>
    <s v="INVALID"/>
    <m/>
    <m/>
    <m/>
    <m/>
  </r>
  <r>
    <n v="250"/>
    <n v="7.87"/>
    <x v="0"/>
    <x v="4"/>
    <n v="2500"/>
    <n v="8.1"/>
    <n v="1.97"/>
    <n v="7.41"/>
    <n v="94.16"/>
    <n v="16"/>
    <s v="Critical"/>
    <s v="VALID"/>
    <n v="0.46312500000000001"/>
    <s v="Medium"/>
    <n v="48.064999999999998"/>
    <s v="Medium"/>
  </r>
  <r>
    <n v="800"/>
    <n v="24.15"/>
    <x v="3"/>
    <x v="3"/>
    <n v="900"/>
    <n v="-50"/>
    <n v="17.82"/>
    <n v="1.27"/>
    <n v="5.26"/>
    <n v="24"/>
    <s v="Normal"/>
    <s v="VALID"/>
    <n v="5.2916666666666667E-2"/>
    <s v="Medium"/>
    <n v="11.54"/>
    <s v="Low"/>
  </r>
  <r>
    <n v="200"/>
    <n v="8.1"/>
    <x v="3"/>
    <x v="0"/>
    <n v="150"/>
    <n v="-19.2"/>
    <n v="2.78"/>
    <n v="4.34"/>
    <n v="53.58"/>
    <n v="1"/>
    <s v="Moderate"/>
    <s v="VALID"/>
    <n v="4.34"/>
    <s v="Low"/>
    <n v="28.18"/>
    <s v="Low"/>
  </r>
  <r>
    <n v="100"/>
    <n v="4.08"/>
    <x v="2"/>
    <x v="1"/>
    <n v="2500"/>
    <n v="66.900000000000006"/>
    <n v="1.39"/>
    <n v="9.4499999999999993"/>
    <n v="231.62"/>
    <n v="20"/>
    <s v="Critical"/>
    <s v="INVALID"/>
    <m/>
    <m/>
    <m/>
    <m/>
  </r>
  <r>
    <n v="1500"/>
    <n v="23.13"/>
    <x v="2"/>
    <x v="4"/>
    <n v="900"/>
    <n v="147"/>
    <n v="16.41"/>
    <n v="9.6300000000000008"/>
    <n v="41.63"/>
    <n v="22"/>
    <s v="Critical"/>
    <s v="VALID"/>
    <n v="0.43772727272727274"/>
    <s v="Medium"/>
    <n v="29.020000000000003"/>
    <s v="Low"/>
  </r>
  <r>
    <n v="800"/>
    <n v="14.72"/>
    <x v="0"/>
    <x v="1"/>
    <n v="1500"/>
    <n v="16.3"/>
    <n v="3.1"/>
    <n v="3.54"/>
    <n v="24.05"/>
    <n v="2"/>
    <s v="Moderate"/>
    <s v="VALID"/>
    <n v="1.77"/>
    <s v="Low"/>
    <n v="13.575000000000001"/>
    <s v="Low"/>
  </r>
  <r>
    <n v="200"/>
    <n v="6.68"/>
    <x v="3"/>
    <x v="4"/>
    <n v="900"/>
    <n v="85.8"/>
    <n v="18.29"/>
    <n v="6.76"/>
    <n v="101.2"/>
    <n v="12"/>
    <s v="Critical"/>
    <s v="INVALID"/>
    <m/>
    <m/>
    <m/>
    <m/>
  </r>
  <r>
    <n v="50"/>
    <n v="4.3499999999999996"/>
    <x v="3"/>
    <x v="2"/>
    <n v="300"/>
    <n v="17.7"/>
    <n v="19.18"/>
    <n v="3.69"/>
    <n v="84.83"/>
    <n v="17"/>
    <s v="Moderate"/>
    <s v="VALID"/>
    <n v="0.21705882352941175"/>
    <s v="Low"/>
    <n v="52.004999999999995"/>
    <s v="Medium"/>
  </r>
  <r>
    <n v="400"/>
    <n v="16.149999999999999"/>
    <x v="1"/>
    <x v="4"/>
    <n v="600"/>
    <n v="89.6"/>
    <n v="3.36"/>
    <n v="6.01"/>
    <n v="37.21"/>
    <n v="3"/>
    <s v="Critical"/>
    <s v="VALID"/>
    <n v="2.0033333333333334"/>
    <s v="Low"/>
    <n v="20.285"/>
    <s v="Low"/>
  </r>
  <r>
    <n v="800"/>
    <n v="28.05"/>
    <x v="2"/>
    <x v="2"/>
    <n v="150"/>
    <n v="52"/>
    <n v="8.76"/>
    <n v="0.42"/>
    <n v="1.5"/>
    <n v="4"/>
    <s v="Normal"/>
    <s v="VALID"/>
    <n v="0.105"/>
    <s v="Low"/>
    <n v="5.13"/>
    <s v="Low"/>
  </r>
  <r>
    <n v="1200"/>
    <n v="18.36"/>
    <x v="3"/>
    <x v="3"/>
    <n v="900"/>
    <n v="-2.2000000000000002"/>
    <n v="16.53"/>
    <n v="6.54"/>
    <n v="35.619999999999997"/>
    <n v="21"/>
    <s v="Critical"/>
    <s v="VALID"/>
    <n v="0.31142857142857144"/>
    <s v="Low"/>
    <n v="26.074999999999999"/>
    <s v="Low"/>
  </r>
  <r>
    <n v="100"/>
    <n v="5.83"/>
    <x v="0"/>
    <x v="0"/>
    <n v="150"/>
    <n v="46.4"/>
    <n v="15.07"/>
    <n v="1.24"/>
    <n v="21.27"/>
    <n v="5"/>
    <s v="Normal"/>
    <s v="VALID"/>
    <n v="0.248"/>
    <s v="Low"/>
    <n v="18.170000000000002"/>
    <s v="Low"/>
  </r>
  <r>
    <n v="1000"/>
    <n v="22.79"/>
    <x v="3"/>
    <x v="4"/>
    <n v="600"/>
    <n v="24.3"/>
    <n v="11.82"/>
    <n v="8.2200000000000006"/>
    <n v="36.07"/>
    <n v="2"/>
    <s v="Critical"/>
    <s v="VALID"/>
    <n v="4.1100000000000003"/>
    <s v="Low"/>
    <n v="23.945"/>
    <s v="Low"/>
  </r>
  <r>
    <n v="300"/>
    <n v="12.24"/>
    <x v="3"/>
    <x v="3"/>
    <n v="300"/>
    <n v="24.6"/>
    <n v="9.5299999999999994"/>
    <n v="4.75"/>
    <n v="38.81"/>
    <n v="20"/>
    <s v="Moderate"/>
    <s v="VALID"/>
    <n v="0.23749999999999999"/>
    <s v="Low"/>
    <n v="24.17"/>
    <s v="Low"/>
  </r>
  <r>
    <n v="100"/>
    <n v="4.29"/>
    <x v="3"/>
    <x v="1"/>
    <n v="600"/>
    <n v="142.69999999999999"/>
    <n v="14.33"/>
    <n v="4.17"/>
    <n v="97.2"/>
    <n v="17"/>
    <s v="Moderate"/>
    <s v="VALID"/>
    <n v="0.24529411764705883"/>
    <s v="Low"/>
    <n v="55.765000000000001"/>
    <s v="Medium"/>
  </r>
  <r>
    <n v="400"/>
    <n v="11.94"/>
    <x v="1"/>
    <x v="0"/>
    <n v="300"/>
    <n v="11.7"/>
    <n v="15.29"/>
    <n v="1.67"/>
    <n v="13.99"/>
    <n v="12"/>
    <s v="Normal"/>
    <s v="VALID"/>
    <n v="0.13916666666666666"/>
    <s v="Low"/>
    <n v="14.64"/>
    <s v="Low"/>
  </r>
  <r>
    <n v="200"/>
    <n v="7.19"/>
    <x v="0"/>
    <x v="1"/>
    <n v="300"/>
    <n v="11.7"/>
    <n v="1.68"/>
    <n v="3.99"/>
    <n v="55.49"/>
    <n v="7"/>
    <s v="Moderate"/>
    <s v="VALID"/>
    <n v="0.57000000000000006"/>
    <s v="Low"/>
    <n v="28.585000000000001"/>
    <s v="Low"/>
  </r>
  <r>
    <n v="600"/>
    <n v="23.85"/>
    <x v="3"/>
    <x v="1"/>
    <n v="2500"/>
    <n v="49.6"/>
    <n v="5.78"/>
    <n v="1.82"/>
    <n v="7.63"/>
    <n v="1"/>
    <s v="Normal"/>
    <s v="VALID"/>
    <n v="1.82"/>
    <s v="Low"/>
    <n v="6.7050000000000001"/>
    <s v="Low"/>
  </r>
  <r>
    <n v="1500"/>
    <n v="48.84"/>
    <x v="3"/>
    <x v="3"/>
    <n v="2500"/>
    <n v="52.1"/>
    <n v="3.51"/>
    <n v="9.8000000000000007"/>
    <n v="20.07"/>
    <n v="23"/>
    <s v="Critical"/>
    <s v="VALID"/>
    <n v="0.42608695652173917"/>
    <s v="Medium"/>
    <n v="11.79"/>
    <s v="Low"/>
  </r>
  <r>
    <n v="250"/>
    <n v="9.25"/>
    <x v="0"/>
    <x v="1"/>
    <n v="300"/>
    <n v="74.2"/>
    <n v="3.69"/>
    <n v="2.64"/>
    <n v="28.54"/>
    <n v="6"/>
    <s v="Moderate"/>
    <s v="VALID"/>
    <n v="0.44"/>
    <s v="Medium"/>
    <n v="16.114999999999998"/>
    <s v="Low"/>
  </r>
  <r>
    <n v="600"/>
    <n v="29.46"/>
    <x v="1"/>
    <x v="0"/>
    <n v="600"/>
    <n v="46.6"/>
    <n v="11.64"/>
    <n v="0.45"/>
    <n v="1.53"/>
    <n v="5"/>
    <s v="Normal"/>
    <s v="VALID"/>
    <n v="0.09"/>
    <s v="Low"/>
    <n v="6.585"/>
    <s v="Low"/>
  </r>
  <r>
    <n v="500"/>
    <n v="11.26"/>
    <x v="4"/>
    <x v="3"/>
    <n v="1500"/>
    <n v="77.900000000000006"/>
    <n v="14.86"/>
    <n v="8.67"/>
    <n v="77"/>
    <n v="14"/>
    <s v="Critical"/>
    <s v="VALID"/>
    <n v="0.61928571428571433"/>
    <s v="Low"/>
    <n v="45.93"/>
    <s v="Medium"/>
  </r>
  <r>
    <n v="200"/>
    <n v="12"/>
    <x v="1"/>
    <x v="2"/>
    <n v="2500"/>
    <n v="1"/>
    <n v="6.49"/>
    <n v="8.7799999999999994"/>
    <n v="73.17"/>
    <n v="17"/>
    <s v="Critical"/>
    <s v="VALID"/>
    <n v="0.51647058823529413"/>
    <s v="Medium"/>
    <n v="39.83"/>
    <s v="Medium"/>
  </r>
  <r>
    <n v="250"/>
    <n v="10.56"/>
    <x v="0"/>
    <x v="3"/>
    <n v="150"/>
    <n v="116.2"/>
    <n v="7.59"/>
    <n v="4.16"/>
    <n v="39.39"/>
    <n v="24"/>
    <s v="Moderate"/>
    <s v="VALID"/>
    <n v="0.17333333333333334"/>
    <s v="Medium"/>
    <n v="23.490000000000002"/>
    <s v="Low"/>
  </r>
  <r>
    <n v="600"/>
    <n v="10.09"/>
    <x v="4"/>
    <x v="0"/>
    <n v="300"/>
    <n v="-20.100000000000001"/>
    <n v="3.04"/>
    <n v="6.15"/>
    <n v="60.95"/>
    <n v="14"/>
    <s v="Critical"/>
    <s v="VALID"/>
    <n v="0.43928571428571433"/>
    <s v="Low"/>
    <n v="31.995000000000001"/>
    <s v="Medium"/>
  </r>
  <r>
    <n v="200"/>
    <n v="10.57"/>
    <x v="0"/>
    <x v="2"/>
    <n v="900"/>
    <n v="98.1"/>
    <n v="0.33"/>
    <n v="6.77"/>
    <n v="64.05"/>
    <n v="12"/>
    <s v="Critical"/>
    <s v="VALID"/>
    <n v="0.56416666666666659"/>
    <s v="Low"/>
    <n v="32.19"/>
    <s v="Medium"/>
  </r>
  <r>
    <n v="1500"/>
    <n v="45.56"/>
    <x v="3"/>
    <x v="1"/>
    <n v="600"/>
    <n v="138.5"/>
    <n v="15.72"/>
    <n v="8.7899999999999991"/>
    <n v="19.29"/>
    <n v="4"/>
    <s v="Critical"/>
    <s v="VALID"/>
    <n v="2.1974999999999998"/>
    <s v="Low"/>
    <n v="17.504999999999999"/>
    <s v="Low"/>
  </r>
  <r>
    <n v="250"/>
    <n v="8.27"/>
    <x v="3"/>
    <x v="1"/>
    <n v="1500"/>
    <n v="38.700000000000003"/>
    <n v="3.44"/>
    <n v="8.0399999999999991"/>
    <n v="97.22"/>
    <n v="17"/>
    <s v="Critical"/>
    <s v="VALID"/>
    <n v="0.4729411764705882"/>
    <s v="Low"/>
    <n v="50.33"/>
    <s v="Medium"/>
  </r>
  <r>
    <n v="1500"/>
    <n v="48.66"/>
    <x v="1"/>
    <x v="2"/>
    <n v="150"/>
    <n v="-6.2"/>
    <n v="5.48"/>
    <n v="5.24"/>
    <n v="10.77"/>
    <n v="6"/>
    <s v="Critical"/>
    <s v="VALID"/>
    <n v="0.87333333333333341"/>
    <s v="Medium"/>
    <n v="8.125"/>
    <s v="Low"/>
  </r>
  <r>
    <n v="50"/>
    <n v="5.24"/>
    <x v="3"/>
    <x v="4"/>
    <n v="150"/>
    <n v="79.599999999999994"/>
    <n v="12.7"/>
    <n v="0.08"/>
    <n v="1.53"/>
    <n v="7"/>
    <s v="Normal"/>
    <s v="VALID"/>
    <n v="1.1428571428571429E-2"/>
    <s v="Low"/>
    <n v="7.1149999999999993"/>
    <s v="Low"/>
  </r>
  <r>
    <n v="150"/>
    <n v="8.31"/>
    <x v="0"/>
    <x v="3"/>
    <n v="900"/>
    <n v="-16.7"/>
    <n v="2.76"/>
    <n v="7.64"/>
    <n v="91.94"/>
    <n v="4"/>
    <s v="Critical"/>
    <s v="VALID"/>
    <n v="1.91"/>
    <s v="Low"/>
    <n v="47.35"/>
    <s v="Medium"/>
  </r>
  <r>
    <n v="250"/>
    <n v="9.3699999999999992"/>
    <x v="1"/>
    <x v="0"/>
    <n v="2500"/>
    <n v="54.6"/>
    <n v="7.99"/>
    <n v="8.9600000000000009"/>
    <n v="95.62"/>
    <n v="16"/>
    <s v="Critical"/>
    <s v="VALID"/>
    <n v="0.56000000000000005"/>
    <s v="Low"/>
    <n v="51.805"/>
    <s v="Medium"/>
  </r>
  <r>
    <n v="400"/>
    <n v="19.059999999999999"/>
    <x v="3"/>
    <x v="0"/>
    <n v="2500"/>
    <n v="63.1"/>
    <n v="2.78"/>
    <n v="2.1800000000000002"/>
    <n v="11.44"/>
    <n v="23"/>
    <s v="Moderate"/>
    <s v="VALID"/>
    <n v="9.4782608695652179E-2"/>
    <s v="Medium"/>
    <n v="7.1099999999999994"/>
    <s v="Low"/>
  </r>
  <r>
    <n v="1000"/>
    <n v="22.01"/>
    <x v="3"/>
    <x v="0"/>
    <n v="300"/>
    <n v="12.7"/>
    <n v="9.65"/>
    <n v="8.81"/>
    <n v="40.03"/>
    <n v="15"/>
    <s v="Critical"/>
    <s v="VALID"/>
    <n v="0.58733333333333337"/>
    <s v="Medium"/>
    <n v="24.84"/>
    <s v="Low"/>
  </r>
  <r>
    <n v="1200"/>
    <n v="30.98"/>
    <x v="3"/>
    <x v="2"/>
    <n v="300"/>
    <n v="82.6"/>
    <n v="12.91"/>
    <n v="2.38"/>
    <n v="7.68"/>
    <n v="18"/>
    <s v="Moderate"/>
    <s v="VALID"/>
    <n v="0.13222222222222221"/>
    <s v="Low"/>
    <n v="10.295"/>
    <s v="Low"/>
  </r>
  <r>
    <n v="1000"/>
    <n v="21.91"/>
    <x v="2"/>
    <x v="2"/>
    <n v="150"/>
    <n v="105.7"/>
    <n v="14.23"/>
    <n v="0.76"/>
    <n v="3.47"/>
    <n v="7"/>
    <s v="Normal"/>
    <s v="VALID"/>
    <n v="0.10857142857142857"/>
    <s v="Low"/>
    <n v="8.85"/>
    <s v="Low"/>
  </r>
  <r>
    <n v="800"/>
    <n v="24.25"/>
    <x v="0"/>
    <x v="2"/>
    <n v="150"/>
    <n v="-28.4"/>
    <n v="8.1"/>
    <n v="8.0399999999999991"/>
    <n v="33.15"/>
    <n v="9"/>
    <s v="Critical"/>
    <s v="VALID"/>
    <n v="0.8933333333333332"/>
    <s v="Low"/>
    <n v="20.625"/>
    <s v="Low"/>
  </r>
  <r>
    <n v="300"/>
    <n v="17.77"/>
    <x v="1"/>
    <x v="0"/>
    <n v="600"/>
    <n v="74"/>
    <n v="12.62"/>
    <n v="5.54"/>
    <n v="31.18"/>
    <n v="9"/>
    <s v="Critical"/>
    <s v="VALID"/>
    <n v="0.61555555555555552"/>
    <s v="Low"/>
    <n v="21.9"/>
    <s v="Low"/>
  </r>
  <r>
    <n v="800"/>
    <n v="30.5"/>
    <x v="4"/>
    <x v="2"/>
    <n v="2500"/>
    <n v="60.4"/>
    <n v="9.08"/>
    <n v="3.44"/>
    <n v="11.28"/>
    <n v="23"/>
    <s v="Moderate"/>
    <s v="VALID"/>
    <n v="0.14956521739130435"/>
    <s v="Low"/>
    <n v="10.18"/>
    <s v="Low"/>
  </r>
  <r>
    <n v="1500"/>
    <n v="47.92"/>
    <x v="3"/>
    <x v="2"/>
    <n v="600"/>
    <n v="63.2"/>
    <n v="1.66"/>
    <n v="7.53"/>
    <n v="15.71"/>
    <n v="17"/>
    <s v="Critical"/>
    <s v="VALID"/>
    <n v="0.44294117647058823"/>
    <s v="Medium"/>
    <n v="8.6850000000000005"/>
    <s v="Low"/>
  </r>
  <r>
    <n v="600"/>
    <n v="29.21"/>
    <x v="1"/>
    <x v="4"/>
    <n v="900"/>
    <n v="1.6"/>
    <n v="14.94"/>
    <n v="5.67"/>
    <n v="19.41"/>
    <n v="3"/>
    <s v="Critical"/>
    <s v="VALID"/>
    <n v="1.89"/>
    <s v="Low"/>
    <n v="17.175000000000001"/>
    <s v="Low"/>
  </r>
  <r>
    <n v="100"/>
    <n v="4.3099999999999996"/>
    <x v="2"/>
    <x v="1"/>
    <n v="600"/>
    <n v="30.5"/>
    <n v="15.37"/>
    <n v="2.58"/>
    <n v="59.86"/>
    <n v="11"/>
    <s v="Moderate"/>
    <s v="VALID"/>
    <n v="0.23454545454545456"/>
    <s v="Low"/>
    <n v="37.615000000000002"/>
    <s v="Medium"/>
  </r>
  <r>
    <n v="800"/>
    <n v="29.61"/>
    <x v="3"/>
    <x v="1"/>
    <n v="2500"/>
    <n v="-7.2"/>
    <n v="5.57"/>
    <n v="9.94"/>
    <n v="33.57"/>
    <n v="11"/>
    <s v="Critical"/>
    <s v="VALID"/>
    <n v="0.90363636363636357"/>
    <s v="Low"/>
    <n v="19.57"/>
    <s v="Low"/>
  </r>
  <r>
    <n v="250"/>
    <n v="7.35"/>
    <x v="1"/>
    <x v="4"/>
    <n v="900"/>
    <n v="43.5"/>
    <n v="14.63"/>
    <n v="2.84"/>
    <n v="38.64"/>
    <n v="6"/>
    <s v="Moderate"/>
    <s v="VALID"/>
    <n v="0.47333333333333333"/>
    <s v="Medium"/>
    <n v="26.635000000000002"/>
    <s v="Low"/>
  </r>
  <r>
    <n v="100"/>
    <n v="6.37"/>
    <x v="0"/>
    <x v="3"/>
    <n v="900"/>
    <n v="37.799999999999997"/>
    <n v="2.89"/>
    <n v="7.99"/>
    <n v="125.43"/>
    <n v="13"/>
    <s v="Critical"/>
    <s v="INVALID"/>
    <m/>
    <m/>
    <m/>
    <m/>
  </r>
  <r>
    <n v="600"/>
    <n v="23.46"/>
    <x v="3"/>
    <x v="3"/>
    <n v="900"/>
    <n v="2.8"/>
    <n v="13.95"/>
    <n v="6.4"/>
    <n v="27.28"/>
    <n v="1"/>
    <s v="Critical"/>
    <s v="VALID"/>
    <n v="6.4"/>
    <s v="Low"/>
    <n v="20.615000000000002"/>
    <s v="Low"/>
  </r>
  <r>
    <n v="300"/>
    <n v="8.9600000000000009"/>
    <x v="3"/>
    <x v="2"/>
    <n v="2500"/>
    <n v="43.2"/>
    <n v="3.8"/>
    <n v="1.19"/>
    <n v="13.28"/>
    <n v="12"/>
    <s v="Normal"/>
    <s v="VALID"/>
    <n v="9.9166666666666667E-2"/>
    <s v="Low"/>
    <n v="8.5399999999999991"/>
    <s v="Low"/>
  </r>
  <r>
    <n v="300"/>
    <n v="9.7100000000000009"/>
    <x v="3"/>
    <x v="1"/>
    <n v="1500"/>
    <n v="-22.9"/>
    <n v="8.9"/>
    <n v="4.1500000000000004"/>
    <n v="42.74"/>
    <n v="10"/>
    <s v="Moderate"/>
    <s v="VALID"/>
    <n v="0.41500000000000004"/>
    <s v="Medium"/>
    <n v="25.82"/>
    <s v="Low"/>
  </r>
  <r>
    <n v="400"/>
    <n v="9.89"/>
    <x v="2"/>
    <x v="1"/>
    <n v="1500"/>
    <n v="11"/>
    <n v="16.309999999999999"/>
    <n v="0.86"/>
    <n v="8.6999999999999993"/>
    <n v="19"/>
    <s v="Normal"/>
    <s v="VALID"/>
    <n v="4.5263157894736838E-2"/>
    <s v="Medium"/>
    <n v="12.504999999999999"/>
    <s v="Low"/>
  </r>
  <r>
    <n v="150"/>
    <n v="7.34"/>
    <x v="3"/>
    <x v="2"/>
    <n v="1500"/>
    <n v="16.899999999999999"/>
    <n v="6.6"/>
    <n v="3.21"/>
    <n v="43.73"/>
    <n v="16"/>
    <s v="Moderate"/>
    <s v="VALID"/>
    <n v="0.200625"/>
    <s v="Medium"/>
    <n v="25.164999999999999"/>
    <s v="Low"/>
  </r>
  <r>
    <n v="150"/>
    <n v="5.98"/>
    <x v="0"/>
    <x v="3"/>
    <n v="1500"/>
    <n v="-7.2"/>
    <n v="11.61"/>
    <n v="6.32"/>
    <n v="105.69"/>
    <n v="1"/>
    <s v="Critical"/>
    <s v="INVALID"/>
    <m/>
    <m/>
    <m/>
    <m/>
  </r>
  <r>
    <n v="500"/>
    <n v="17.559999999999999"/>
    <x v="4"/>
    <x v="4"/>
    <n v="300"/>
    <n v="19.399999999999999"/>
    <n v="17.52"/>
    <n v="6.12"/>
    <n v="34.85"/>
    <n v="20"/>
    <s v="Critical"/>
    <s v="VALID"/>
    <n v="0.30599999999999999"/>
    <s v="Medium"/>
    <n v="26.185000000000002"/>
    <s v="Low"/>
  </r>
  <r>
    <n v="400"/>
    <n v="18.18"/>
    <x v="0"/>
    <x v="2"/>
    <n v="600"/>
    <n v="133.9"/>
    <n v="2.06"/>
    <n v="1.64"/>
    <n v="9.02"/>
    <n v="23"/>
    <s v="Normal"/>
    <s v="VALID"/>
    <n v="7.1304347826086953E-2"/>
    <s v="Low"/>
    <n v="5.54"/>
    <s v="Low"/>
  </r>
  <r>
    <n v="200"/>
    <n v="8.2899999999999991"/>
    <x v="1"/>
    <x v="0"/>
    <n v="1500"/>
    <n v="58"/>
    <n v="4.7300000000000004"/>
    <n v="1.65"/>
    <n v="19.899999999999999"/>
    <n v="10"/>
    <s v="Normal"/>
    <s v="VALID"/>
    <n v="0.16499999999999998"/>
    <s v="Low"/>
    <n v="12.315"/>
    <s v="Low"/>
  </r>
  <r>
    <n v="500"/>
    <n v="22.11"/>
    <x v="3"/>
    <x v="1"/>
    <n v="600"/>
    <n v="35.1"/>
    <n v="10.4"/>
    <n v="3"/>
    <n v="13.57"/>
    <n v="8"/>
    <s v="Moderate"/>
    <s v="VALID"/>
    <n v="0.375"/>
    <s v="Medium"/>
    <n v="11.984999999999999"/>
    <s v="Low"/>
  </r>
  <r>
    <n v="1500"/>
    <n v="47.99"/>
    <x v="3"/>
    <x v="4"/>
    <n v="150"/>
    <n v="51.8"/>
    <n v="2.0099999999999998"/>
    <n v="5.34"/>
    <n v="11.13"/>
    <n v="5"/>
    <s v="Critical"/>
    <s v="VALID"/>
    <n v="1.0680000000000001"/>
    <s v="Low"/>
    <n v="6.57"/>
    <s v="Low"/>
  </r>
  <r>
    <n v="600"/>
    <n v="25.19"/>
    <x v="3"/>
    <x v="2"/>
    <n v="600"/>
    <n v="-40.9"/>
    <n v="1.9"/>
    <n v="5.63"/>
    <n v="22.35"/>
    <n v="25"/>
    <s v="Critical"/>
    <s v="VALID"/>
    <n v="0.22519999999999998"/>
    <s v="Low"/>
    <n v="12.125"/>
    <s v="Low"/>
  </r>
  <r>
    <n v="1200"/>
    <n v="36.86"/>
    <x v="0"/>
    <x v="3"/>
    <n v="1500"/>
    <n v="54.1"/>
    <n v="3.7"/>
    <n v="7.92"/>
    <n v="21.49"/>
    <n v="15"/>
    <s v="Critical"/>
    <s v="VALID"/>
    <n v="0.52800000000000002"/>
    <s v="Low"/>
    <n v="12.594999999999999"/>
    <s v="Low"/>
  </r>
  <r>
    <n v="200"/>
    <n v="7.28"/>
    <x v="1"/>
    <x v="4"/>
    <n v="600"/>
    <n v="54.1"/>
    <n v="19.07"/>
    <n v="9.18"/>
    <n v="126.1"/>
    <n v="11"/>
    <s v="Critical"/>
    <s v="INVALID"/>
    <m/>
    <m/>
    <m/>
    <m/>
  </r>
  <r>
    <n v="500"/>
    <n v="15.64"/>
    <x v="3"/>
    <x v="4"/>
    <n v="300"/>
    <n v="41.6"/>
    <n v="3.71"/>
    <n v="3.73"/>
    <n v="23.85"/>
    <n v="22"/>
    <s v="Moderate"/>
    <s v="VALID"/>
    <n v="0.16954545454545455"/>
    <s v="Low"/>
    <n v="13.780000000000001"/>
    <s v="Low"/>
  </r>
  <r>
    <n v="200"/>
    <n v="11.87"/>
    <x v="4"/>
    <x v="0"/>
    <n v="600"/>
    <n v="35.4"/>
    <n v="19.72"/>
    <n v="9.6"/>
    <n v="80.88"/>
    <n v="8"/>
    <s v="Critical"/>
    <s v="VALID"/>
    <n v="1.2"/>
    <s v="Low"/>
    <n v="50.3"/>
    <s v="Medium"/>
  </r>
  <r>
    <n v="150"/>
    <n v="9.2799999999999994"/>
    <x v="2"/>
    <x v="4"/>
    <n v="600"/>
    <n v="-23.7"/>
    <n v="16.37"/>
    <n v="2.7"/>
    <n v="29.09"/>
    <n v="7"/>
    <s v="Moderate"/>
    <s v="VALID"/>
    <n v="0.38571428571428573"/>
    <s v="Low"/>
    <n v="22.73"/>
    <s v="Low"/>
  </r>
  <r>
    <n v="800"/>
    <n v="30.78"/>
    <x v="3"/>
    <x v="4"/>
    <n v="900"/>
    <n v="87.8"/>
    <n v="18.36"/>
    <n v="4.88"/>
    <n v="15.85"/>
    <n v="4"/>
    <s v="Moderate"/>
    <s v="VALID"/>
    <n v="1.22"/>
    <s v="Low"/>
    <n v="17.105"/>
    <s v="Low"/>
  </r>
  <r>
    <n v="150"/>
    <n v="8.2899999999999991"/>
    <x v="4"/>
    <x v="2"/>
    <n v="2500"/>
    <n v="13.4"/>
    <n v="19.59"/>
    <n v="5.66"/>
    <n v="68.28"/>
    <n v="2"/>
    <s v="Critical"/>
    <s v="VALID"/>
    <n v="2.83"/>
    <s v="Low"/>
    <n v="43.935000000000002"/>
    <s v="Medium"/>
  </r>
  <r>
    <n v="100"/>
    <n v="4.2300000000000004"/>
    <x v="3"/>
    <x v="2"/>
    <n v="300"/>
    <n v="24.2"/>
    <n v="17.16"/>
    <n v="6.84"/>
    <n v="161.69999999999999"/>
    <n v="17"/>
    <s v="Critical"/>
    <s v="INVALID"/>
    <m/>
    <m/>
    <m/>
    <m/>
  </r>
  <r>
    <n v="150"/>
    <n v="8.26"/>
    <x v="3"/>
    <x v="3"/>
    <n v="900"/>
    <n v="107.8"/>
    <n v="16.91"/>
    <n v="1.18"/>
    <n v="14.29"/>
    <n v="10"/>
    <s v="Normal"/>
    <s v="VALID"/>
    <n v="0.11799999999999999"/>
    <s v="Low"/>
    <n v="15.6"/>
    <s v="Low"/>
  </r>
  <r>
    <n v="150"/>
    <n v="9.4700000000000006"/>
    <x v="4"/>
    <x v="4"/>
    <n v="150"/>
    <n v="85.9"/>
    <n v="15.5"/>
    <n v="5.94"/>
    <n v="62.72"/>
    <n v="12"/>
    <s v="Critical"/>
    <s v="VALID"/>
    <n v="0.49500000000000005"/>
    <s v="Low"/>
    <n v="39.11"/>
    <s v="Medium"/>
  </r>
  <r>
    <n v="300"/>
    <n v="11.52"/>
    <x v="2"/>
    <x v="4"/>
    <n v="900"/>
    <n v="-11"/>
    <n v="12"/>
    <n v="4.9800000000000004"/>
    <n v="43.23"/>
    <n v="5"/>
    <s v="Moderate"/>
    <s v="VALID"/>
    <n v="0.99600000000000011"/>
    <s v="Low"/>
    <n v="27.614999999999998"/>
    <s v="Low"/>
  </r>
  <r>
    <n v="50"/>
    <n v="5.95"/>
    <x v="4"/>
    <x v="0"/>
    <n v="1500"/>
    <n v="14.8"/>
    <n v="16.27"/>
    <n v="9.25"/>
    <n v="155.46"/>
    <n v="11"/>
    <s v="Critical"/>
    <s v="INVALID"/>
    <m/>
    <m/>
    <m/>
    <m/>
  </r>
  <r>
    <n v="800"/>
    <n v="28.69"/>
    <x v="4"/>
    <x v="4"/>
    <n v="600"/>
    <n v="11.4"/>
    <n v="16.63"/>
    <n v="0.91"/>
    <n v="3.17"/>
    <n v="14"/>
    <s v="Normal"/>
    <s v="VALID"/>
    <n v="6.5000000000000002E-2"/>
    <s v="Medium"/>
    <n v="9.8999999999999986"/>
    <s v="Low"/>
  </r>
  <r>
    <n v="250"/>
    <n v="13.4"/>
    <x v="1"/>
    <x v="3"/>
    <n v="2500"/>
    <n v="69.8"/>
    <n v="3.74"/>
    <n v="0.85"/>
    <n v="6.34"/>
    <n v="14"/>
    <s v="Normal"/>
    <s v="VALID"/>
    <n v="6.0714285714285714E-2"/>
    <s v="Low"/>
    <n v="5.04"/>
    <s v="Low"/>
  </r>
  <r>
    <n v="500"/>
    <n v="19.43"/>
    <x v="4"/>
    <x v="1"/>
    <n v="600"/>
    <n v="20.9"/>
    <n v="4.03"/>
    <n v="3.7"/>
    <n v="19.04"/>
    <n v="16"/>
    <s v="Moderate"/>
    <s v="VALID"/>
    <n v="0.23125000000000001"/>
    <s v="Medium"/>
    <n v="11.535"/>
    <s v="Low"/>
  </r>
  <r>
    <n v="1500"/>
    <n v="34.85"/>
    <x v="1"/>
    <x v="4"/>
    <n v="150"/>
    <n v="96.2"/>
    <n v="5.16"/>
    <n v="9.98"/>
    <n v="28.64"/>
    <n v="15"/>
    <s v="Critical"/>
    <s v="VALID"/>
    <n v="0.66533333333333333"/>
    <s v="Low"/>
    <n v="16.899999999999999"/>
    <s v="Low"/>
  </r>
  <r>
    <n v="800"/>
    <n v="12.53"/>
    <x v="0"/>
    <x v="0"/>
    <n v="150"/>
    <n v="6.5"/>
    <n v="6.54"/>
    <n v="1.07"/>
    <n v="8.5399999999999991"/>
    <n v="23"/>
    <s v="Normal"/>
    <s v="VALID"/>
    <n v="4.6521739130434787E-2"/>
    <s v="Low"/>
    <n v="7.5399999999999991"/>
    <s v="Low"/>
  </r>
  <r>
    <n v="100"/>
    <n v="6.77"/>
    <x v="1"/>
    <x v="1"/>
    <n v="600"/>
    <n v="44.7"/>
    <n v="15.9"/>
    <n v="6.22"/>
    <n v="91.88"/>
    <n v="15"/>
    <s v="Critical"/>
    <s v="VALID"/>
    <n v="0.41466666666666663"/>
    <s v="Low"/>
    <n v="53.89"/>
    <s v="Medium"/>
  </r>
  <r>
    <n v="300"/>
    <n v="15.05"/>
    <x v="2"/>
    <x v="3"/>
    <n v="600"/>
    <n v="37.9"/>
    <n v="6.6"/>
    <n v="5.39"/>
    <n v="35.81"/>
    <n v="12"/>
    <s v="Critical"/>
    <s v="VALID"/>
    <n v="0.44916666666666666"/>
    <s v="Low"/>
    <n v="21.205000000000002"/>
    <s v="Low"/>
  </r>
  <r>
    <n v="300"/>
    <n v="15.01"/>
    <x v="2"/>
    <x v="0"/>
    <n v="300"/>
    <n v="92"/>
    <n v="16.53"/>
    <n v="4.3099999999999996"/>
    <n v="28.71"/>
    <n v="10"/>
    <s v="Moderate"/>
    <s v="VALID"/>
    <n v="0.43099999999999994"/>
    <s v="Low"/>
    <n v="22.62"/>
    <s v="Low"/>
  </r>
  <r>
    <m/>
    <m/>
    <x v="5"/>
    <x v="5"/>
    <m/>
    <m/>
    <m/>
    <m/>
    <m/>
    <m/>
    <m/>
    <m/>
    <s v=" "/>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75C4E-EB2D-4108-9ACE-2358ACA491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6" firstHeaderRow="1" firstDataRow="1" firstDataCol="1"/>
  <pivotFields count="16">
    <pivotField dataField="1" showAll="0"/>
    <pivotField showAll="0"/>
    <pivotField showAll="0">
      <items count="6">
        <item x="0"/>
        <item x="3"/>
        <item x="2"/>
        <item x="1"/>
        <item x="4"/>
        <item t="default"/>
      </items>
    </pivotField>
    <pivotField showAll="0">
      <items count="6">
        <item x="3"/>
        <item x="2"/>
        <item x="4"/>
        <item x="1"/>
        <item x="0"/>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Pipe Size" fld="0" subtotal="count" baseField="10" baseItem="1"/>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0" count="1" selected="0">
            <x v="0"/>
          </reference>
        </references>
      </pivotArea>
    </chartFormat>
    <chartFormat chart="8" format="10">
      <pivotArea type="data" outline="0" fieldPosition="0">
        <references count="2">
          <reference field="4294967294" count="1" selected="0">
            <x v="0"/>
          </reference>
          <reference field="10" count="1" selected="0">
            <x v="1"/>
          </reference>
        </references>
      </pivotArea>
    </chartFormat>
    <chartFormat chart="8"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6488E-B3FA-4267-AC2D-671BA40B1DC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16">
    <pivotField showAll="0"/>
    <pivotField showAll="0"/>
    <pivotField axis="axisRow" showAll="0" sortType="descending">
      <items count="7">
        <item x="0"/>
        <item x="3"/>
        <item x="2"/>
        <item x="1"/>
        <item x="4"/>
        <item h="1" x="5"/>
        <item t="default"/>
      </items>
      <autoSortScope>
        <pivotArea dataOnly="0" outline="0" fieldPosition="0">
          <references count="1">
            <reference field="4294967294" count="1" selected="0">
              <x v="0"/>
            </reference>
          </references>
        </pivotArea>
      </autoSortScope>
    </pivotField>
    <pivotField showAll="0">
      <items count="7">
        <item x="3"/>
        <item x="2"/>
        <item x="4"/>
        <item x="1"/>
        <item x="0"/>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6">
    <i>
      <x v="3"/>
    </i>
    <i>
      <x v="1"/>
    </i>
    <i>
      <x v="4"/>
    </i>
    <i>
      <x v="2"/>
    </i>
    <i>
      <x/>
    </i>
    <i t="grand">
      <x/>
    </i>
  </rowItems>
  <colItems count="1">
    <i/>
  </colItems>
  <dataFields count="1">
    <dataField name="Average of Thickness_Loss_mm" fld="7" subtotal="average" baseField="2"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7D1354-90C0-40C8-A059-A20C3189C5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16">
    <pivotField showAll="0"/>
    <pivotField showAll="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items count="6">
        <item x="3"/>
        <item x="2"/>
        <item x="4"/>
        <item x="1"/>
        <item x="0"/>
        <item t="default"/>
      </items>
    </pivotField>
    <pivotField showAll="0"/>
    <pivotField showAll="0"/>
    <pivotField showAll="0"/>
    <pivotField showAll="0"/>
    <pivotField showAll="0"/>
    <pivotField showAll="0"/>
    <pivotField showAll="0">
      <items count="4">
        <item x="1"/>
        <item x="0"/>
        <item x="2"/>
        <item t="default"/>
      </items>
    </pivotField>
    <pivotField showAll="0"/>
    <pivotField dataField="1" showAll="0"/>
    <pivotField showAll="0"/>
    <pivotField showAll="0"/>
    <pivotField showAll="0"/>
  </pivotFields>
  <rowFields count="1">
    <field x="2"/>
  </rowFields>
  <rowItems count="6">
    <i>
      <x v="3"/>
    </i>
    <i>
      <x v="1"/>
    </i>
    <i>
      <x v="4"/>
    </i>
    <i>
      <x v="2"/>
    </i>
    <i>
      <x/>
    </i>
    <i t="grand">
      <x/>
    </i>
  </rowItems>
  <colItems count="1">
    <i/>
  </colItems>
  <dataFields count="1">
    <dataField name="Average of Thickness_loss_rate_mm_per_year" fld="12" subtotal="average"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7BDF0F-8F31-428C-AD82-4AF81CFA3A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6">
    <pivotField showAll="0"/>
    <pivotField showAll="0"/>
    <pivotField showAll="0">
      <items count="6">
        <item x="0"/>
        <item x="3"/>
        <item x="2"/>
        <item x="1"/>
        <item x="4"/>
        <item t="default"/>
      </items>
    </pivotField>
    <pivotField showAll="0">
      <items count="6">
        <item x="3"/>
        <item x="2"/>
        <item x="4"/>
        <item x="1"/>
        <item x="0"/>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axis="axisRow" showAll="0">
      <items count="4">
        <item x="1"/>
        <item x="0"/>
        <item h="1" x="2"/>
        <item t="default"/>
      </items>
    </pivotField>
    <pivotField dataField="1" showAll="0"/>
    <pivotField showAll="0"/>
  </pivotFields>
  <rowFields count="1">
    <field x="13"/>
  </rowFields>
  <rowItems count="3">
    <i>
      <x/>
    </i>
    <i>
      <x v="1"/>
    </i>
    <i t="grand">
      <x/>
    </i>
  </rowItems>
  <colItems count="1">
    <i/>
  </colItems>
  <dataFields count="1">
    <dataField name="Average of Risk_Score" fld="14" subtotal="average" baseField="1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20CF2E77-AB49-47A3-9887-0505D6BD69A9}" sourceName="Condition">
  <pivotTables>
    <pivotTable tabId="7" name="PivotTable5"/>
    <pivotTable tabId="12" name="PivotTable10"/>
    <pivotTable tabId="6" name="PivotTable4"/>
  </pivotTables>
  <data>
    <tabular pivotCacheId="116385106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2" xr10:uid="{A563934D-6720-4ECF-B91F-EF8A80BC0975}" sourceName="Grade">
  <pivotTables>
    <pivotTable tabId="7" name="PivotTable5"/>
    <pivotTable tabId="12" name="PivotTable10"/>
    <pivotTable tabId="6" name="PivotTable4"/>
  </pivotTables>
  <data>
    <tabular pivotCacheId="1163851065">
      <items count="5">
        <i x="3"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1" xr10:uid="{97032908-AB38-4C39-B4B1-48CAA54821E0}" sourceName="Material">
  <pivotTables>
    <pivotTable tabId="7" name="PivotTable5"/>
    <pivotTable tabId="12" name="PivotTable10"/>
    <pivotTable tabId="6" name="PivotTable4"/>
  </pivotTables>
  <data>
    <tabular pivotCacheId="1163851065">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4672BDFC-4142-4061-8283-47AF94F00531}" cache="Slicer_Condition" caption="Condition" rowHeight="241300"/>
  <slicer name="Grade 2" xr10:uid="{58120B8E-3C25-43DC-8AB9-93D23BFF318C}" cache="Slicer_Grade2" caption="Grade" rowHeight="241300"/>
  <slicer name="Material 1" xr10:uid="{820D9E07-C3BE-4EAA-A0BB-123F0AD6DFA7}" cache="Slicer_Material1" caption="Materia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selection activeCell="H1" sqref="H1"/>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800</v>
      </c>
      <c r="B2">
        <v>15.48</v>
      </c>
      <c r="C2" t="s">
        <v>11</v>
      </c>
      <c r="D2" t="s">
        <v>12</v>
      </c>
      <c r="E2">
        <v>300</v>
      </c>
      <c r="F2">
        <v>84.9</v>
      </c>
      <c r="G2">
        <v>16.04</v>
      </c>
      <c r="H2">
        <v>4.91</v>
      </c>
      <c r="I2">
        <v>31.72</v>
      </c>
      <c r="J2">
        <v>2</v>
      </c>
      <c r="K2" t="s">
        <v>13</v>
      </c>
    </row>
    <row r="3" spans="1:11" x14ac:dyDescent="0.25">
      <c r="A3">
        <v>800</v>
      </c>
      <c r="B3">
        <v>22</v>
      </c>
      <c r="C3" t="s">
        <v>14</v>
      </c>
      <c r="D3" t="s">
        <v>15</v>
      </c>
      <c r="E3">
        <v>150</v>
      </c>
      <c r="F3">
        <v>14.1</v>
      </c>
      <c r="G3">
        <v>7.38</v>
      </c>
      <c r="H3">
        <v>7.32</v>
      </c>
      <c r="I3">
        <v>33.270000000000003</v>
      </c>
      <c r="J3">
        <v>4</v>
      </c>
      <c r="K3" t="s">
        <v>16</v>
      </c>
    </row>
    <row r="4" spans="1:11" x14ac:dyDescent="0.25">
      <c r="A4">
        <v>400</v>
      </c>
      <c r="B4">
        <v>12.05</v>
      </c>
      <c r="C4" t="s">
        <v>11</v>
      </c>
      <c r="D4" t="s">
        <v>17</v>
      </c>
      <c r="E4">
        <v>2500</v>
      </c>
      <c r="F4">
        <v>0.6</v>
      </c>
      <c r="G4">
        <v>2.12</v>
      </c>
      <c r="H4">
        <v>6.32</v>
      </c>
      <c r="I4">
        <v>52.45</v>
      </c>
      <c r="J4">
        <v>7</v>
      </c>
      <c r="K4" t="s">
        <v>16</v>
      </c>
    </row>
    <row r="5" spans="1:11" x14ac:dyDescent="0.25">
      <c r="A5">
        <v>1500</v>
      </c>
      <c r="B5">
        <v>38.72</v>
      </c>
      <c r="C5" t="s">
        <v>11</v>
      </c>
      <c r="D5" t="s">
        <v>18</v>
      </c>
      <c r="E5">
        <v>1500</v>
      </c>
      <c r="F5">
        <v>52.7</v>
      </c>
      <c r="G5">
        <v>5.58</v>
      </c>
      <c r="H5">
        <v>6.2</v>
      </c>
      <c r="I5">
        <v>16.010000000000002</v>
      </c>
      <c r="J5">
        <v>19</v>
      </c>
      <c r="K5" t="s">
        <v>16</v>
      </c>
    </row>
    <row r="6" spans="1:11" x14ac:dyDescent="0.25">
      <c r="A6">
        <v>1500</v>
      </c>
      <c r="B6">
        <v>24.32</v>
      </c>
      <c r="C6" t="s">
        <v>19</v>
      </c>
      <c r="D6" t="s">
        <v>20</v>
      </c>
      <c r="E6">
        <v>1500</v>
      </c>
      <c r="F6">
        <v>11.7</v>
      </c>
      <c r="G6">
        <v>12.29</v>
      </c>
      <c r="H6">
        <v>8.58</v>
      </c>
      <c r="I6">
        <v>35.28</v>
      </c>
      <c r="J6">
        <v>20</v>
      </c>
      <c r="K6" t="s">
        <v>16</v>
      </c>
    </row>
    <row r="7" spans="1:11" x14ac:dyDescent="0.25">
      <c r="A7">
        <v>600</v>
      </c>
      <c r="B7">
        <v>16.75</v>
      </c>
      <c r="C7" t="s">
        <v>21</v>
      </c>
      <c r="D7" t="s">
        <v>17</v>
      </c>
      <c r="E7">
        <v>600</v>
      </c>
      <c r="F7">
        <v>67.3</v>
      </c>
      <c r="G7">
        <v>2.06</v>
      </c>
      <c r="H7">
        <v>5.21</v>
      </c>
      <c r="I7">
        <v>31.1</v>
      </c>
      <c r="J7">
        <v>11</v>
      </c>
      <c r="K7" t="s">
        <v>16</v>
      </c>
    </row>
    <row r="8" spans="1:11" x14ac:dyDescent="0.25">
      <c r="A8">
        <v>200</v>
      </c>
      <c r="B8">
        <v>9.94</v>
      </c>
      <c r="C8" t="s">
        <v>11</v>
      </c>
      <c r="D8" t="s">
        <v>15</v>
      </c>
      <c r="E8">
        <v>1500</v>
      </c>
      <c r="F8">
        <v>89.6</v>
      </c>
      <c r="G8">
        <v>1.34</v>
      </c>
      <c r="H8">
        <v>5.86</v>
      </c>
      <c r="I8">
        <v>58.95</v>
      </c>
      <c r="J8">
        <v>6</v>
      </c>
      <c r="K8" t="s">
        <v>16</v>
      </c>
    </row>
    <row r="9" spans="1:11" x14ac:dyDescent="0.25">
      <c r="A9">
        <v>300</v>
      </c>
      <c r="B9">
        <v>13.87</v>
      </c>
      <c r="C9" t="s">
        <v>11</v>
      </c>
      <c r="D9" t="s">
        <v>15</v>
      </c>
      <c r="E9">
        <v>900</v>
      </c>
      <c r="F9">
        <v>40.799999999999997</v>
      </c>
      <c r="G9">
        <v>5.57</v>
      </c>
      <c r="H9">
        <v>3.02</v>
      </c>
      <c r="I9">
        <v>21.77</v>
      </c>
      <c r="J9">
        <v>21</v>
      </c>
      <c r="K9" t="s">
        <v>13</v>
      </c>
    </row>
    <row r="10" spans="1:11" x14ac:dyDescent="0.25">
      <c r="A10">
        <v>150</v>
      </c>
      <c r="B10">
        <v>8.86</v>
      </c>
      <c r="C10" t="s">
        <v>21</v>
      </c>
      <c r="D10" t="s">
        <v>20</v>
      </c>
      <c r="E10">
        <v>300</v>
      </c>
      <c r="F10">
        <v>3.2</v>
      </c>
      <c r="G10">
        <v>13.84</v>
      </c>
      <c r="H10">
        <v>2.4700000000000002</v>
      </c>
      <c r="I10">
        <v>27.88</v>
      </c>
      <c r="J10">
        <v>19</v>
      </c>
      <c r="K10" t="s">
        <v>13</v>
      </c>
    </row>
    <row r="11" spans="1:11" x14ac:dyDescent="0.25">
      <c r="A11">
        <v>800</v>
      </c>
      <c r="B11">
        <v>25.78</v>
      </c>
      <c r="C11" t="s">
        <v>22</v>
      </c>
      <c r="D11" t="s">
        <v>12</v>
      </c>
      <c r="E11">
        <v>150</v>
      </c>
      <c r="F11">
        <v>11.6</v>
      </c>
      <c r="G11">
        <v>18.68</v>
      </c>
      <c r="H11">
        <v>0.53</v>
      </c>
      <c r="I11">
        <v>2.06</v>
      </c>
      <c r="J11">
        <v>1</v>
      </c>
      <c r="K11" t="s">
        <v>23</v>
      </c>
    </row>
    <row r="12" spans="1:11" x14ac:dyDescent="0.25">
      <c r="A12">
        <v>300</v>
      </c>
      <c r="B12">
        <v>11.52</v>
      </c>
      <c r="C12" t="s">
        <v>22</v>
      </c>
      <c r="D12" t="s">
        <v>12</v>
      </c>
      <c r="E12">
        <v>900</v>
      </c>
      <c r="F12">
        <v>100.4</v>
      </c>
      <c r="G12">
        <v>12.23</v>
      </c>
      <c r="H12">
        <v>8.8000000000000007</v>
      </c>
      <c r="I12">
        <v>76.39</v>
      </c>
      <c r="J12">
        <v>13</v>
      </c>
      <c r="K12" t="s">
        <v>16</v>
      </c>
    </row>
    <row r="13" spans="1:11" x14ac:dyDescent="0.25">
      <c r="A13">
        <v>1000</v>
      </c>
      <c r="B13">
        <v>20.58</v>
      </c>
      <c r="C13" t="s">
        <v>14</v>
      </c>
      <c r="D13" t="s">
        <v>20</v>
      </c>
      <c r="E13">
        <v>900</v>
      </c>
      <c r="F13">
        <v>67.5</v>
      </c>
      <c r="G13">
        <v>14.33</v>
      </c>
      <c r="H13">
        <v>7.32</v>
      </c>
      <c r="I13">
        <v>35.57</v>
      </c>
      <c r="J13">
        <v>6</v>
      </c>
      <c r="K13" t="s">
        <v>16</v>
      </c>
    </row>
    <row r="14" spans="1:11" x14ac:dyDescent="0.25">
      <c r="A14">
        <v>300</v>
      </c>
      <c r="B14">
        <v>13.03</v>
      </c>
      <c r="C14" t="s">
        <v>22</v>
      </c>
      <c r="D14" t="s">
        <v>15</v>
      </c>
      <c r="E14">
        <v>600</v>
      </c>
      <c r="F14">
        <v>9.6999999999999993</v>
      </c>
      <c r="G14">
        <v>14.93</v>
      </c>
      <c r="H14">
        <v>0.85</v>
      </c>
      <c r="I14">
        <v>6.52</v>
      </c>
      <c r="J14">
        <v>6</v>
      </c>
      <c r="K14" t="s">
        <v>23</v>
      </c>
    </row>
    <row r="15" spans="1:11" x14ac:dyDescent="0.25">
      <c r="A15">
        <v>150</v>
      </c>
      <c r="B15">
        <v>5.19</v>
      </c>
      <c r="C15" t="s">
        <v>19</v>
      </c>
      <c r="D15" t="s">
        <v>12</v>
      </c>
      <c r="E15">
        <v>300</v>
      </c>
      <c r="F15">
        <v>43.6</v>
      </c>
      <c r="G15">
        <v>16.02</v>
      </c>
      <c r="H15">
        <v>6.12</v>
      </c>
      <c r="I15">
        <v>117.92</v>
      </c>
      <c r="J15">
        <v>13</v>
      </c>
      <c r="K15" t="s">
        <v>16</v>
      </c>
    </row>
    <row r="16" spans="1:11" x14ac:dyDescent="0.25">
      <c r="A16">
        <v>300</v>
      </c>
      <c r="B16">
        <v>15.48</v>
      </c>
      <c r="C16" t="s">
        <v>11</v>
      </c>
      <c r="D16" t="s">
        <v>18</v>
      </c>
      <c r="E16">
        <v>600</v>
      </c>
      <c r="F16">
        <v>63.4</v>
      </c>
      <c r="G16">
        <v>13.65</v>
      </c>
      <c r="H16">
        <v>9.2100000000000009</v>
      </c>
      <c r="I16">
        <v>59.5</v>
      </c>
      <c r="J16">
        <v>7</v>
      </c>
      <c r="K16" t="s">
        <v>16</v>
      </c>
    </row>
    <row r="17" spans="1:11" x14ac:dyDescent="0.25">
      <c r="A17">
        <v>100</v>
      </c>
      <c r="B17">
        <v>6</v>
      </c>
      <c r="C17" t="s">
        <v>21</v>
      </c>
      <c r="D17" t="s">
        <v>20</v>
      </c>
      <c r="E17">
        <v>1500</v>
      </c>
      <c r="F17">
        <v>60.1</v>
      </c>
      <c r="G17">
        <v>18.79</v>
      </c>
      <c r="H17">
        <v>7.01</v>
      </c>
      <c r="I17">
        <v>116.83</v>
      </c>
      <c r="J17">
        <v>21</v>
      </c>
      <c r="K17" t="s">
        <v>16</v>
      </c>
    </row>
    <row r="18" spans="1:11" x14ac:dyDescent="0.25">
      <c r="A18">
        <v>600</v>
      </c>
      <c r="B18">
        <v>10.56</v>
      </c>
      <c r="C18" t="s">
        <v>22</v>
      </c>
      <c r="D18" t="s">
        <v>15</v>
      </c>
      <c r="E18">
        <v>1500</v>
      </c>
      <c r="F18">
        <v>145.1</v>
      </c>
      <c r="G18">
        <v>11.2</v>
      </c>
      <c r="H18">
        <v>1.61</v>
      </c>
      <c r="I18">
        <v>15.25</v>
      </c>
      <c r="J18">
        <v>8</v>
      </c>
      <c r="K18" t="s">
        <v>23</v>
      </c>
    </row>
    <row r="19" spans="1:11" x14ac:dyDescent="0.25">
      <c r="A19">
        <v>300</v>
      </c>
      <c r="B19">
        <v>10.87</v>
      </c>
      <c r="C19" t="s">
        <v>14</v>
      </c>
      <c r="D19" t="s">
        <v>12</v>
      </c>
      <c r="E19">
        <v>900</v>
      </c>
      <c r="F19">
        <v>63.9</v>
      </c>
      <c r="G19">
        <v>10.99</v>
      </c>
      <c r="H19">
        <v>0.04</v>
      </c>
      <c r="I19">
        <v>0.37</v>
      </c>
      <c r="J19">
        <v>18</v>
      </c>
      <c r="K19" t="s">
        <v>23</v>
      </c>
    </row>
    <row r="20" spans="1:11" x14ac:dyDescent="0.25">
      <c r="A20">
        <v>100</v>
      </c>
      <c r="B20">
        <v>7.21</v>
      </c>
      <c r="C20" t="s">
        <v>14</v>
      </c>
      <c r="D20" t="s">
        <v>15</v>
      </c>
      <c r="E20">
        <v>600</v>
      </c>
      <c r="F20">
        <v>13.6</v>
      </c>
      <c r="G20">
        <v>4.51</v>
      </c>
      <c r="H20">
        <v>3.16</v>
      </c>
      <c r="I20">
        <v>43.83</v>
      </c>
      <c r="J20">
        <v>22</v>
      </c>
      <c r="K20" t="s">
        <v>13</v>
      </c>
    </row>
    <row r="21" spans="1:11" x14ac:dyDescent="0.25">
      <c r="A21">
        <v>100</v>
      </c>
      <c r="B21">
        <v>5.49</v>
      </c>
      <c r="C21" t="s">
        <v>11</v>
      </c>
      <c r="D21" t="s">
        <v>18</v>
      </c>
      <c r="E21">
        <v>900</v>
      </c>
      <c r="F21">
        <v>52.6</v>
      </c>
      <c r="G21">
        <v>16.25</v>
      </c>
      <c r="H21">
        <v>4.2300000000000004</v>
      </c>
      <c r="I21">
        <v>77.05</v>
      </c>
      <c r="J21">
        <v>13</v>
      </c>
      <c r="K21" t="s">
        <v>13</v>
      </c>
    </row>
    <row r="22" spans="1:11" x14ac:dyDescent="0.25">
      <c r="A22">
        <v>300</v>
      </c>
      <c r="B22">
        <v>11.14</v>
      </c>
      <c r="C22" t="s">
        <v>22</v>
      </c>
      <c r="D22" t="s">
        <v>15</v>
      </c>
      <c r="E22">
        <v>900</v>
      </c>
      <c r="F22">
        <v>33</v>
      </c>
      <c r="G22">
        <v>16.23</v>
      </c>
      <c r="H22">
        <v>9.67</v>
      </c>
      <c r="I22">
        <v>86.8</v>
      </c>
      <c r="J22">
        <v>24</v>
      </c>
      <c r="K22" t="s">
        <v>16</v>
      </c>
    </row>
    <row r="23" spans="1:11" x14ac:dyDescent="0.25">
      <c r="A23">
        <v>100</v>
      </c>
      <c r="B23">
        <v>5.68</v>
      </c>
      <c r="C23" t="s">
        <v>11</v>
      </c>
      <c r="D23" t="s">
        <v>15</v>
      </c>
      <c r="E23">
        <v>1500</v>
      </c>
      <c r="F23">
        <v>45.3</v>
      </c>
      <c r="G23">
        <v>12.17</v>
      </c>
      <c r="H23">
        <v>7.59</v>
      </c>
      <c r="I23">
        <v>133.63</v>
      </c>
      <c r="J23">
        <v>10</v>
      </c>
      <c r="K23" t="s">
        <v>16</v>
      </c>
    </row>
    <row r="24" spans="1:11" x14ac:dyDescent="0.25">
      <c r="A24">
        <v>1000</v>
      </c>
      <c r="B24">
        <v>32.89</v>
      </c>
      <c r="C24" t="s">
        <v>22</v>
      </c>
      <c r="D24" t="s">
        <v>12</v>
      </c>
      <c r="E24">
        <v>600</v>
      </c>
      <c r="F24">
        <v>56.9</v>
      </c>
      <c r="G24">
        <v>4.01</v>
      </c>
      <c r="H24">
        <v>0.84</v>
      </c>
      <c r="I24">
        <v>2.5499999999999998</v>
      </c>
      <c r="J24">
        <v>7</v>
      </c>
      <c r="K24" t="s">
        <v>23</v>
      </c>
    </row>
    <row r="25" spans="1:11" x14ac:dyDescent="0.25">
      <c r="A25">
        <v>250</v>
      </c>
      <c r="B25">
        <v>12.89</v>
      </c>
      <c r="C25" t="s">
        <v>11</v>
      </c>
      <c r="D25" t="s">
        <v>15</v>
      </c>
      <c r="E25">
        <v>300</v>
      </c>
      <c r="F25">
        <v>145.6</v>
      </c>
      <c r="G25">
        <v>2.4500000000000002</v>
      </c>
      <c r="H25">
        <v>4.1900000000000004</v>
      </c>
      <c r="I25">
        <v>32.51</v>
      </c>
      <c r="J25">
        <v>16</v>
      </c>
      <c r="K25" t="s">
        <v>13</v>
      </c>
    </row>
    <row r="26" spans="1:11" x14ac:dyDescent="0.25">
      <c r="A26">
        <v>1000</v>
      </c>
      <c r="B26">
        <v>32.869999999999997</v>
      </c>
      <c r="C26" t="s">
        <v>22</v>
      </c>
      <c r="D26" t="s">
        <v>12</v>
      </c>
      <c r="E26">
        <v>600</v>
      </c>
      <c r="F26">
        <v>21.6</v>
      </c>
      <c r="G26">
        <v>17.260000000000002</v>
      </c>
      <c r="H26">
        <v>8.39</v>
      </c>
      <c r="I26">
        <v>25.52</v>
      </c>
      <c r="J26">
        <v>3</v>
      </c>
      <c r="K26" t="s">
        <v>16</v>
      </c>
    </row>
    <row r="27" spans="1:11" x14ac:dyDescent="0.25">
      <c r="A27">
        <v>1500</v>
      </c>
      <c r="B27">
        <v>28.73</v>
      </c>
      <c r="C27" t="s">
        <v>19</v>
      </c>
      <c r="D27" t="s">
        <v>15</v>
      </c>
      <c r="E27">
        <v>300</v>
      </c>
      <c r="F27">
        <v>117.3</v>
      </c>
      <c r="G27">
        <v>4.55</v>
      </c>
      <c r="H27">
        <v>1.97</v>
      </c>
      <c r="I27">
        <v>6.86</v>
      </c>
      <c r="J27">
        <v>12</v>
      </c>
      <c r="K27" t="s">
        <v>23</v>
      </c>
    </row>
    <row r="28" spans="1:11" x14ac:dyDescent="0.25">
      <c r="A28">
        <v>100</v>
      </c>
      <c r="B28">
        <v>4.62</v>
      </c>
      <c r="C28" t="s">
        <v>19</v>
      </c>
      <c r="D28" t="s">
        <v>18</v>
      </c>
      <c r="E28">
        <v>1500</v>
      </c>
      <c r="F28">
        <v>52.5</v>
      </c>
      <c r="G28">
        <v>16.62</v>
      </c>
      <c r="H28">
        <v>1.79</v>
      </c>
      <c r="I28">
        <v>38.74</v>
      </c>
      <c r="J28">
        <v>3</v>
      </c>
      <c r="K28" t="s">
        <v>23</v>
      </c>
    </row>
    <row r="29" spans="1:11" x14ac:dyDescent="0.25">
      <c r="A29">
        <v>150</v>
      </c>
      <c r="B29">
        <v>6.81</v>
      </c>
      <c r="C29" t="s">
        <v>21</v>
      </c>
      <c r="D29" t="s">
        <v>20</v>
      </c>
      <c r="E29">
        <v>1500</v>
      </c>
      <c r="F29">
        <v>62.4</v>
      </c>
      <c r="G29">
        <v>16.100000000000001</v>
      </c>
      <c r="H29">
        <v>5.52</v>
      </c>
      <c r="I29">
        <v>81.06</v>
      </c>
      <c r="J29">
        <v>4</v>
      </c>
      <c r="K29" t="s">
        <v>16</v>
      </c>
    </row>
    <row r="30" spans="1:11" x14ac:dyDescent="0.25">
      <c r="A30">
        <v>1500</v>
      </c>
      <c r="B30">
        <v>30.19</v>
      </c>
      <c r="C30" t="s">
        <v>22</v>
      </c>
      <c r="D30" t="s">
        <v>15</v>
      </c>
      <c r="E30">
        <v>150</v>
      </c>
      <c r="F30">
        <v>109</v>
      </c>
      <c r="G30">
        <v>13</v>
      </c>
      <c r="H30">
        <v>0.22</v>
      </c>
      <c r="I30">
        <v>0.73</v>
      </c>
      <c r="J30">
        <v>14</v>
      </c>
      <c r="K30" t="s">
        <v>23</v>
      </c>
    </row>
    <row r="31" spans="1:11" x14ac:dyDescent="0.25">
      <c r="A31">
        <v>1000</v>
      </c>
      <c r="B31">
        <v>24.79</v>
      </c>
      <c r="C31" t="s">
        <v>19</v>
      </c>
      <c r="D31" t="s">
        <v>12</v>
      </c>
      <c r="E31">
        <v>1500</v>
      </c>
      <c r="F31">
        <v>4.7</v>
      </c>
      <c r="G31">
        <v>4.6500000000000004</v>
      </c>
      <c r="H31">
        <v>4.76</v>
      </c>
      <c r="I31">
        <v>19.2</v>
      </c>
      <c r="J31">
        <v>17</v>
      </c>
      <c r="K31" t="s">
        <v>13</v>
      </c>
    </row>
    <row r="32" spans="1:11" x14ac:dyDescent="0.25">
      <c r="A32">
        <v>250</v>
      </c>
      <c r="B32">
        <v>7.16</v>
      </c>
      <c r="C32" t="s">
        <v>19</v>
      </c>
      <c r="D32" t="s">
        <v>18</v>
      </c>
      <c r="E32">
        <v>2500</v>
      </c>
      <c r="F32">
        <v>-23.1</v>
      </c>
      <c r="G32">
        <v>10.24</v>
      </c>
      <c r="H32">
        <v>4.96</v>
      </c>
      <c r="I32">
        <v>69.27</v>
      </c>
      <c r="J32">
        <v>14</v>
      </c>
      <c r="K32" t="s">
        <v>13</v>
      </c>
    </row>
    <row r="33" spans="1:11" x14ac:dyDescent="0.25">
      <c r="A33">
        <v>150</v>
      </c>
      <c r="B33">
        <v>5.97</v>
      </c>
      <c r="C33" t="s">
        <v>14</v>
      </c>
      <c r="D33" t="s">
        <v>15</v>
      </c>
      <c r="E33">
        <v>150</v>
      </c>
      <c r="F33">
        <v>35.4</v>
      </c>
      <c r="G33">
        <v>14.28</v>
      </c>
      <c r="H33">
        <v>0.2</v>
      </c>
      <c r="I33">
        <v>3.35</v>
      </c>
      <c r="J33">
        <v>24</v>
      </c>
      <c r="K33" t="s">
        <v>23</v>
      </c>
    </row>
    <row r="34" spans="1:11" x14ac:dyDescent="0.25">
      <c r="A34">
        <v>250</v>
      </c>
      <c r="B34">
        <v>13.7</v>
      </c>
      <c r="C34" t="s">
        <v>11</v>
      </c>
      <c r="D34" t="s">
        <v>20</v>
      </c>
      <c r="E34">
        <v>2500</v>
      </c>
      <c r="F34">
        <v>18.3</v>
      </c>
      <c r="G34">
        <v>0.28000000000000003</v>
      </c>
      <c r="H34">
        <v>5.94</v>
      </c>
      <c r="I34">
        <v>43.36</v>
      </c>
      <c r="J34">
        <v>13</v>
      </c>
      <c r="K34" t="s">
        <v>16</v>
      </c>
    </row>
    <row r="35" spans="1:11" x14ac:dyDescent="0.25">
      <c r="A35">
        <v>300</v>
      </c>
      <c r="B35">
        <v>9.65</v>
      </c>
      <c r="C35" t="s">
        <v>11</v>
      </c>
      <c r="D35" t="s">
        <v>18</v>
      </c>
      <c r="E35">
        <v>900</v>
      </c>
      <c r="F35">
        <v>58.2</v>
      </c>
      <c r="G35">
        <v>16.16</v>
      </c>
      <c r="H35">
        <v>5.04</v>
      </c>
      <c r="I35">
        <v>52.23</v>
      </c>
      <c r="J35">
        <v>19</v>
      </c>
      <c r="K35" t="s">
        <v>16</v>
      </c>
    </row>
    <row r="36" spans="1:11" x14ac:dyDescent="0.25">
      <c r="A36">
        <v>50</v>
      </c>
      <c r="B36">
        <v>4.55</v>
      </c>
      <c r="C36" t="s">
        <v>14</v>
      </c>
      <c r="D36" t="s">
        <v>12</v>
      </c>
      <c r="E36">
        <v>600</v>
      </c>
      <c r="F36">
        <v>51.7</v>
      </c>
      <c r="G36">
        <v>14.89</v>
      </c>
      <c r="H36">
        <v>8.91</v>
      </c>
      <c r="I36">
        <v>195.82</v>
      </c>
      <c r="J36">
        <v>1</v>
      </c>
      <c r="K36" t="s">
        <v>16</v>
      </c>
    </row>
    <row r="37" spans="1:11" x14ac:dyDescent="0.25">
      <c r="A37">
        <v>50</v>
      </c>
      <c r="B37">
        <v>4.05</v>
      </c>
      <c r="C37" t="s">
        <v>14</v>
      </c>
      <c r="D37" t="s">
        <v>12</v>
      </c>
      <c r="E37">
        <v>150</v>
      </c>
      <c r="F37">
        <v>63</v>
      </c>
      <c r="G37">
        <v>16.940000000000001</v>
      </c>
      <c r="H37">
        <v>9.5299999999999994</v>
      </c>
      <c r="I37">
        <v>235.31</v>
      </c>
      <c r="J37">
        <v>1</v>
      </c>
      <c r="K37" t="s">
        <v>16</v>
      </c>
    </row>
    <row r="38" spans="1:11" x14ac:dyDescent="0.25">
      <c r="A38">
        <v>50</v>
      </c>
      <c r="B38">
        <v>4.1100000000000003</v>
      </c>
      <c r="C38" t="s">
        <v>21</v>
      </c>
      <c r="D38" t="s">
        <v>20</v>
      </c>
      <c r="E38">
        <v>150</v>
      </c>
      <c r="F38">
        <v>44.5</v>
      </c>
      <c r="G38">
        <v>7.24</v>
      </c>
      <c r="H38">
        <v>3.39</v>
      </c>
      <c r="I38">
        <v>82.48</v>
      </c>
      <c r="J38">
        <v>15</v>
      </c>
      <c r="K38" t="s">
        <v>13</v>
      </c>
    </row>
    <row r="39" spans="1:11" x14ac:dyDescent="0.25">
      <c r="A39">
        <v>150</v>
      </c>
      <c r="B39">
        <v>8.15</v>
      </c>
      <c r="C39" t="s">
        <v>14</v>
      </c>
      <c r="D39" t="s">
        <v>15</v>
      </c>
      <c r="E39">
        <v>150</v>
      </c>
      <c r="F39">
        <v>-23.9</v>
      </c>
      <c r="G39">
        <v>2.62</v>
      </c>
      <c r="H39">
        <v>0.2</v>
      </c>
      <c r="I39">
        <v>2.4500000000000002</v>
      </c>
      <c r="J39">
        <v>5</v>
      </c>
      <c r="K39" t="s">
        <v>23</v>
      </c>
    </row>
    <row r="40" spans="1:11" x14ac:dyDescent="0.25">
      <c r="A40">
        <v>1000</v>
      </c>
      <c r="B40">
        <v>17.260000000000002</v>
      </c>
      <c r="C40" t="s">
        <v>21</v>
      </c>
      <c r="D40" t="s">
        <v>12</v>
      </c>
      <c r="E40">
        <v>1500</v>
      </c>
      <c r="F40">
        <v>-8</v>
      </c>
      <c r="G40">
        <v>1.79</v>
      </c>
      <c r="H40">
        <v>5.56</v>
      </c>
      <c r="I40">
        <v>32.21</v>
      </c>
      <c r="J40">
        <v>9</v>
      </c>
      <c r="K40" t="s">
        <v>16</v>
      </c>
    </row>
    <row r="41" spans="1:11" x14ac:dyDescent="0.25">
      <c r="A41">
        <v>250</v>
      </c>
      <c r="B41">
        <v>7.17</v>
      </c>
      <c r="C41" t="s">
        <v>21</v>
      </c>
      <c r="D41" t="s">
        <v>12</v>
      </c>
      <c r="E41">
        <v>150</v>
      </c>
      <c r="F41">
        <v>84.7</v>
      </c>
      <c r="G41">
        <v>16.86</v>
      </c>
      <c r="H41">
        <v>2.91</v>
      </c>
      <c r="I41">
        <v>40.590000000000003</v>
      </c>
      <c r="J41">
        <v>14</v>
      </c>
      <c r="K41" t="s">
        <v>13</v>
      </c>
    </row>
    <row r="42" spans="1:11" x14ac:dyDescent="0.25">
      <c r="A42">
        <v>1200</v>
      </c>
      <c r="B42">
        <v>24.53</v>
      </c>
      <c r="C42" t="s">
        <v>21</v>
      </c>
      <c r="D42" t="s">
        <v>12</v>
      </c>
      <c r="E42">
        <v>600</v>
      </c>
      <c r="F42">
        <v>62.4</v>
      </c>
      <c r="G42">
        <v>16.22</v>
      </c>
      <c r="H42">
        <v>4.93</v>
      </c>
      <c r="I42">
        <v>20.100000000000001</v>
      </c>
      <c r="J42">
        <v>10</v>
      </c>
      <c r="K42" t="s">
        <v>13</v>
      </c>
    </row>
    <row r="43" spans="1:11" x14ac:dyDescent="0.25">
      <c r="A43">
        <v>600</v>
      </c>
      <c r="B43">
        <v>17.32</v>
      </c>
      <c r="C43" t="s">
        <v>11</v>
      </c>
      <c r="D43" t="s">
        <v>20</v>
      </c>
      <c r="E43">
        <v>150</v>
      </c>
      <c r="F43">
        <v>59.8</v>
      </c>
      <c r="G43">
        <v>0.84</v>
      </c>
      <c r="H43">
        <v>7.74</v>
      </c>
      <c r="I43">
        <v>44.69</v>
      </c>
      <c r="J43">
        <v>1</v>
      </c>
      <c r="K43" t="s">
        <v>16</v>
      </c>
    </row>
    <row r="44" spans="1:11" x14ac:dyDescent="0.25">
      <c r="A44">
        <v>1000</v>
      </c>
      <c r="B44">
        <v>30.64</v>
      </c>
      <c r="C44" t="s">
        <v>11</v>
      </c>
      <c r="D44" t="s">
        <v>15</v>
      </c>
      <c r="E44">
        <v>2500</v>
      </c>
      <c r="F44">
        <v>148.69999999999999</v>
      </c>
      <c r="G44">
        <v>3.25</v>
      </c>
      <c r="H44">
        <v>1.06</v>
      </c>
      <c r="I44">
        <v>3.46</v>
      </c>
      <c r="J44">
        <v>11</v>
      </c>
      <c r="K44" t="s">
        <v>23</v>
      </c>
    </row>
    <row r="45" spans="1:11" x14ac:dyDescent="0.25">
      <c r="A45">
        <v>100</v>
      </c>
      <c r="B45">
        <v>5.96</v>
      </c>
      <c r="C45" t="s">
        <v>22</v>
      </c>
      <c r="D45" t="s">
        <v>15</v>
      </c>
      <c r="E45">
        <v>150</v>
      </c>
      <c r="F45">
        <v>116.7</v>
      </c>
      <c r="G45">
        <v>2.42</v>
      </c>
      <c r="H45">
        <v>0.45</v>
      </c>
      <c r="I45">
        <v>7.55</v>
      </c>
      <c r="J45">
        <v>23</v>
      </c>
      <c r="K45" t="s">
        <v>23</v>
      </c>
    </row>
    <row r="46" spans="1:11" x14ac:dyDescent="0.25">
      <c r="A46">
        <v>400</v>
      </c>
      <c r="B46">
        <v>12.67</v>
      </c>
      <c r="C46" t="s">
        <v>11</v>
      </c>
      <c r="D46" t="s">
        <v>18</v>
      </c>
      <c r="E46">
        <v>150</v>
      </c>
      <c r="F46">
        <v>0.1</v>
      </c>
      <c r="G46">
        <v>17.04</v>
      </c>
      <c r="H46">
        <v>0.37</v>
      </c>
      <c r="I46">
        <v>2.92</v>
      </c>
      <c r="J46">
        <v>5</v>
      </c>
      <c r="K46" t="s">
        <v>23</v>
      </c>
    </row>
    <row r="47" spans="1:11" x14ac:dyDescent="0.25">
      <c r="A47">
        <v>800</v>
      </c>
      <c r="B47">
        <v>21.57</v>
      </c>
      <c r="C47" t="s">
        <v>11</v>
      </c>
      <c r="D47" t="s">
        <v>12</v>
      </c>
      <c r="E47">
        <v>150</v>
      </c>
      <c r="F47">
        <v>-4.3</v>
      </c>
      <c r="G47">
        <v>10.97</v>
      </c>
      <c r="H47">
        <v>6.17</v>
      </c>
      <c r="I47">
        <v>28.6</v>
      </c>
      <c r="J47">
        <v>9</v>
      </c>
      <c r="K47" t="s">
        <v>16</v>
      </c>
    </row>
    <row r="48" spans="1:11" x14ac:dyDescent="0.25">
      <c r="A48">
        <v>50</v>
      </c>
      <c r="B48">
        <v>3.6</v>
      </c>
      <c r="C48" t="s">
        <v>21</v>
      </c>
      <c r="D48" t="s">
        <v>18</v>
      </c>
      <c r="E48">
        <v>2500</v>
      </c>
      <c r="F48">
        <v>20.2</v>
      </c>
      <c r="G48">
        <v>15.29</v>
      </c>
      <c r="H48">
        <v>7.69</v>
      </c>
      <c r="I48">
        <v>213.61</v>
      </c>
      <c r="J48">
        <v>2</v>
      </c>
      <c r="K48" t="s">
        <v>16</v>
      </c>
    </row>
    <row r="49" spans="1:11" x14ac:dyDescent="0.25">
      <c r="A49">
        <v>1500</v>
      </c>
      <c r="B49">
        <v>21.15</v>
      </c>
      <c r="C49" t="s">
        <v>14</v>
      </c>
      <c r="D49" t="s">
        <v>20</v>
      </c>
      <c r="E49">
        <v>600</v>
      </c>
      <c r="F49">
        <v>109.7</v>
      </c>
      <c r="G49">
        <v>18.84</v>
      </c>
      <c r="H49">
        <v>0.93</v>
      </c>
      <c r="I49">
        <v>4.4000000000000004</v>
      </c>
      <c r="J49">
        <v>1</v>
      </c>
      <c r="K49" t="s">
        <v>23</v>
      </c>
    </row>
    <row r="50" spans="1:11" x14ac:dyDescent="0.25">
      <c r="A50">
        <v>800</v>
      </c>
      <c r="B50">
        <v>29.98</v>
      </c>
      <c r="C50" t="s">
        <v>14</v>
      </c>
      <c r="D50" t="s">
        <v>17</v>
      </c>
      <c r="E50">
        <v>1500</v>
      </c>
      <c r="F50">
        <v>9.8000000000000007</v>
      </c>
      <c r="G50">
        <v>14.24</v>
      </c>
      <c r="H50">
        <v>1.84</v>
      </c>
      <c r="I50">
        <v>6.14</v>
      </c>
      <c r="J50">
        <v>5</v>
      </c>
      <c r="K50" t="s">
        <v>23</v>
      </c>
    </row>
    <row r="51" spans="1:11" x14ac:dyDescent="0.25">
      <c r="A51">
        <v>800</v>
      </c>
      <c r="B51">
        <v>28.85</v>
      </c>
      <c r="C51" t="s">
        <v>22</v>
      </c>
      <c r="D51" t="s">
        <v>20</v>
      </c>
      <c r="E51">
        <v>2500</v>
      </c>
      <c r="F51">
        <v>57.3</v>
      </c>
      <c r="G51">
        <v>6.62</v>
      </c>
      <c r="H51">
        <v>9.51</v>
      </c>
      <c r="I51">
        <v>32.96</v>
      </c>
      <c r="J51">
        <v>19</v>
      </c>
      <c r="K51" t="s">
        <v>16</v>
      </c>
    </row>
    <row r="52" spans="1:11" x14ac:dyDescent="0.25">
      <c r="A52">
        <v>600</v>
      </c>
      <c r="B52">
        <v>12.82</v>
      </c>
      <c r="C52" t="s">
        <v>19</v>
      </c>
      <c r="D52" t="s">
        <v>12</v>
      </c>
      <c r="E52">
        <v>300</v>
      </c>
      <c r="F52">
        <v>54.9</v>
      </c>
      <c r="G52">
        <v>2.95</v>
      </c>
      <c r="H52">
        <v>9.19</v>
      </c>
      <c r="I52">
        <v>71.680000000000007</v>
      </c>
      <c r="J52">
        <v>15</v>
      </c>
      <c r="K52" t="s">
        <v>16</v>
      </c>
    </row>
    <row r="53" spans="1:11" x14ac:dyDescent="0.25">
      <c r="A53">
        <v>150</v>
      </c>
      <c r="B53">
        <v>6.12</v>
      </c>
      <c r="C53" t="s">
        <v>11</v>
      </c>
      <c r="D53" t="s">
        <v>17</v>
      </c>
      <c r="E53">
        <v>1500</v>
      </c>
      <c r="F53">
        <v>42.6</v>
      </c>
      <c r="G53">
        <v>12.29</v>
      </c>
      <c r="H53">
        <v>6.31</v>
      </c>
      <c r="I53">
        <v>103.1</v>
      </c>
      <c r="J53">
        <v>17</v>
      </c>
      <c r="K53" t="s">
        <v>16</v>
      </c>
    </row>
    <row r="54" spans="1:11" x14ac:dyDescent="0.25">
      <c r="A54">
        <v>1500</v>
      </c>
      <c r="B54">
        <v>34.369999999999997</v>
      </c>
      <c r="C54" t="s">
        <v>11</v>
      </c>
      <c r="D54" t="s">
        <v>18</v>
      </c>
      <c r="E54">
        <v>900</v>
      </c>
      <c r="F54">
        <v>64.900000000000006</v>
      </c>
      <c r="G54">
        <v>17.54</v>
      </c>
      <c r="H54">
        <v>0.83</v>
      </c>
      <c r="I54">
        <v>2.41</v>
      </c>
      <c r="J54">
        <v>25</v>
      </c>
      <c r="K54" t="s">
        <v>23</v>
      </c>
    </row>
    <row r="55" spans="1:11" x14ac:dyDescent="0.25">
      <c r="A55">
        <v>100</v>
      </c>
      <c r="B55">
        <v>6.71</v>
      </c>
      <c r="C55" t="s">
        <v>21</v>
      </c>
      <c r="D55" t="s">
        <v>20</v>
      </c>
      <c r="E55">
        <v>300</v>
      </c>
      <c r="F55">
        <v>28.6</v>
      </c>
      <c r="G55">
        <v>12.61</v>
      </c>
      <c r="H55">
        <v>0.59</v>
      </c>
      <c r="I55">
        <v>8.7899999999999991</v>
      </c>
      <c r="J55">
        <v>19</v>
      </c>
      <c r="K55" t="s">
        <v>23</v>
      </c>
    </row>
    <row r="56" spans="1:11" x14ac:dyDescent="0.25">
      <c r="A56">
        <v>800</v>
      </c>
      <c r="B56">
        <v>18.86</v>
      </c>
      <c r="C56" t="s">
        <v>21</v>
      </c>
      <c r="D56" t="s">
        <v>18</v>
      </c>
      <c r="E56">
        <v>900</v>
      </c>
      <c r="F56">
        <v>16.899999999999999</v>
      </c>
      <c r="G56">
        <v>12.16</v>
      </c>
      <c r="H56">
        <v>3.96</v>
      </c>
      <c r="I56">
        <v>21</v>
      </c>
      <c r="J56">
        <v>11</v>
      </c>
      <c r="K56" t="s">
        <v>13</v>
      </c>
    </row>
    <row r="57" spans="1:11" x14ac:dyDescent="0.25">
      <c r="A57">
        <v>250</v>
      </c>
      <c r="B57">
        <v>12.79</v>
      </c>
      <c r="C57" t="s">
        <v>21</v>
      </c>
      <c r="D57" t="s">
        <v>15</v>
      </c>
      <c r="E57">
        <v>2500</v>
      </c>
      <c r="F57">
        <v>16.8</v>
      </c>
      <c r="G57">
        <v>18.350000000000001</v>
      </c>
      <c r="H57">
        <v>0.02</v>
      </c>
      <c r="I57">
        <v>0.16</v>
      </c>
      <c r="J57">
        <v>21</v>
      </c>
      <c r="K57" t="s">
        <v>23</v>
      </c>
    </row>
    <row r="58" spans="1:11" x14ac:dyDescent="0.25">
      <c r="A58">
        <v>1200</v>
      </c>
      <c r="B58">
        <v>24.48</v>
      </c>
      <c r="C58" t="s">
        <v>19</v>
      </c>
      <c r="D58" t="s">
        <v>12</v>
      </c>
      <c r="E58">
        <v>900</v>
      </c>
      <c r="F58">
        <v>30.8</v>
      </c>
      <c r="G58">
        <v>4.34</v>
      </c>
      <c r="H58">
        <v>6.35</v>
      </c>
      <c r="I58">
        <v>25.94</v>
      </c>
      <c r="J58">
        <v>1</v>
      </c>
      <c r="K58" t="s">
        <v>16</v>
      </c>
    </row>
    <row r="59" spans="1:11" x14ac:dyDescent="0.25">
      <c r="A59">
        <v>50</v>
      </c>
      <c r="B59">
        <v>5.73</v>
      </c>
      <c r="C59" t="s">
        <v>19</v>
      </c>
      <c r="D59" t="s">
        <v>12</v>
      </c>
      <c r="E59">
        <v>1500</v>
      </c>
      <c r="F59">
        <v>136.80000000000001</v>
      </c>
      <c r="G59">
        <v>16.739999999999998</v>
      </c>
      <c r="H59">
        <v>3.89</v>
      </c>
      <c r="I59">
        <v>67.89</v>
      </c>
      <c r="J59">
        <v>4</v>
      </c>
      <c r="K59" t="s">
        <v>13</v>
      </c>
    </row>
    <row r="60" spans="1:11" x14ac:dyDescent="0.25">
      <c r="A60">
        <v>600</v>
      </c>
      <c r="B60">
        <v>28.18</v>
      </c>
      <c r="C60" t="s">
        <v>11</v>
      </c>
      <c r="D60" t="s">
        <v>17</v>
      </c>
      <c r="E60">
        <v>1500</v>
      </c>
      <c r="F60">
        <v>-28.3</v>
      </c>
      <c r="G60">
        <v>0.69</v>
      </c>
      <c r="H60">
        <v>1.67</v>
      </c>
      <c r="I60">
        <v>5.93</v>
      </c>
      <c r="J60">
        <v>1</v>
      </c>
      <c r="K60" t="s">
        <v>23</v>
      </c>
    </row>
    <row r="61" spans="1:11" x14ac:dyDescent="0.25">
      <c r="A61">
        <v>1500</v>
      </c>
      <c r="B61">
        <v>36.909999999999997</v>
      </c>
      <c r="C61" t="s">
        <v>14</v>
      </c>
      <c r="D61" t="s">
        <v>20</v>
      </c>
      <c r="E61">
        <v>2500</v>
      </c>
      <c r="F61">
        <v>77.7</v>
      </c>
      <c r="G61">
        <v>18.28</v>
      </c>
      <c r="H61">
        <v>9.5299999999999994</v>
      </c>
      <c r="I61">
        <v>25.82</v>
      </c>
      <c r="J61">
        <v>9</v>
      </c>
      <c r="K61" t="s">
        <v>16</v>
      </c>
    </row>
    <row r="62" spans="1:11" x14ac:dyDescent="0.25">
      <c r="A62">
        <v>600</v>
      </c>
      <c r="B62">
        <v>10.56</v>
      </c>
      <c r="C62" t="s">
        <v>19</v>
      </c>
      <c r="D62" t="s">
        <v>17</v>
      </c>
      <c r="E62">
        <v>150</v>
      </c>
      <c r="F62">
        <v>58.6</v>
      </c>
      <c r="G62">
        <v>0.2</v>
      </c>
      <c r="H62">
        <v>6.37</v>
      </c>
      <c r="I62">
        <v>60.32</v>
      </c>
      <c r="J62">
        <v>13</v>
      </c>
      <c r="K62" t="s">
        <v>16</v>
      </c>
    </row>
    <row r="63" spans="1:11" x14ac:dyDescent="0.25">
      <c r="A63">
        <v>500</v>
      </c>
      <c r="B63">
        <v>24.81</v>
      </c>
      <c r="C63" t="s">
        <v>14</v>
      </c>
      <c r="D63" t="s">
        <v>12</v>
      </c>
      <c r="E63">
        <v>300</v>
      </c>
      <c r="F63">
        <v>8.8000000000000007</v>
      </c>
      <c r="G63">
        <v>5.78</v>
      </c>
      <c r="H63">
        <v>0.87</v>
      </c>
      <c r="I63">
        <v>3.51</v>
      </c>
      <c r="J63">
        <v>19</v>
      </c>
      <c r="K63" t="s">
        <v>23</v>
      </c>
    </row>
    <row r="64" spans="1:11" x14ac:dyDescent="0.25">
      <c r="A64">
        <v>800</v>
      </c>
      <c r="B64">
        <v>19.87</v>
      </c>
      <c r="C64" t="s">
        <v>22</v>
      </c>
      <c r="D64" t="s">
        <v>15</v>
      </c>
      <c r="E64">
        <v>600</v>
      </c>
      <c r="F64">
        <v>20.3</v>
      </c>
      <c r="G64">
        <v>7.6</v>
      </c>
      <c r="H64">
        <v>4.6500000000000004</v>
      </c>
      <c r="I64">
        <v>23.4</v>
      </c>
      <c r="J64">
        <v>7</v>
      </c>
      <c r="K64" t="s">
        <v>13</v>
      </c>
    </row>
    <row r="65" spans="1:11" x14ac:dyDescent="0.25">
      <c r="A65">
        <v>1000</v>
      </c>
      <c r="B65">
        <v>31.7</v>
      </c>
      <c r="C65" t="s">
        <v>11</v>
      </c>
      <c r="D65" t="s">
        <v>17</v>
      </c>
      <c r="E65">
        <v>600</v>
      </c>
      <c r="F65">
        <v>38.799999999999997</v>
      </c>
      <c r="G65">
        <v>0.09</v>
      </c>
      <c r="H65">
        <v>4.0999999999999996</v>
      </c>
      <c r="I65">
        <v>12.93</v>
      </c>
      <c r="J65">
        <v>11</v>
      </c>
      <c r="K65" t="s">
        <v>13</v>
      </c>
    </row>
    <row r="66" spans="1:11" x14ac:dyDescent="0.25">
      <c r="A66">
        <v>300</v>
      </c>
      <c r="B66">
        <v>14.23</v>
      </c>
      <c r="C66" t="s">
        <v>19</v>
      </c>
      <c r="D66" t="s">
        <v>15</v>
      </c>
      <c r="E66">
        <v>900</v>
      </c>
      <c r="F66">
        <v>77.8</v>
      </c>
      <c r="G66">
        <v>16.27</v>
      </c>
      <c r="H66">
        <v>1.51</v>
      </c>
      <c r="I66">
        <v>10.61</v>
      </c>
      <c r="J66">
        <v>14</v>
      </c>
      <c r="K66" t="s">
        <v>23</v>
      </c>
    </row>
    <row r="67" spans="1:11" x14ac:dyDescent="0.25">
      <c r="A67">
        <v>600</v>
      </c>
      <c r="B67">
        <v>28.35</v>
      </c>
      <c r="C67" t="s">
        <v>22</v>
      </c>
      <c r="D67" t="s">
        <v>15</v>
      </c>
      <c r="E67">
        <v>150</v>
      </c>
      <c r="F67">
        <v>37.4</v>
      </c>
      <c r="G67">
        <v>14.36</v>
      </c>
      <c r="H67">
        <v>9.06</v>
      </c>
      <c r="I67">
        <v>31.96</v>
      </c>
      <c r="J67">
        <v>2</v>
      </c>
      <c r="K67" t="s">
        <v>16</v>
      </c>
    </row>
    <row r="68" spans="1:11" x14ac:dyDescent="0.25">
      <c r="A68">
        <v>1000</v>
      </c>
      <c r="B68">
        <v>33.18</v>
      </c>
      <c r="C68" t="s">
        <v>14</v>
      </c>
      <c r="D68" t="s">
        <v>17</v>
      </c>
      <c r="E68">
        <v>2500</v>
      </c>
      <c r="F68">
        <v>51.3</v>
      </c>
      <c r="G68">
        <v>9.27</v>
      </c>
      <c r="H68">
        <v>3.64</v>
      </c>
      <c r="I68">
        <v>10.97</v>
      </c>
      <c r="J68">
        <v>25</v>
      </c>
      <c r="K68" t="s">
        <v>13</v>
      </c>
    </row>
    <row r="69" spans="1:11" x14ac:dyDescent="0.25">
      <c r="A69">
        <v>400</v>
      </c>
      <c r="B69">
        <v>13.52</v>
      </c>
      <c r="C69" t="s">
        <v>19</v>
      </c>
      <c r="D69" t="s">
        <v>20</v>
      </c>
      <c r="E69">
        <v>900</v>
      </c>
      <c r="F69">
        <v>87.1</v>
      </c>
      <c r="G69">
        <v>4.63</v>
      </c>
      <c r="H69">
        <v>0.36</v>
      </c>
      <c r="I69">
        <v>2.66</v>
      </c>
      <c r="J69">
        <v>5</v>
      </c>
      <c r="K69" t="s">
        <v>23</v>
      </c>
    </row>
    <row r="70" spans="1:11" x14ac:dyDescent="0.25">
      <c r="A70">
        <v>300</v>
      </c>
      <c r="B70">
        <v>17.13</v>
      </c>
      <c r="C70" t="s">
        <v>14</v>
      </c>
      <c r="D70" t="s">
        <v>20</v>
      </c>
      <c r="E70">
        <v>150</v>
      </c>
      <c r="F70">
        <v>77.400000000000006</v>
      </c>
      <c r="G70">
        <v>5.6</v>
      </c>
      <c r="H70">
        <v>6.28</v>
      </c>
      <c r="I70">
        <v>36.659999999999997</v>
      </c>
      <c r="J70">
        <v>9</v>
      </c>
      <c r="K70" t="s">
        <v>16</v>
      </c>
    </row>
    <row r="71" spans="1:11" x14ac:dyDescent="0.25">
      <c r="A71">
        <v>100</v>
      </c>
      <c r="B71">
        <v>4.43</v>
      </c>
      <c r="C71" t="s">
        <v>21</v>
      </c>
      <c r="D71" t="s">
        <v>18</v>
      </c>
      <c r="E71">
        <v>150</v>
      </c>
      <c r="F71">
        <v>-38.9</v>
      </c>
      <c r="G71">
        <v>17.62</v>
      </c>
      <c r="H71">
        <v>5.55</v>
      </c>
      <c r="I71">
        <v>125.28</v>
      </c>
      <c r="J71">
        <v>5</v>
      </c>
      <c r="K71" t="s">
        <v>16</v>
      </c>
    </row>
    <row r="72" spans="1:11" x14ac:dyDescent="0.25">
      <c r="A72">
        <v>500</v>
      </c>
      <c r="B72">
        <v>22</v>
      </c>
      <c r="C72" t="s">
        <v>21</v>
      </c>
      <c r="D72" t="s">
        <v>20</v>
      </c>
      <c r="E72">
        <v>900</v>
      </c>
      <c r="F72">
        <v>28.7</v>
      </c>
      <c r="G72">
        <v>10.3</v>
      </c>
      <c r="H72">
        <v>0.18</v>
      </c>
      <c r="I72">
        <v>0.82</v>
      </c>
      <c r="J72">
        <v>16</v>
      </c>
      <c r="K72" t="s">
        <v>23</v>
      </c>
    </row>
    <row r="73" spans="1:11" x14ac:dyDescent="0.25">
      <c r="A73">
        <v>50</v>
      </c>
      <c r="B73">
        <v>4.71</v>
      </c>
      <c r="C73" t="s">
        <v>21</v>
      </c>
      <c r="D73" t="s">
        <v>15</v>
      </c>
      <c r="E73">
        <v>300</v>
      </c>
      <c r="F73">
        <v>29.2</v>
      </c>
      <c r="G73">
        <v>2.9</v>
      </c>
      <c r="H73">
        <v>9.9700000000000006</v>
      </c>
      <c r="I73">
        <v>211.68</v>
      </c>
      <c r="J73">
        <v>13</v>
      </c>
      <c r="K73" t="s">
        <v>16</v>
      </c>
    </row>
    <row r="74" spans="1:11" x14ac:dyDescent="0.25">
      <c r="A74">
        <v>50</v>
      </c>
      <c r="B74">
        <v>5.89</v>
      </c>
      <c r="C74" t="s">
        <v>11</v>
      </c>
      <c r="D74" t="s">
        <v>12</v>
      </c>
      <c r="E74">
        <v>1500</v>
      </c>
      <c r="F74">
        <v>-12.3</v>
      </c>
      <c r="G74">
        <v>12.98</v>
      </c>
      <c r="H74">
        <v>4.68</v>
      </c>
      <c r="I74">
        <v>79.459999999999994</v>
      </c>
      <c r="J74">
        <v>21</v>
      </c>
      <c r="K74" t="s">
        <v>13</v>
      </c>
    </row>
    <row r="75" spans="1:11" x14ac:dyDescent="0.25">
      <c r="A75">
        <v>150</v>
      </c>
      <c r="B75">
        <v>6.26</v>
      </c>
      <c r="C75" t="s">
        <v>14</v>
      </c>
      <c r="D75" t="s">
        <v>12</v>
      </c>
      <c r="E75">
        <v>150</v>
      </c>
      <c r="F75">
        <v>61.2</v>
      </c>
      <c r="G75">
        <v>4.6500000000000004</v>
      </c>
      <c r="H75">
        <v>5.72</v>
      </c>
      <c r="I75">
        <v>91.37</v>
      </c>
      <c r="J75">
        <v>23</v>
      </c>
      <c r="K75" t="s">
        <v>16</v>
      </c>
    </row>
    <row r="76" spans="1:11" x14ac:dyDescent="0.25">
      <c r="A76">
        <v>300</v>
      </c>
      <c r="B76">
        <v>8.07</v>
      </c>
      <c r="C76" t="s">
        <v>21</v>
      </c>
      <c r="D76" t="s">
        <v>17</v>
      </c>
      <c r="E76">
        <v>600</v>
      </c>
      <c r="F76">
        <v>-19</v>
      </c>
      <c r="G76">
        <v>4.41</v>
      </c>
      <c r="H76">
        <v>3.18</v>
      </c>
      <c r="I76">
        <v>39.409999999999997</v>
      </c>
      <c r="J76">
        <v>6</v>
      </c>
      <c r="K76" t="s">
        <v>13</v>
      </c>
    </row>
    <row r="77" spans="1:11" x14ac:dyDescent="0.25">
      <c r="A77">
        <v>300</v>
      </c>
      <c r="B77">
        <v>16.309999999999999</v>
      </c>
      <c r="C77" t="s">
        <v>11</v>
      </c>
      <c r="D77" t="s">
        <v>12</v>
      </c>
      <c r="E77">
        <v>2500</v>
      </c>
      <c r="F77">
        <v>-37.4</v>
      </c>
      <c r="G77">
        <v>4.32</v>
      </c>
      <c r="H77">
        <v>5.54</v>
      </c>
      <c r="I77">
        <v>33.97</v>
      </c>
      <c r="J77">
        <v>25</v>
      </c>
      <c r="K77" t="s">
        <v>16</v>
      </c>
    </row>
    <row r="78" spans="1:11" x14ac:dyDescent="0.25">
      <c r="A78">
        <v>300</v>
      </c>
      <c r="B78">
        <v>14.96</v>
      </c>
      <c r="C78" t="s">
        <v>11</v>
      </c>
      <c r="D78" t="s">
        <v>17</v>
      </c>
      <c r="E78">
        <v>2500</v>
      </c>
      <c r="F78">
        <v>27.6</v>
      </c>
      <c r="G78">
        <v>14.19</v>
      </c>
      <c r="H78">
        <v>0.63</v>
      </c>
      <c r="I78">
        <v>4.21</v>
      </c>
      <c r="J78">
        <v>2</v>
      </c>
      <c r="K78" t="s">
        <v>23</v>
      </c>
    </row>
    <row r="79" spans="1:11" x14ac:dyDescent="0.25">
      <c r="A79">
        <v>300</v>
      </c>
      <c r="B79">
        <v>9.27</v>
      </c>
      <c r="C79" t="s">
        <v>19</v>
      </c>
      <c r="D79" t="s">
        <v>12</v>
      </c>
      <c r="E79">
        <v>1500</v>
      </c>
      <c r="F79">
        <v>30.6</v>
      </c>
      <c r="G79">
        <v>16.91</v>
      </c>
      <c r="H79">
        <v>0.33</v>
      </c>
      <c r="I79">
        <v>3.56</v>
      </c>
      <c r="J79">
        <v>12</v>
      </c>
      <c r="K79" t="s">
        <v>23</v>
      </c>
    </row>
    <row r="80" spans="1:11" x14ac:dyDescent="0.25">
      <c r="A80">
        <v>500</v>
      </c>
      <c r="B80">
        <v>14.33</v>
      </c>
      <c r="C80" t="s">
        <v>19</v>
      </c>
      <c r="D80" t="s">
        <v>12</v>
      </c>
      <c r="E80">
        <v>300</v>
      </c>
      <c r="F80">
        <v>39.9</v>
      </c>
      <c r="G80">
        <v>10.63</v>
      </c>
      <c r="H80">
        <v>0.23</v>
      </c>
      <c r="I80">
        <v>1.61</v>
      </c>
      <c r="J80">
        <v>9</v>
      </c>
      <c r="K80" t="s">
        <v>23</v>
      </c>
    </row>
    <row r="81" spans="1:11" x14ac:dyDescent="0.25">
      <c r="A81">
        <v>250</v>
      </c>
      <c r="B81">
        <v>6.79</v>
      </c>
      <c r="C81" t="s">
        <v>22</v>
      </c>
      <c r="D81" t="s">
        <v>15</v>
      </c>
      <c r="E81">
        <v>1500</v>
      </c>
      <c r="F81">
        <v>79.5</v>
      </c>
      <c r="G81">
        <v>3.85</v>
      </c>
      <c r="H81">
        <v>3.79</v>
      </c>
      <c r="I81">
        <v>55.82</v>
      </c>
      <c r="J81">
        <v>22</v>
      </c>
      <c r="K81" t="s">
        <v>13</v>
      </c>
    </row>
    <row r="82" spans="1:11" x14ac:dyDescent="0.25">
      <c r="A82">
        <v>50</v>
      </c>
      <c r="B82">
        <v>4.96</v>
      </c>
      <c r="C82" t="s">
        <v>19</v>
      </c>
      <c r="D82" t="s">
        <v>18</v>
      </c>
      <c r="E82">
        <v>2500</v>
      </c>
      <c r="F82">
        <v>35.6</v>
      </c>
      <c r="G82">
        <v>13.87</v>
      </c>
      <c r="H82">
        <v>7.04</v>
      </c>
      <c r="I82">
        <v>141.94</v>
      </c>
      <c r="J82">
        <v>2</v>
      </c>
      <c r="K82" t="s">
        <v>16</v>
      </c>
    </row>
    <row r="83" spans="1:11" x14ac:dyDescent="0.25">
      <c r="A83">
        <v>250</v>
      </c>
      <c r="B83">
        <v>12.43</v>
      </c>
      <c r="C83" t="s">
        <v>21</v>
      </c>
      <c r="D83" t="s">
        <v>12</v>
      </c>
      <c r="E83">
        <v>1500</v>
      </c>
      <c r="F83">
        <v>-31.1</v>
      </c>
      <c r="G83">
        <v>4.2300000000000004</v>
      </c>
      <c r="H83">
        <v>2.92</v>
      </c>
      <c r="I83">
        <v>23.49</v>
      </c>
      <c r="J83">
        <v>14</v>
      </c>
      <c r="K83" t="s">
        <v>13</v>
      </c>
    </row>
    <row r="84" spans="1:11" x14ac:dyDescent="0.25">
      <c r="A84">
        <v>500</v>
      </c>
      <c r="B84">
        <v>13.73</v>
      </c>
      <c r="C84" t="s">
        <v>21</v>
      </c>
      <c r="D84" t="s">
        <v>15</v>
      </c>
      <c r="E84">
        <v>2500</v>
      </c>
      <c r="F84">
        <v>72.900000000000006</v>
      </c>
      <c r="G84">
        <v>13.47</v>
      </c>
      <c r="H84">
        <v>8.6</v>
      </c>
      <c r="I84">
        <v>62.64</v>
      </c>
      <c r="J84">
        <v>9</v>
      </c>
      <c r="K84" t="s">
        <v>16</v>
      </c>
    </row>
    <row r="85" spans="1:11" x14ac:dyDescent="0.25">
      <c r="A85">
        <v>100</v>
      </c>
      <c r="B85">
        <v>4.03</v>
      </c>
      <c r="C85" t="s">
        <v>14</v>
      </c>
      <c r="D85" t="s">
        <v>15</v>
      </c>
      <c r="E85">
        <v>2500</v>
      </c>
      <c r="F85">
        <v>70</v>
      </c>
      <c r="G85">
        <v>3.71</v>
      </c>
      <c r="H85">
        <v>0.59</v>
      </c>
      <c r="I85">
        <v>14.64</v>
      </c>
      <c r="J85">
        <v>8</v>
      </c>
      <c r="K85" t="s">
        <v>23</v>
      </c>
    </row>
    <row r="86" spans="1:11" x14ac:dyDescent="0.25">
      <c r="A86">
        <v>500</v>
      </c>
      <c r="B86">
        <v>24.1</v>
      </c>
      <c r="C86" t="s">
        <v>21</v>
      </c>
      <c r="D86" t="s">
        <v>12</v>
      </c>
      <c r="E86">
        <v>900</v>
      </c>
      <c r="F86">
        <v>2.1</v>
      </c>
      <c r="G86">
        <v>18.059999999999999</v>
      </c>
      <c r="H86">
        <v>0.47</v>
      </c>
      <c r="I86">
        <v>1.95</v>
      </c>
      <c r="J86">
        <v>22</v>
      </c>
      <c r="K86" t="s">
        <v>23</v>
      </c>
    </row>
    <row r="87" spans="1:11" x14ac:dyDescent="0.25">
      <c r="A87">
        <v>100</v>
      </c>
      <c r="B87">
        <v>7.55</v>
      </c>
      <c r="C87" t="s">
        <v>21</v>
      </c>
      <c r="D87" t="s">
        <v>15</v>
      </c>
      <c r="E87">
        <v>1500</v>
      </c>
      <c r="F87">
        <v>109.9</v>
      </c>
      <c r="G87">
        <v>7.63</v>
      </c>
      <c r="H87">
        <v>7.12</v>
      </c>
      <c r="I87">
        <v>94.3</v>
      </c>
      <c r="J87">
        <v>10</v>
      </c>
      <c r="K87" t="s">
        <v>16</v>
      </c>
    </row>
    <row r="88" spans="1:11" x14ac:dyDescent="0.25">
      <c r="A88">
        <v>1200</v>
      </c>
      <c r="B88">
        <v>31.11</v>
      </c>
      <c r="C88" t="s">
        <v>11</v>
      </c>
      <c r="D88" t="s">
        <v>12</v>
      </c>
      <c r="E88">
        <v>2500</v>
      </c>
      <c r="F88">
        <v>22.7</v>
      </c>
      <c r="G88">
        <v>15.45</v>
      </c>
      <c r="H88">
        <v>8.01</v>
      </c>
      <c r="I88">
        <v>25.75</v>
      </c>
      <c r="J88">
        <v>10</v>
      </c>
      <c r="K88" t="s">
        <v>16</v>
      </c>
    </row>
    <row r="89" spans="1:11" x14ac:dyDescent="0.25">
      <c r="A89">
        <v>400</v>
      </c>
      <c r="B89">
        <v>14.91</v>
      </c>
      <c r="C89" t="s">
        <v>22</v>
      </c>
      <c r="D89" t="s">
        <v>18</v>
      </c>
      <c r="E89">
        <v>2500</v>
      </c>
      <c r="F89">
        <v>0.1</v>
      </c>
      <c r="G89">
        <v>10.44</v>
      </c>
      <c r="H89">
        <v>8.8000000000000007</v>
      </c>
      <c r="I89">
        <v>59.02</v>
      </c>
      <c r="J89">
        <v>22</v>
      </c>
      <c r="K89" t="s">
        <v>16</v>
      </c>
    </row>
    <row r="90" spans="1:11" x14ac:dyDescent="0.25">
      <c r="A90">
        <v>1200</v>
      </c>
      <c r="B90">
        <v>27.92</v>
      </c>
      <c r="C90" t="s">
        <v>19</v>
      </c>
      <c r="D90" t="s">
        <v>12</v>
      </c>
      <c r="E90">
        <v>1500</v>
      </c>
      <c r="F90">
        <v>60.3</v>
      </c>
      <c r="G90">
        <v>10</v>
      </c>
      <c r="H90">
        <v>8.0399999999999991</v>
      </c>
      <c r="I90">
        <v>28.8</v>
      </c>
      <c r="J90">
        <v>7</v>
      </c>
      <c r="K90" t="s">
        <v>16</v>
      </c>
    </row>
    <row r="91" spans="1:11" x14ac:dyDescent="0.25">
      <c r="A91">
        <v>1000</v>
      </c>
      <c r="B91">
        <v>20.11</v>
      </c>
      <c r="C91" t="s">
        <v>11</v>
      </c>
      <c r="D91" t="s">
        <v>12</v>
      </c>
      <c r="E91">
        <v>900</v>
      </c>
      <c r="F91">
        <v>53.7</v>
      </c>
      <c r="G91">
        <v>10.5</v>
      </c>
      <c r="H91">
        <v>3.18</v>
      </c>
      <c r="I91">
        <v>15.81</v>
      </c>
      <c r="J91">
        <v>13</v>
      </c>
      <c r="K91" t="s">
        <v>13</v>
      </c>
    </row>
    <row r="92" spans="1:11" x14ac:dyDescent="0.25">
      <c r="A92">
        <v>200</v>
      </c>
      <c r="B92">
        <v>6.69</v>
      </c>
      <c r="C92" t="s">
        <v>11</v>
      </c>
      <c r="D92" t="s">
        <v>18</v>
      </c>
      <c r="E92">
        <v>2500</v>
      </c>
      <c r="F92">
        <v>129.80000000000001</v>
      </c>
      <c r="G92">
        <v>9.16</v>
      </c>
      <c r="H92">
        <v>6.56</v>
      </c>
      <c r="I92">
        <v>98.06</v>
      </c>
      <c r="J92">
        <v>7</v>
      </c>
      <c r="K92" t="s">
        <v>16</v>
      </c>
    </row>
    <row r="93" spans="1:11" x14ac:dyDescent="0.25">
      <c r="A93">
        <v>300</v>
      </c>
      <c r="B93">
        <v>11.47</v>
      </c>
      <c r="C93" t="s">
        <v>21</v>
      </c>
      <c r="D93" t="s">
        <v>12</v>
      </c>
      <c r="E93">
        <v>900</v>
      </c>
      <c r="F93">
        <v>137.9</v>
      </c>
      <c r="G93">
        <v>6.96</v>
      </c>
      <c r="H93">
        <v>5.22</v>
      </c>
      <c r="I93">
        <v>45.51</v>
      </c>
      <c r="J93">
        <v>14</v>
      </c>
      <c r="K93" t="s">
        <v>16</v>
      </c>
    </row>
    <row r="94" spans="1:11" x14ac:dyDescent="0.25">
      <c r="A94">
        <v>1500</v>
      </c>
      <c r="B94">
        <v>28.64</v>
      </c>
      <c r="C94" t="s">
        <v>22</v>
      </c>
      <c r="D94" t="s">
        <v>17</v>
      </c>
      <c r="E94">
        <v>2500</v>
      </c>
      <c r="F94">
        <v>-24.8</v>
      </c>
      <c r="G94">
        <v>2.35</v>
      </c>
      <c r="H94">
        <v>2.39</v>
      </c>
      <c r="I94">
        <v>8.34</v>
      </c>
      <c r="J94">
        <v>10</v>
      </c>
      <c r="K94" t="s">
        <v>13</v>
      </c>
    </row>
    <row r="95" spans="1:11" x14ac:dyDescent="0.25">
      <c r="A95">
        <v>800</v>
      </c>
      <c r="B95">
        <v>19.010000000000002</v>
      </c>
      <c r="C95" t="s">
        <v>14</v>
      </c>
      <c r="D95" t="s">
        <v>20</v>
      </c>
      <c r="E95">
        <v>1500</v>
      </c>
      <c r="F95">
        <v>41.1</v>
      </c>
      <c r="G95">
        <v>8.52</v>
      </c>
      <c r="H95">
        <v>5.25</v>
      </c>
      <c r="I95">
        <v>27.62</v>
      </c>
      <c r="J95">
        <v>17</v>
      </c>
      <c r="K95" t="s">
        <v>16</v>
      </c>
    </row>
    <row r="96" spans="1:11" x14ac:dyDescent="0.25">
      <c r="A96">
        <v>150</v>
      </c>
      <c r="B96">
        <v>5.34</v>
      </c>
      <c r="C96" t="s">
        <v>19</v>
      </c>
      <c r="D96" t="s">
        <v>20</v>
      </c>
      <c r="E96">
        <v>300</v>
      </c>
      <c r="F96">
        <v>7.6</v>
      </c>
      <c r="G96">
        <v>8.19</v>
      </c>
      <c r="H96">
        <v>6.94</v>
      </c>
      <c r="I96">
        <v>129.96</v>
      </c>
      <c r="J96">
        <v>25</v>
      </c>
      <c r="K96" t="s">
        <v>16</v>
      </c>
    </row>
    <row r="97" spans="1:11" x14ac:dyDescent="0.25">
      <c r="A97">
        <v>600</v>
      </c>
      <c r="B97">
        <v>23.37</v>
      </c>
      <c r="C97" t="s">
        <v>22</v>
      </c>
      <c r="D97" t="s">
        <v>12</v>
      </c>
      <c r="E97">
        <v>900</v>
      </c>
      <c r="F97">
        <v>68.5</v>
      </c>
      <c r="G97">
        <v>2.5299999999999998</v>
      </c>
      <c r="H97">
        <v>8.4499999999999993</v>
      </c>
      <c r="I97">
        <v>36.159999999999997</v>
      </c>
      <c r="J97">
        <v>22</v>
      </c>
      <c r="K97" t="s">
        <v>16</v>
      </c>
    </row>
    <row r="98" spans="1:11" x14ac:dyDescent="0.25">
      <c r="A98">
        <v>600</v>
      </c>
      <c r="B98">
        <v>14.07</v>
      </c>
      <c r="C98" t="s">
        <v>11</v>
      </c>
      <c r="D98" t="s">
        <v>18</v>
      </c>
      <c r="E98">
        <v>600</v>
      </c>
      <c r="F98">
        <v>3.7</v>
      </c>
      <c r="G98">
        <v>5.98</v>
      </c>
      <c r="H98">
        <v>6</v>
      </c>
      <c r="I98">
        <v>42.64</v>
      </c>
      <c r="J98">
        <v>2</v>
      </c>
      <c r="K98" t="s">
        <v>16</v>
      </c>
    </row>
    <row r="99" spans="1:11" x14ac:dyDescent="0.25">
      <c r="A99">
        <v>200</v>
      </c>
      <c r="B99">
        <v>10.46</v>
      </c>
      <c r="C99" t="s">
        <v>11</v>
      </c>
      <c r="D99" t="s">
        <v>20</v>
      </c>
      <c r="E99">
        <v>1500</v>
      </c>
      <c r="F99">
        <v>5</v>
      </c>
      <c r="G99">
        <v>7.88</v>
      </c>
      <c r="H99">
        <v>6.02</v>
      </c>
      <c r="I99">
        <v>57.55</v>
      </c>
      <c r="J99">
        <v>3</v>
      </c>
      <c r="K99" t="s">
        <v>16</v>
      </c>
    </row>
    <row r="100" spans="1:11" x14ac:dyDescent="0.25">
      <c r="A100">
        <v>50</v>
      </c>
      <c r="B100">
        <v>4.7699999999999996</v>
      </c>
      <c r="C100" t="s">
        <v>11</v>
      </c>
      <c r="D100" t="s">
        <v>12</v>
      </c>
      <c r="E100">
        <v>1500</v>
      </c>
      <c r="F100">
        <v>65.900000000000006</v>
      </c>
      <c r="G100">
        <v>6.41</v>
      </c>
      <c r="H100">
        <v>8.5</v>
      </c>
      <c r="I100">
        <v>178.2</v>
      </c>
      <c r="J100">
        <v>21</v>
      </c>
      <c r="K100" t="s">
        <v>16</v>
      </c>
    </row>
    <row r="101" spans="1:11" x14ac:dyDescent="0.25">
      <c r="A101">
        <v>1500</v>
      </c>
      <c r="B101">
        <v>32.08</v>
      </c>
      <c r="C101" t="s">
        <v>14</v>
      </c>
      <c r="D101" t="s">
        <v>15</v>
      </c>
      <c r="E101">
        <v>2500</v>
      </c>
      <c r="F101">
        <v>39.5</v>
      </c>
      <c r="G101">
        <v>9.5399999999999991</v>
      </c>
      <c r="H101">
        <v>9.73</v>
      </c>
      <c r="I101">
        <v>30.33</v>
      </c>
      <c r="J101">
        <v>13</v>
      </c>
      <c r="K101" t="s">
        <v>16</v>
      </c>
    </row>
    <row r="102" spans="1:11" x14ac:dyDescent="0.25">
      <c r="A102">
        <v>1000</v>
      </c>
      <c r="B102">
        <v>26.09</v>
      </c>
      <c r="C102" t="s">
        <v>19</v>
      </c>
      <c r="D102" t="s">
        <v>18</v>
      </c>
      <c r="E102">
        <v>2500</v>
      </c>
      <c r="F102">
        <v>59.5</v>
      </c>
      <c r="G102">
        <v>14.82</v>
      </c>
      <c r="H102">
        <v>2.64</v>
      </c>
      <c r="I102">
        <v>10.119999999999999</v>
      </c>
      <c r="J102">
        <v>23</v>
      </c>
      <c r="K102" t="s">
        <v>13</v>
      </c>
    </row>
    <row r="103" spans="1:11" x14ac:dyDescent="0.25">
      <c r="A103">
        <v>200</v>
      </c>
      <c r="B103">
        <v>8.99</v>
      </c>
      <c r="C103" t="s">
        <v>14</v>
      </c>
      <c r="D103" t="s">
        <v>17</v>
      </c>
      <c r="E103">
        <v>300</v>
      </c>
      <c r="F103">
        <v>37.700000000000003</v>
      </c>
      <c r="G103">
        <v>19.399999999999999</v>
      </c>
      <c r="H103">
        <v>8.4700000000000006</v>
      </c>
      <c r="I103">
        <v>94.22</v>
      </c>
      <c r="J103">
        <v>11</v>
      </c>
      <c r="K103" t="s">
        <v>16</v>
      </c>
    </row>
    <row r="104" spans="1:11" x14ac:dyDescent="0.25">
      <c r="A104">
        <v>200</v>
      </c>
      <c r="B104">
        <v>10.29</v>
      </c>
      <c r="C104" t="s">
        <v>22</v>
      </c>
      <c r="D104" t="s">
        <v>18</v>
      </c>
      <c r="E104">
        <v>300</v>
      </c>
      <c r="F104">
        <v>127.4</v>
      </c>
      <c r="G104">
        <v>14.07</v>
      </c>
      <c r="H104">
        <v>2.59</v>
      </c>
      <c r="I104">
        <v>25.17</v>
      </c>
      <c r="J104">
        <v>12</v>
      </c>
      <c r="K104" t="s">
        <v>13</v>
      </c>
    </row>
    <row r="105" spans="1:11" x14ac:dyDescent="0.25">
      <c r="A105">
        <v>1200</v>
      </c>
      <c r="B105">
        <v>31.05</v>
      </c>
      <c r="C105" t="s">
        <v>11</v>
      </c>
      <c r="D105" t="s">
        <v>15</v>
      </c>
      <c r="E105">
        <v>1500</v>
      </c>
      <c r="F105">
        <v>32.9</v>
      </c>
      <c r="G105">
        <v>8.93</v>
      </c>
      <c r="H105">
        <v>1.23</v>
      </c>
      <c r="I105">
        <v>3.96</v>
      </c>
      <c r="J105">
        <v>1</v>
      </c>
      <c r="K105" t="s">
        <v>23</v>
      </c>
    </row>
    <row r="106" spans="1:11" x14ac:dyDescent="0.25">
      <c r="A106">
        <v>500</v>
      </c>
      <c r="B106">
        <v>18.100000000000001</v>
      </c>
      <c r="C106" t="s">
        <v>19</v>
      </c>
      <c r="D106" t="s">
        <v>17</v>
      </c>
      <c r="E106">
        <v>2500</v>
      </c>
      <c r="F106">
        <v>103.7</v>
      </c>
      <c r="G106">
        <v>17.809999999999999</v>
      </c>
      <c r="H106">
        <v>1.45</v>
      </c>
      <c r="I106">
        <v>8.01</v>
      </c>
      <c r="J106">
        <v>13</v>
      </c>
      <c r="K106" t="s">
        <v>23</v>
      </c>
    </row>
    <row r="107" spans="1:11" x14ac:dyDescent="0.25">
      <c r="A107">
        <v>50</v>
      </c>
      <c r="B107">
        <v>4.7699999999999996</v>
      </c>
      <c r="C107" t="s">
        <v>19</v>
      </c>
      <c r="D107" t="s">
        <v>12</v>
      </c>
      <c r="E107">
        <v>150</v>
      </c>
      <c r="F107">
        <v>13.4</v>
      </c>
      <c r="G107">
        <v>0.28000000000000003</v>
      </c>
      <c r="H107">
        <v>7.41</v>
      </c>
      <c r="I107">
        <v>155.35</v>
      </c>
      <c r="J107">
        <v>7</v>
      </c>
      <c r="K107" t="s">
        <v>16</v>
      </c>
    </row>
    <row r="108" spans="1:11" x14ac:dyDescent="0.25">
      <c r="A108">
        <v>1500</v>
      </c>
      <c r="B108">
        <v>42.64</v>
      </c>
      <c r="C108" t="s">
        <v>21</v>
      </c>
      <c r="D108" t="s">
        <v>12</v>
      </c>
      <c r="E108">
        <v>300</v>
      </c>
      <c r="F108">
        <v>106.8</v>
      </c>
      <c r="G108">
        <v>12.28</v>
      </c>
      <c r="H108">
        <v>7.63</v>
      </c>
      <c r="I108">
        <v>17.89</v>
      </c>
      <c r="J108">
        <v>16</v>
      </c>
      <c r="K108" t="s">
        <v>16</v>
      </c>
    </row>
    <row r="109" spans="1:11" x14ac:dyDescent="0.25">
      <c r="A109">
        <v>600</v>
      </c>
      <c r="B109">
        <v>10.33</v>
      </c>
      <c r="C109" t="s">
        <v>22</v>
      </c>
      <c r="D109" t="s">
        <v>15</v>
      </c>
      <c r="E109">
        <v>600</v>
      </c>
      <c r="F109">
        <v>74.5</v>
      </c>
      <c r="G109">
        <v>7.45</v>
      </c>
      <c r="H109">
        <v>2.37</v>
      </c>
      <c r="I109">
        <v>22.94</v>
      </c>
      <c r="J109">
        <v>6</v>
      </c>
      <c r="K109" t="s">
        <v>13</v>
      </c>
    </row>
    <row r="110" spans="1:11" x14ac:dyDescent="0.25">
      <c r="A110">
        <v>300</v>
      </c>
      <c r="B110">
        <v>14.32</v>
      </c>
      <c r="C110" t="s">
        <v>11</v>
      </c>
      <c r="D110" t="s">
        <v>17</v>
      </c>
      <c r="E110">
        <v>600</v>
      </c>
      <c r="F110">
        <v>25</v>
      </c>
      <c r="G110">
        <v>18.29</v>
      </c>
      <c r="H110">
        <v>8.1999999999999993</v>
      </c>
      <c r="I110">
        <v>57.26</v>
      </c>
      <c r="J110">
        <v>5</v>
      </c>
      <c r="K110" t="s">
        <v>16</v>
      </c>
    </row>
    <row r="111" spans="1:11" x14ac:dyDescent="0.25">
      <c r="A111">
        <v>800</v>
      </c>
      <c r="B111">
        <v>30.66</v>
      </c>
      <c r="C111" t="s">
        <v>19</v>
      </c>
      <c r="D111" t="s">
        <v>17</v>
      </c>
      <c r="E111">
        <v>600</v>
      </c>
      <c r="F111">
        <v>105.4</v>
      </c>
      <c r="G111">
        <v>12.33</v>
      </c>
      <c r="H111">
        <v>1.45</v>
      </c>
      <c r="I111">
        <v>4.7300000000000004</v>
      </c>
      <c r="J111">
        <v>10</v>
      </c>
      <c r="K111" t="s">
        <v>23</v>
      </c>
    </row>
    <row r="112" spans="1:11" x14ac:dyDescent="0.25">
      <c r="A112">
        <v>150</v>
      </c>
      <c r="B112">
        <v>6.98</v>
      </c>
      <c r="C112" t="s">
        <v>11</v>
      </c>
      <c r="D112" t="s">
        <v>17</v>
      </c>
      <c r="E112">
        <v>300</v>
      </c>
      <c r="F112">
        <v>51.1</v>
      </c>
      <c r="G112">
        <v>15.43</v>
      </c>
      <c r="H112">
        <v>4.03</v>
      </c>
      <c r="I112">
        <v>57.74</v>
      </c>
      <c r="J112">
        <v>8</v>
      </c>
      <c r="K112" t="s">
        <v>13</v>
      </c>
    </row>
    <row r="113" spans="1:11" x14ac:dyDescent="0.25">
      <c r="A113">
        <v>600</v>
      </c>
      <c r="B113">
        <v>12.2</v>
      </c>
      <c r="C113" t="s">
        <v>14</v>
      </c>
      <c r="D113" t="s">
        <v>15</v>
      </c>
      <c r="E113">
        <v>300</v>
      </c>
      <c r="F113">
        <v>-11.6</v>
      </c>
      <c r="G113">
        <v>15.77</v>
      </c>
      <c r="H113">
        <v>2.1800000000000002</v>
      </c>
      <c r="I113">
        <v>17.87</v>
      </c>
      <c r="J113">
        <v>19</v>
      </c>
      <c r="K113" t="s">
        <v>13</v>
      </c>
    </row>
    <row r="114" spans="1:11" x14ac:dyDescent="0.25">
      <c r="A114">
        <v>500</v>
      </c>
      <c r="B114">
        <v>23.91</v>
      </c>
      <c r="C114" t="s">
        <v>21</v>
      </c>
      <c r="D114" t="s">
        <v>12</v>
      </c>
      <c r="E114">
        <v>300</v>
      </c>
      <c r="F114">
        <v>76.2</v>
      </c>
      <c r="G114">
        <v>12.37</v>
      </c>
      <c r="H114">
        <v>5.67</v>
      </c>
      <c r="I114">
        <v>23.71</v>
      </c>
      <c r="J114">
        <v>12</v>
      </c>
      <c r="K114" t="s">
        <v>16</v>
      </c>
    </row>
    <row r="115" spans="1:11" x14ac:dyDescent="0.25">
      <c r="A115">
        <v>1200</v>
      </c>
      <c r="B115">
        <v>32.57</v>
      </c>
      <c r="C115" t="s">
        <v>14</v>
      </c>
      <c r="D115" t="s">
        <v>18</v>
      </c>
      <c r="E115">
        <v>300</v>
      </c>
      <c r="F115">
        <v>96.5</v>
      </c>
      <c r="G115">
        <v>12.31</v>
      </c>
      <c r="H115">
        <v>6.7</v>
      </c>
      <c r="I115">
        <v>20.57</v>
      </c>
      <c r="J115">
        <v>19</v>
      </c>
      <c r="K115" t="s">
        <v>16</v>
      </c>
    </row>
    <row r="116" spans="1:11" x14ac:dyDescent="0.25">
      <c r="A116">
        <v>1000</v>
      </c>
      <c r="B116">
        <v>24.79</v>
      </c>
      <c r="C116" t="s">
        <v>14</v>
      </c>
      <c r="D116" t="s">
        <v>18</v>
      </c>
      <c r="E116">
        <v>600</v>
      </c>
      <c r="F116">
        <v>14.4</v>
      </c>
      <c r="G116">
        <v>0.88</v>
      </c>
      <c r="H116">
        <v>6.86</v>
      </c>
      <c r="I116">
        <v>27.67</v>
      </c>
      <c r="J116">
        <v>2</v>
      </c>
      <c r="K116" t="s">
        <v>16</v>
      </c>
    </row>
    <row r="117" spans="1:11" x14ac:dyDescent="0.25">
      <c r="A117">
        <v>250</v>
      </c>
      <c r="B117">
        <v>10.210000000000001</v>
      </c>
      <c r="C117" t="s">
        <v>22</v>
      </c>
      <c r="D117" t="s">
        <v>12</v>
      </c>
      <c r="E117">
        <v>600</v>
      </c>
      <c r="F117">
        <v>32.1</v>
      </c>
      <c r="G117">
        <v>6.22</v>
      </c>
      <c r="H117">
        <v>4.53</v>
      </c>
      <c r="I117">
        <v>44.37</v>
      </c>
      <c r="J117">
        <v>21</v>
      </c>
      <c r="K117" t="s">
        <v>13</v>
      </c>
    </row>
    <row r="118" spans="1:11" x14ac:dyDescent="0.25">
      <c r="A118">
        <v>800</v>
      </c>
      <c r="B118">
        <v>14.17</v>
      </c>
      <c r="C118" t="s">
        <v>21</v>
      </c>
      <c r="D118" t="s">
        <v>20</v>
      </c>
      <c r="E118">
        <v>150</v>
      </c>
      <c r="F118">
        <v>36</v>
      </c>
      <c r="G118">
        <v>4.8600000000000003</v>
      </c>
      <c r="H118">
        <v>3.33</v>
      </c>
      <c r="I118">
        <v>23.5</v>
      </c>
      <c r="J118">
        <v>7</v>
      </c>
      <c r="K118" t="s">
        <v>13</v>
      </c>
    </row>
    <row r="119" spans="1:11" x14ac:dyDescent="0.25">
      <c r="A119">
        <v>800</v>
      </c>
      <c r="B119">
        <v>21.79</v>
      </c>
      <c r="C119" t="s">
        <v>14</v>
      </c>
      <c r="D119" t="s">
        <v>17</v>
      </c>
      <c r="E119">
        <v>2500</v>
      </c>
      <c r="F119">
        <v>44.2</v>
      </c>
      <c r="G119">
        <v>14.79</v>
      </c>
      <c r="H119">
        <v>7.24</v>
      </c>
      <c r="I119">
        <v>33.229999999999997</v>
      </c>
      <c r="J119">
        <v>5</v>
      </c>
      <c r="K119" t="s">
        <v>16</v>
      </c>
    </row>
    <row r="120" spans="1:11" x14ac:dyDescent="0.25">
      <c r="A120">
        <v>100</v>
      </c>
      <c r="B120">
        <v>7.29</v>
      </c>
      <c r="C120" t="s">
        <v>22</v>
      </c>
      <c r="D120" t="s">
        <v>17</v>
      </c>
      <c r="E120">
        <v>150</v>
      </c>
      <c r="F120">
        <v>-15.8</v>
      </c>
      <c r="G120">
        <v>3.59</v>
      </c>
      <c r="H120">
        <v>7.32</v>
      </c>
      <c r="I120">
        <v>100.41</v>
      </c>
      <c r="J120">
        <v>7</v>
      </c>
      <c r="K120" t="s">
        <v>16</v>
      </c>
    </row>
    <row r="121" spans="1:11" x14ac:dyDescent="0.25">
      <c r="A121">
        <v>150</v>
      </c>
      <c r="B121">
        <v>9.0299999999999994</v>
      </c>
      <c r="C121" t="s">
        <v>14</v>
      </c>
      <c r="D121" t="s">
        <v>17</v>
      </c>
      <c r="E121">
        <v>300</v>
      </c>
      <c r="F121">
        <v>19.7</v>
      </c>
      <c r="G121">
        <v>9.65</v>
      </c>
      <c r="H121">
        <v>6.02</v>
      </c>
      <c r="I121">
        <v>66.67</v>
      </c>
      <c r="J121">
        <v>14</v>
      </c>
      <c r="K121" t="s">
        <v>16</v>
      </c>
    </row>
    <row r="122" spans="1:11" x14ac:dyDescent="0.25">
      <c r="A122">
        <v>200</v>
      </c>
      <c r="B122">
        <v>9.41</v>
      </c>
      <c r="C122" t="s">
        <v>19</v>
      </c>
      <c r="D122" t="s">
        <v>15</v>
      </c>
      <c r="E122">
        <v>150</v>
      </c>
      <c r="F122">
        <v>5.3</v>
      </c>
      <c r="G122">
        <v>12.74</v>
      </c>
      <c r="H122">
        <v>6.06</v>
      </c>
      <c r="I122">
        <v>64.400000000000006</v>
      </c>
      <c r="J122">
        <v>24</v>
      </c>
      <c r="K122" t="s">
        <v>16</v>
      </c>
    </row>
    <row r="123" spans="1:11" x14ac:dyDescent="0.25">
      <c r="A123">
        <v>150</v>
      </c>
      <c r="B123">
        <v>9.16</v>
      </c>
      <c r="C123" t="s">
        <v>11</v>
      </c>
      <c r="D123" t="s">
        <v>17</v>
      </c>
      <c r="E123">
        <v>600</v>
      </c>
      <c r="F123">
        <v>7.9</v>
      </c>
      <c r="G123">
        <v>16.16</v>
      </c>
      <c r="H123">
        <v>2.61</v>
      </c>
      <c r="I123">
        <v>28.49</v>
      </c>
      <c r="J123">
        <v>10</v>
      </c>
      <c r="K123" t="s">
        <v>13</v>
      </c>
    </row>
    <row r="124" spans="1:11" x14ac:dyDescent="0.25">
      <c r="A124">
        <v>250</v>
      </c>
      <c r="B124">
        <v>6.69</v>
      </c>
      <c r="C124" t="s">
        <v>21</v>
      </c>
      <c r="D124" t="s">
        <v>12</v>
      </c>
      <c r="E124">
        <v>1500</v>
      </c>
      <c r="F124">
        <v>-32.5</v>
      </c>
      <c r="G124">
        <v>5.99</v>
      </c>
      <c r="H124">
        <v>9.0299999999999994</v>
      </c>
      <c r="I124">
        <v>134.97999999999999</v>
      </c>
      <c r="J124">
        <v>12</v>
      </c>
      <c r="K124" t="s">
        <v>16</v>
      </c>
    </row>
    <row r="125" spans="1:11" x14ac:dyDescent="0.25">
      <c r="A125">
        <v>150</v>
      </c>
      <c r="B125">
        <v>5.88</v>
      </c>
      <c r="C125" t="s">
        <v>14</v>
      </c>
      <c r="D125" t="s">
        <v>17</v>
      </c>
      <c r="E125">
        <v>150</v>
      </c>
      <c r="F125">
        <v>14</v>
      </c>
      <c r="G125">
        <v>4.28</v>
      </c>
      <c r="H125">
        <v>6.13</v>
      </c>
      <c r="I125">
        <v>104.25</v>
      </c>
      <c r="J125">
        <v>13</v>
      </c>
      <c r="K125" t="s">
        <v>16</v>
      </c>
    </row>
    <row r="126" spans="1:11" x14ac:dyDescent="0.25">
      <c r="A126">
        <v>1000</v>
      </c>
      <c r="B126">
        <v>22.09</v>
      </c>
      <c r="C126" t="s">
        <v>11</v>
      </c>
      <c r="D126" t="s">
        <v>18</v>
      </c>
      <c r="E126">
        <v>600</v>
      </c>
      <c r="F126">
        <v>13.1</v>
      </c>
      <c r="G126">
        <v>19.73</v>
      </c>
      <c r="H126">
        <v>9.2799999999999994</v>
      </c>
      <c r="I126">
        <v>42.01</v>
      </c>
      <c r="J126">
        <v>3</v>
      </c>
      <c r="K126" t="s">
        <v>16</v>
      </c>
    </row>
    <row r="127" spans="1:11" x14ac:dyDescent="0.25">
      <c r="A127">
        <v>1200</v>
      </c>
      <c r="B127">
        <v>25.68</v>
      </c>
      <c r="C127" t="s">
        <v>19</v>
      </c>
      <c r="D127" t="s">
        <v>12</v>
      </c>
      <c r="E127">
        <v>600</v>
      </c>
      <c r="F127">
        <v>46.6</v>
      </c>
      <c r="G127">
        <v>17.66</v>
      </c>
      <c r="H127">
        <v>6.07</v>
      </c>
      <c r="I127">
        <v>23.64</v>
      </c>
      <c r="J127">
        <v>13</v>
      </c>
      <c r="K127" t="s">
        <v>16</v>
      </c>
    </row>
    <row r="128" spans="1:11" x14ac:dyDescent="0.25">
      <c r="A128">
        <v>50</v>
      </c>
      <c r="B128">
        <v>4.8</v>
      </c>
      <c r="C128" t="s">
        <v>11</v>
      </c>
      <c r="D128" t="s">
        <v>15</v>
      </c>
      <c r="E128">
        <v>1500</v>
      </c>
      <c r="F128">
        <v>125.6</v>
      </c>
      <c r="G128">
        <v>18.25</v>
      </c>
      <c r="H128">
        <v>0.92</v>
      </c>
      <c r="I128">
        <v>19.170000000000002</v>
      </c>
      <c r="J128">
        <v>18</v>
      </c>
      <c r="K128" t="s">
        <v>23</v>
      </c>
    </row>
    <row r="129" spans="1:11" x14ac:dyDescent="0.25">
      <c r="A129">
        <v>500</v>
      </c>
      <c r="B129">
        <v>9.8000000000000007</v>
      </c>
      <c r="C129" t="s">
        <v>14</v>
      </c>
      <c r="D129" t="s">
        <v>20</v>
      </c>
      <c r="E129">
        <v>2500</v>
      </c>
      <c r="F129">
        <v>26.2</v>
      </c>
      <c r="G129">
        <v>10.34</v>
      </c>
      <c r="H129">
        <v>3.2</v>
      </c>
      <c r="I129">
        <v>32.65</v>
      </c>
      <c r="J129">
        <v>14</v>
      </c>
      <c r="K129" t="s">
        <v>13</v>
      </c>
    </row>
    <row r="130" spans="1:11" x14ac:dyDescent="0.25">
      <c r="A130">
        <v>100</v>
      </c>
      <c r="B130">
        <v>7.07</v>
      </c>
      <c r="C130" t="s">
        <v>22</v>
      </c>
      <c r="D130" t="s">
        <v>20</v>
      </c>
      <c r="E130">
        <v>150</v>
      </c>
      <c r="F130">
        <v>12.5</v>
      </c>
      <c r="G130">
        <v>3.04</v>
      </c>
      <c r="H130">
        <v>5.78</v>
      </c>
      <c r="I130">
        <v>81.75</v>
      </c>
      <c r="J130">
        <v>21</v>
      </c>
      <c r="K130" t="s">
        <v>16</v>
      </c>
    </row>
    <row r="131" spans="1:11" x14ac:dyDescent="0.25">
      <c r="A131">
        <v>400</v>
      </c>
      <c r="B131">
        <v>17.39</v>
      </c>
      <c r="C131" t="s">
        <v>21</v>
      </c>
      <c r="D131" t="s">
        <v>20</v>
      </c>
      <c r="E131">
        <v>150</v>
      </c>
      <c r="F131">
        <v>-12.8</v>
      </c>
      <c r="G131">
        <v>12.59</v>
      </c>
      <c r="H131">
        <v>7.23</v>
      </c>
      <c r="I131">
        <v>41.58</v>
      </c>
      <c r="J131">
        <v>2</v>
      </c>
      <c r="K131" t="s">
        <v>16</v>
      </c>
    </row>
    <row r="132" spans="1:11" x14ac:dyDescent="0.25">
      <c r="A132">
        <v>150</v>
      </c>
      <c r="B132">
        <v>7.94</v>
      </c>
      <c r="C132" t="s">
        <v>11</v>
      </c>
      <c r="D132" t="s">
        <v>18</v>
      </c>
      <c r="E132">
        <v>2500</v>
      </c>
      <c r="F132">
        <v>57.2</v>
      </c>
      <c r="G132">
        <v>10.79</v>
      </c>
      <c r="H132">
        <v>4.92</v>
      </c>
      <c r="I132">
        <v>61.96</v>
      </c>
      <c r="J132">
        <v>15</v>
      </c>
      <c r="K132" t="s">
        <v>13</v>
      </c>
    </row>
    <row r="133" spans="1:11" x14ac:dyDescent="0.25">
      <c r="A133">
        <v>250</v>
      </c>
      <c r="B133">
        <v>7.29</v>
      </c>
      <c r="C133" t="s">
        <v>21</v>
      </c>
      <c r="D133" t="s">
        <v>17</v>
      </c>
      <c r="E133">
        <v>1500</v>
      </c>
      <c r="F133">
        <v>140.1</v>
      </c>
      <c r="G133">
        <v>16.13</v>
      </c>
      <c r="H133">
        <v>5.7</v>
      </c>
      <c r="I133">
        <v>78.19</v>
      </c>
      <c r="J133">
        <v>16</v>
      </c>
      <c r="K133" t="s">
        <v>16</v>
      </c>
    </row>
    <row r="134" spans="1:11" x14ac:dyDescent="0.25">
      <c r="A134">
        <v>1000</v>
      </c>
      <c r="B134">
        <v>29.55</v>
      </c>
      <c r="C134" t="s">
        <v>21</v>
      </c>
      <c r="D134" t="s">
        <v>12</v>
      </c>
      <c r="E134">
        <v>1500</v>
      </c>
      <c r="F134">
        <v>82.5</v>
      </c>
      <c r="G134">
        <v>1.26</v>
      </c>
      <c r="H134">
        <v>0.24</v>
      </c>
      <c r="I134">
        <v>0.81</v>
      </c>
      <c r="J134">
        <v>25</v>
      </c>
      <c r="K134" t="s">
        <v>23</v>
      </c>
    </row>
    <row r="135" spans="1:11" x14ac:dyDescent="0.25">
      <c r="A135">
        <v>1200</v>
      </c>
      <c r="B135">
        <v>35.76</v>
      </c>
      <c r="C135" t="s">
        <v>14</v>
      </c>
      <c r="D135" t="s">
        <v>20</v>
      </c>
      <c r="E135">
        <v>2500</v>
      </c>
      <c r="F135">
        <v>-15.3</v>
      </c>
      <c r="G135">
        <v>10.6</v>
      </c>
      <c r="H135">
        <v>2.4500000000000002</v>
      </c>
      <c r="I135">
        <v>6.85</v>
      </c>
      <c r="J135">
        <v>5</v>
      </c>
      <c r="K135" t="s">
        <v>13</v>
      </c>
    </row>
    <row r="136" spans="1:11" x14ac:dyDescent="0.25">
      <c r="A136">
        <v>600</v>
      </c>
      <c r="B136">
        <v>26.97</v>
      </c>
      <c r="C136" t="s">
        <v>11</v>
      </c>
      <c r="D136" t="s">
        <v>12</v>
      </c>
      <c r="E136">
        <v>1500</v>
      </c>
      <c r="F136">
        <v>82</v>
      </c>
      <c r="G136">
        <v>16.29</v>
      </c>
      <c r="H136">
        <v>1.53</v>
      </c>
      <c r="I136">
        <v>5.67</v>
      </c>
      <c r="J136">
        <v>22</v>
      </c>
      <c r="K136" t="s">
        <v>23</v>
      </c>
    </row>
    <row r="137" spans="1:11" x14ac:dyDescent="0.25">
      <c r="A137">
        <v>400</v>
      </c>
      <c r="B137">
        <v>10.27</v>
      </c>
      <c r="C137" t="s">
        <v>14</v>
      </c>
      <c r="D137" t="s">
        <v>20</v>
      </c>
      <c r="E137">
        <v>300</v>
      </c>
      <c r="F137">
        <v>40.1</v>
      </c>
      <c r="G137">
        <v>8.69</v>
      </c>
      <c r="H137">
        <v>6.45</v>
      </c>
      <c r="I137">
        <v>62.8</v>
      </c>
      <c r="J137">
        <v>16</v>
      </c>
      <c r="K137" t="s">
        <v>16</v>
      </c>
    </row>
    <row r="138" spans="1:11" x14ac:dyDescent="0.25">
      <c r="A138">
        <v>200</v>
      </c>
      <c r="B138">
        <v>7.56</v>
      </c>
      <c r="C138" t="s">
        <v>22</v>
      </c>
      <c r="D138" t="s">
        <v>17</v>
      </c>
      <c r="E138">
        <v>2500</v>
      </c>
      <c r="F138">
        <v>79.8</v>
      </c>
      <c r="G138">
        <v>0</v>
      </c>
      <c r="H138">
        <v>5.88</v>
      </c>
      <c r="I138">
        <v>77.78</v>
      </c>
      <c r="J138">
        <v>9</v>
      </c>
      <c r="K138" t="s">
        <v>16</v>
      </c>
    </row>
    <row r="139" spans="1:11" x14ac:dyDescent="0.25">
      <c r="A139">
        <v>150</v>
      </c>
      <c r="B139">
        <v>9.25</v>
      </c>
      <c r="C139" t="s">
        <v>21</v>
      </c>
      <c r="D139" t="s">
        <v>20</v>
      </c>
      <c r="E139">
        <v>2500</v>
      </c>
      <c r="F139">
        <v>22.3</v>
      </c>
      <c r="G139">
        <v>2.35</v>
      </c>
      <c r="H139">
        <v>6.26</v>
      </c>
      <c r="I139">
        <v>67.680000000000007</v>
      </c>
      <c r="J139">
        <v>18</v>
      </c>
      <c r="K139" t="s">
        <v>16</v>
      </c>
    </row>
    <row r="140" spans="1:11" x14ac:dyDescent="0.25">
      <c r="A140">
        <v>800</v>
      </c>
      <c r="B140">
        <v>17.64</v>
      </c>
      <c r="C140" t="s">
        <v>21</v>
      </c>
      <c r="D140" t="s">
        <v>12</v>
      </c>
      <c r="E140">
        <v>300</v>
      </c>
      <c r="F140">
        <v>13.5</v>
      </c>
      <c r="G140">
        <v>14.19</v>
      </c>
      <c r="H140">
        <v>6.31</v>
      </c>
      <c r="I140">
        <v>35.770000000000003</v>
      </c>
      <c r="J140">
        <v>9</v>
      </c>
      <c r="K140" t="s">
        <v>16</v>
      </c>
    </row>
    <row r="141" spans="1:11" x14ac:dyDescent="0.25">
      <c r="A141">
        <v>50</v>
      </c>
      <c r="B141">
        <v>5.21</v>
      </c>
      <c r="C141" t="s">
        <v>22</v>
      </c>
      <c r="D141" t="s">
        <v>20</v>
      </c>
      <c r="E141">
        <v>150</v>
      </c>
      <c r="F141">
        <v>74</v>
      </c>
      <c r="G141">
        <v>0.87</v>
      </c>
      <c r="H141">
        <v>5.35</v>
      </c>
      <c r="I141">
        <v>102.69</v>
      </c>
      <c r="J141">
        <v>5</v>
      </c>
      <c r="K141" t="s">
        <v>16</v>
      </c>
    </row>
    <row r="142" spans="1:11" x14ac:dyDescent="0.25">
      <c r="A142">
        <v>800</v>
      </c>
      <c r="B142">
        <v>28.66</v>
      </c>
      <c r="C142" t="s">
        <v>21</v>
      </c>
      <c r="D142" t="s">
        <v>20</v>
      </c>
      <c r="E142">
        <v>1500</v>
      </c>
      <c r="F142">
        <v>149.69999999999999</v>
      </c>
      <c r="G142">
        <v>8.48</v>
      </c>
      <c r="H142">
        <v>7.29</v>
      </c>
      <c r="I142">
        <v>25.44</v>
      </c>
      <c r="J142">
        <v>19</v>
      </c>
      <c r="K142" t="s">
        <v>16</v>
      </c>
    </row>
    <row r="143" spans="1:11" x14ac:dyDescent="0.25">
      <c r="A143">
        <v>300</v>
      </c>
      <c r="B143">
        <v>10.01</v>
      </c>
      <c r="C143" t="s">
        <v>19</v>
      </c>
      <c r="D143" t="s">
        <v>15</v>
      </c>
      <c r="E143">
        <v>1500</v>
      </c>
      <c r="F143">
        <v>-4.9000000000000004</v>
      </c>
      <c r="G143">
        <v>13.56</v>
      </c>
      <c r="H143">
        <v>2.37</v>
      </c>
      <c r="I143">
        <v>23.68</v>
      </c>
      <c r="J143">
        <v>19</v>
      </c>
      <c r="K143" t="s">
        <v>13</v>
      </c>
    </row>
    <row r="144" spans="1:11" x14ac:dyDescent="0.25">
      <c r="A144">
        <v>400</v>
      </c>
      <c r="B144">
        <v>16.52</v>
      </c>
      <c r="C144" t="s">
        <v>21</v>
      </c>
      <c r="D144" t="s">
        <v>17</v>
      </c>
      <c r="E144">
        <v>2500</v>
      </c>
      <c r="F144">
        <v>12.9</v>
      </c>
      <c r="G144">
        <v>16.78</v>
      </c>
      <c r="H144">
        <v>9.5399999999999991</v>
      </c>
      <c r="I144">
        <v>57.75</v>
      </c>
      <c r="J144">
        <v>12</v>
      </c>
      <c r="K144" t="s">
        <v>16</v>
      </c>
    </row>
    <row r="145" spans="1:11" x14ac:dyDescent="0.25">
      <c r="A145">
        <v>1500</v>
      </c>
      <c r="B145">
        <v>31.97</v>
      </c>
      <c r="C145" t="s">
        <v>11</v>
      </c>
      <c r="D145" t="s">
        <v>20</v>
      </c>
      <c r="E145">
        <v>600</v>
      </c>
      <c r="F145">
        <v>59.8</v>
      </c>
      <c r="G145">
        <v>5.15</v>
      </c>
      <c r="H145">
        <v>2.33</v>
      </c>
      <c r="I145">
        <v>7.29</v>
      </c>
      <c r="J145">
        <v>15</v>
      </c>
      <c r="K145" t="s">
        <v>13</v>
      </c>
    </row>
    <row r="146" spans="1:11" x14ac:dyDescent="0.25">
      <c r="A146">
        <v>1500</v>
      </c>
      <c r="B146">
        <v>34.61</v>
      </c>
      <c r="C146" t="s">
        <v>19</v>
      </c>
      <c r="D146" t="s">
        <v>17</v>
      </c>
      <c r="E146">
        <v>300</v>
      </c>
      <c r="F146">
        <v>61.6</v>
      </c>
      <c r="G146">
        <v>1.92</v>
      </c>
      <c r="H146">
        <v>6.26</v>
      </c>
      <c r="I146">
        <v>18.09</v>
      </c>
      <c r="J146">
        <v>19</v>
      </c>
      <c r="K146" t="s">
        <v>16</v>
      </c>
    </row>
    <row r="147" spans="1:11" x14ac:dyDescent="0.25">
      <c r="A147">
        <v>1200</v>
      </c>
      <c r="B147">
        <v>20.190000000000001</v>
      </c>
      <c r="C147" t="s">
        <v>19</v>
      </c>
      <c r="D147" t="s">
        <v>18</v>
      </c>
      <c r="E147">
        <v>150</v>
      </c>
      <c r="F147">
        <v>32.6</v>
      </c>
      <c r="G147">
        <v>15.86</v>
      </c>
      <c r="H147">
        <v>8.0500000000000007</v>
      </c>
      <c r="I147">
        <v>39.869999999999997</v>
      </c>
      <c r="J147">
        <v>24</v>
      </c>
      <c r="K147" t="s">
        <v>16</v>
      </c>
    </row>
    <row r="148" spans="1:11" x14ac:dyDescent="0.25">
      <c r="A148">
        <v>100</v>
      </c>
      <c r="B148">
        <v>7.71</v>
      </c>
      <c r="C148" t="s">
        <v>14</v>
      </c>
      <c r="D148" t="s">
        <v>20</v>
      </c>
      <c r="E148">
        <v>2500</v>
      </c>
      <c r="F148">
        <v>24</v>
      </c>
      <c r="G148">
        <v>16.28</v>
      </c>
      <c r="H148">
        <v>3.09</v>
      </c>
      <c r="I148">
        <v>40.08</v>
      </c>
      <c r="J148">
        <v>15</v>
      </c>
      <c r="K148" t="s">
        <v>13</v>
      </c>
    </row>
    <row r="149" spans="1:11" x14ac:dyDescent="0.25">
      <c r="A149">
        <v>400</v>
      </c>
      <c r="B149">
        <v>13.4</v>
      </c>
      <c r="C149" t="s">
        <v>11</v>
      </c>
      <c r="D149" t="s">
        <v>15</v>
      </c>
      <c r="E149">
        <v>2500</v>
      </c>
      <c r="F149">
        <v>-15.2</v>
      </c>
      <c r="G149">
        <v>18.13</v>
      </c>
      <c r="H149">
        <v>1.17</v>
      </c>
      <c r="I149">
        <v>8.73</v>
      </c>
      <c r="J149">
        <v>13</v>
      </c>
      <c r="K149" t="s">
        <v>23</v>
      </c>
    </row>
    <row r="150" spans="1:11" x14ac:dyDescent="0.25">
      <c r="A150">
        <v>1500</v>
      </c>
      <c r="B150">
        <v>40.94</v>
      </c>
      <c r="C150" t="s">
        <v>22</v>
      </c>
      <c r="D150" t="s">
        <v>20</v>
      </c>
      <c r="E150">
        <v>2500</v>
      </c>
      <c r="F150">
        <v>-14.8</v>
      </c>
      <c r="G150">
        <v>18.53</v>
      </c>
      <c r="H150">
        <v>2.56</v>
      </c>
      <c r="I150">
        <v>6.25</v>
      </c>
      <c r="J150">
        <v>19</v>
      </c>
      <c r="K150" t="s">
        <v>13</v>
      </c>
    </row>
    <row r="151" spans="1:11" x14ac:dyDescent="0.25">
      <c r="A151">
        <v>250</v>
      </c>
      <c r="B151">
        <v>7.48</v>
      </c>
      <c r="C151" t="s">
        <v>22</v>
      </c>
      <c r="D151" t="s">
        <v>15</v>
      </c>
      <c r="E151">
        <v>2500</v>
      </c>
      <c r="F151">
        <v>134.30000000000001</v>
      </c>
      <c r="G151">
        <v>6.05</v>
      </c>
      <c r="H151">
        <v>0.37</v>
      </c>
      <c r="I151">
        <v>4.95</v>
      </c>
      <c r="J151">
        <v>5</v>
      </c>
      <c r="K151" t="s">
        <v>23</v>
      </c>
    </row>
    <row r="152" spans="1:11" x14ac:dyDescent="0.25">
      <c r="A152">
        <v>200</v>
      </c>
      <c r="B152">
        <v>11.25</v>
      </c>
      <c r="C152" t="s">
        <v>11</v>
      </c>
      <c r="D152" t="s">
        <v>18</v>
      </c>
      <c r="E152">
        <v>600</v>
      </c>
      <c r="F152">
        <v>13.1</v>
      </c>
      <c r="G152">
        <v>2.48</v>
      </c>
      <c r="H152">
        <v>2.04</v>
      </c>
      <c r="I152">
        <v>18.13</v>
      </c>
      <c r="J152">
        <v>12</v>
      </c>
      <c r="K152" t="s">
        <v>13</v>
      </c>
    </row>
    <row r="153" spans="1:11" x14ac:dyDescent="0.25">
      <c r="A153">
        <v>150</v>
      </c>
      <c r="B153">
        <v>8.6</v>
      </c>
      <c r="C153" t="s">
        <v>19</v>
      </c>
      <c r="D153" t="s">
        <v>12</v>
      </c>
      <c r="E153">
        <v>600</v>
      </c>
      <c r="F153">
        <v>17.899999999999999</v>
      </c>
      <c r="G153">
        <v>8.6199999999999992</v>
      </c>
      <c r="H153">
        <v>6.66</v>
      </c>
      <c r="I153">
        <v>77.44</v>
      </c>
      <c r="J153">
        <v>25</v>
      </c>
      <c r="K153" t="s">
        <v>16</v>
      </c>
    </row>
    <row r="154" spans="1:11" x14ac:dyDescent="0.25">
      <c r="A154">
        <v>500</v>
      </c>
      <c r="B154">
        <v>14.61</v>
      </c>
      <c r="C154" t="s">
        <v>21</v>
      </c>
      <c r="D154" t="s">
        <v>18</v>
      </c>
      <c r="E154">
        <v>300</v>
      </c>
      <c r="F154">
        <v>6.6</v>
      </c>
      <c r="G154">
        <v>9.8699999999999992</v>
      </c>
      <c r="H154">
        <v>5.99</v>
      </c>
      <c r="I154">
        <v>41</v>
      </c>
      <c r="J154">
        <v>21</v>
      </c>
      <c r="K154" t="s">
        <v>16</v>
      </c>
    </row>
    <row r="155" spans="1:11" x14ac:dyDescent="0.25">
      <c r="A155">
        <v>500</v>
      </c>
      <c r="B155">
        <v>13.76</v>
      </c>
      <c r="C155" t="s">
        <v>21</v>
      </c>
      <c r="D155" t="s">
        <v>12</v>
      </c>
      <c r="E155">
        <v>2500</v>
      </c>
      <c r="F155">
        <v>73.2</v>
      </c>
      <c r="G155">
        <v>18.91</v>
      </c>
      <c r="H155">
        <v>5.14</v>
      </c>
      <c r="I155">
        <v>37.35</v>
      </c>
      <c r="J155">
        <v>3</v>
      </c>
      <c r="K155" t="s">
        <v>16</v>
      </c>
    </row>
    <row r="156" spans="1:11" x14ac:dyDescent="0.25">
      <c r="A156">
        <v>250</v>
      </c>
      <c r="B156">
        <v>6.77</v>
      </c>
      <c r="C156" t="s">
        <v>11</v>
      </c>
      <c r="D156" t="s">
        <v>15</v>
      </c>
      <c r="E156">
        <v>2500</v>
      </c>
      <c r="F156">
        <v>69.099999999999994</v>
      </c>
      <c r="G156">
        <v>6.58</v>
      </c>
      <c r="H156">
        <v>1.41</v>
      </c>
      <c r="I156">
        <v>20.83</v>
      </c>
      <c r="J156">
        <v>13</v>
      </c>
      <c r="K156" t="s">
        <v>23</v>
      </c>
    </row>
    <row r="157" spans="1:11" x14ac:dyDescent="0.25">
      <c r="A157">
        <v>100</v>
      </c>
      <c r="B157">
        <v>5.12</v>
      </c>
      <c r="C157" t="s">
        <v>22</v>
      </c>
      <c r="D157" t="s">
        <v>15</v>
      </c>
      <c r="E157">
        <v>900</v>
      </c>
      <c r="F157">
        <v>53</v>
      </c>
      <c r="G157">
        <v>0.64</v>
      </c>
      <c r="H157">
        <v>1.1100000000000001</v>
      </c>
      <c r="I157">
        <v>21.68</v>
      </c>
      <c r="J157">
        <v>12</v>
      </c>
      <c r="K157" t="s">
        <v>23</v>
      </c>
    </row>
    <row r="158" spans="1:11" x14ac:dyDescent="0.25">
      <c r="A158">
        <v>1500</v>
      </c>
      <c r="B158">
        <v>27.3</v>
      </c>
      <c r="C158" t="s">
        <v>21</v>
      </c>
      <c r="D158" t="s">
        <v>20</v>
      </c>
      <c r="E158">
        <v>1500</v>
      </c>
      <c r="F158">
        <v>115.2</v>
      </c>
      <c r="G158">
        <v>13.79</v>
      </c>
      <c r="H158">
        <v>0.67</v>
      </c>
      <c r="I158">
        <v>2.4500000000000002</v>
      </c>
      <c r="J158">
        <v>18</v>
      </c>
      <c r="K158" t="s">
        <v>23</v>
      </c>
    </row>
    <row r="159" spans="1:11" x14ac:dyDescent="0.25">
      <c r="A159">
        <v>250</v>
      </c>
      <c r="B159">
        <v>9.59</v>
      </c>
      <c r="C159" t="s">
        <v>21</v>
      </c>
      <c r="D159" t="s">
        <v>15</v>
      </c>
      <c r="E159">
        <v>150</v>
      </c>
      <c r="F159">
        <v>18.5</v>
      </c>
      <c r="G159">
        <v>17.18</v>
      </c>
      <c r="H159">
        <v>2.35</v>
      </c>
      <c r="I159">
        <v>24.5</v>
      </c>
      <c r="J159">
        <v>6</v>
      </c>
      <c r="K159" t="s">
        <v>13</v>
      </c>
    </row>
    <row r="160" spans="1:11" x14ac:dyDescent="0.25">
      <c r="A160">
        <v>100</v>
      </c>
      <c r="B160">
        <v>6.02</v>
      </c>
      <c r="C160" t="s">
        <v>14</v>
      </c>
      <c r="D160" t="s">
        <v>18</v>
      </c>
      <c r="E160">
        <v>1500</v>
      </c>
      <c r="F160">
        <v>50.7</v>
      </c>
      <c r="G160">
        <v>18.36</v>
      </c>
      <c r="H160">
        <v>2.37</v>
      </c>
      <c r="I160">
        <v>39.369999999999997</v>
      </c>
      <c r="J160">
        <v>23</v>
      </c>
      <c r="K160" t="s">
        <v>13</v>
      </c>
    </row>
    <row r="161" spans="1:11" x14ac:dyDescent="0.25">
      <c r="A161">
        <v>600</v>
      </c>
      <c r="B161">
        <v>14.75</v>
      </c>
      <c r="C161" t="s">
        <v>11</v>
      </c>
      <c r="D161" t="s">
        <v>12</v>
      </c>
      <c r="E161">
        <v>600</v>
      </c>
      <c r="F161">
        <v>2.1</v>
      </c>
      <c r="G161">
        <v>5.36</v>
      </c>
      <c r="H161">
        <v>3.17</v>
      </c>
      <c r="I161">
        <v>21.49</v>
      </c>
      <c r="J161">
        <v>11</v>
      </c>
      <c r="K161" t="s">
        <v>13</v>
      </c>
    </row>
    <row r="162" spans="1:11" x14ac:dyDescent="0.25">
      <c r="A162">
        <v>500</v>
      </c>
      <c r="B162">
        <v>23.95</v>
      </c>
      <c r="C162" t="s">
        <v>19</v>
      </c>
      <c r="D162" t="s">
        <v>12</v>
      </c>
      <c r="E162">
        <v>900</v>
      </c>
      <c r="F162">
        <v>37.700000000000003</v>
      </c>
      <c r="G162">
        <v>15.5</v>
      </c>
      <c r="H162">
        <v>2.41</v>
      </c>
      <c r="I162">
        <v>10.06</v>
      </c>
      <c r="J162">
        <v>15</v>
      </c>
      <c r="K162" t="s">
        <v>13</v>
      </c>
    </row>
    <row r="163" spans="1:11" x14ac:dyDescent="0.25">
      <c r="A163">
        <v>800</v>
      </c>
      <c r="B163">
        <v>23.11</v>
      </c>
      <c r="C163" t="s">
        <v>11</v>
      </c>
      <c r="D163" t="s">
        <v>12</v>
      </c>
      <c r="E163">
        <v>900</v>
      </c>
      <c r="F163">
        <v>-2.2000000000000002</v>
      </c>
      <c r="G163">
        <v>14.62</v>
      </c>
      <c r="H163">
        <v>1.73</v>
      </c>
      <c r="I163">
        <v>7.49</v>
      </c>
      <c r="J163">
        <v>25</v>
      </c>
      <c r="K163" t="s">
        <v>23</v>
      </c>
    </row>
    <row r="164" spans="1:11" x14ac:dyDescent="0.25">
      <c r="A164">
        <v>250</v>
      </c>
      <c r="B164">
        <v>12.68</v>
      </c>
      <c r="C164" t="s">
        <v>21</v>
      </c>
      <c r="D164" t="s">
        <v>17</v>
      </c>
      <c r="E164">
        <v>1500</v>
      </c>
      <c r="F164">
        <v>35.5</v>
      </c>
      <c r="G164">
        <v>16.899999999999999</v>
      </c>
      <c r="H164">
        <v>7.72</v>
      </c>
      <c r="I164">
        <v>60.88</v>
      </c>
      <c r="J164">
        <v>2</v>
      </c>
      <c r="K164" t="s">
        <v>16</v>
      </c>
    </row>
    <row r="165" spans="1:11" x14ac:dyDescent="0.25">
      <c r="A165">
        <v>1200</v>
      </c>
      <c r="B165">
        <v>19.16</v>
      </c>
      <c r="C165" t="s">
        <v>21</v>
      </c>
      <c r="D165" t="s">
        <v>20</v>
      </c>
      <c r="E165">
        <v>900</v>
      </c>
      <c r="F165">
        <v>74.7</v>
      </c>
      <c r="G165">
        <v>18.91</v>
      </c>
      <c r="H165">
        <v>6.59</v>
      </c>
      <c r="I165">
        <v>34.39</v>
      </c>
      <c r="J165">
        <v>2</v>
      </c>
      <c r="K165" t="s">
        <v>16</v>
      </c>
    </row>
    <row r="166" spans="1:11" x14ac:dyDescent="0.25">
      <c r="A166">
        <v>50</v>
      </c>
      <c r="B166">
        <v>4.8600000000000003</v>
      </c>
      <c r="C166" t="s">
        <v>22</v>
      </c>
      <c r="D166" t="s">
        <v>15</v>
      </c>
      <c r="E166">
        <v>600</v>
      </c>
      <c r="F166">
        <v>3.8</v>
      </c>
      <c r="G166">
        <v>3.33</v>
      </c>
      <c r="H166">
        <v>6.67</v>
      </c>
      <c r="I166">
        <v>137.24</v>
      </c>
      <c r="J166">
        <v>24</v>
      </c>
      <c r="K166" t="s">
        <v>16</v>
      </c>
    </row>
    <row r="167" spans="1:11" x14ac:dyDescent="0.25">
      <c r="A167">
        <v>1200</v>
      </c>
      <c r="B167">
        <v>36.869999999999997</v>
      </c>
      <c r="C167" t="s">
        <v>14</v>
      </c>
      <c r="D167" t="s">
        <v>17</v>
      </c>
      <c r="E167">
        <v>900</v>
      </c>
      <c r="F167">
        <v>-4.7</v>
      </c>
      <c r="G167">
        <v>1.58</v>
      </c>
      <c r="H167">
        <v>9.91</v>
      </c>
      <c r="I167">
        <v>26.88</v>
      </c>
      <c r="J167">
        <v>20</v>
      </c>
      <c r="K167" t="s">
        <v>16</v>
      </c>
    </row>
    <row r="168" spans="1:11" x14ac:dyDescent="0.25">
      <c r="A168">
        <v>150</v>
      </c>
      <c r="B168">
        <v>6.53</v>
      </c>
      <c r="C168" t="s">
        <v>14</v>
      </c>
      <c r="D168" t="s">
        <v>18</v>
      </c>
      <c r="E168">
        <v>2500</v>
      </c>
      <c r="F168">
        <v>65.900000000000006</v>
      </c>
      <c r="G168">
        <v>8.49</v>
      </c>
      <c r="H168">
        <v>4.53</v>
      </c>
      <c r="I168">
        <v>69.37</v>
      </c>
      <c r="J168">
        <v>8</v>
      </c>
      <c r="K168" t="s">
        <v>13</v>
      </c>
    </row>
    <row r="169" spans="1:11" x14ac:dyDescent="0.25">
      <c r="A169">
        <v>800</v>
      </c>
      <c r="B169">
        <v>20.03</v>
      </c>
      <c r="C169" t="s">
        <v>21</v>
      </c>
      <c r="D169" t="s">
        <v>20</v>
      </c>
      <c r="E169">
        <v>150</v>
      </c>
      <c r="F169">
        <v>127.3</v>
      </c>
      <c r="G169">
        <v>12.76</v>
      </c>
      <c r="H169">
        <v>5.29</v>
      </c>
      <c r="I169">
        <v>26.41</v>
      </c>
      <c r="J169">
        <v>16</v>
      </c>
      <c r="K169" t="s">
        <v>16</v>
      </c>
    </row>
    <row r="170" spans="1:11" x14ac:dyDescent="0.25">
      <c r="A170">
        <v>400</v>
      </c>
      <c r="B170">
        <v>8.2200000000000006</v>
      </c>
      <c r="C170" t="s">
        <v>11</v>
      </c>
      <c r="D170" t="s">
        <v>17</v>
      </c>
      <c r="E170">
        <v>2500</v>
      </c>
      <c r="F170">
        <v>31.5</v>
      </c>
      <c r="G170">
        <v>13.61</v>
      </c>
      <c r="H170">
        <v>8.4600000000000009</v>
      </c>
      <c r="I170">
        <v>102.92</v>
      </c>
      <c r="J170">
        <v>12</v>
      </c>
      <c r="K170" t="s">
        <v>16</v>
      </c>
    </row>
    <row r="171" spans="1:11" x14ac:dyDescent="0.25">
      <c r="A171">
        <v>1200</v>
      </c>
      <c r="B171">
        <v>27.43</v>
      </c>
      <c r="C171" t="s">
        <v>19</v>
      </c>
      <c r="D171" t="s">
        <v>18</v>
      </c>
      <c r="E171">
        <v>600</v>
      </c>
      <c r="F171">
        <v>12.7</v>
      </c>
      <c r="G171">
        <v>14.29</v>
      </c>
      <c r="H171">
        <v>1.36</v>
      </c>
      <c r="I171">
        <v>4.96</v>
      </c>
      <c r="J171">
        <v>23</v>
      </c>
      <c r="K171" t="s">
        <v>23</v>
      </c>
    </row>
    <row r="172" spans="1:11" x14ac:dyDescent="0.25">
      <c r="A172">
        <v>1200</v>
      </c>
      <c r="B172">
        <v>19.82</v>
      </c>
      <c r="C172" t="s">
        <v>22</v>
      </c>
      <c r="D172" t="s">
        <v>18</v>
      </c>
      <c r="E172">
        <v>600</v>
      </c>
      <c r="F172">
        <v>85.7</v>
      </c>
      <c r="G172">
        <v>19.05</v>
      </c>
      <c r="H172">
        <v>0.72</v>
      </c>
      <c r="I172">
        <v>3.63</v>
      </c>
      <c r="J172">
        <v>14</v>
      </c>
      <c r="K172" t="s">
        <v>23</v>
      </c>
    </row>
    <row r="173" spans="1:11" x14ac:dyDescent="0.25">
      <c r="A173">
        <v>600</v>
      </c>
      <c r="B173">
        <v>18.739999999999998</v>
      </c>
      <c r="C173" t="s">
        <v>11</v>
      </c>
      <c r="D173" t="s">
        <v>12</v>
      </c>
      <c r="E173">
        <v>1500</v>
      </c>
      <c r="F173">
        <v>62.7</v>
      </c>
      <c r="G173">
        <v>2.68</v>
      </c>
      <c r="H173">
        <v>6.42</v>
      </c>
      <c r="I173">
        <v>34.26</v>
      </c>
      <c r="J173">
        <v>9</v>
      </c>
      <c r="K173" t="s">
        <v>16</v>
      </c>
    </row>
    <row r="174" spans="1:11" x14ac:dyDescent="0.25">
      <c r="A174">
        <v>1000</v>
      </c>
      <c r="B174">
        <v>15.83</v>
      </c>
      <c r="C174" t="s">
        <v>11</v>
      </c>
      <c r="D174" t="s">
        <v>20</v>
      </c>
      <c r="E174">
        <v>300</v>
      </c>
      <c r="F174">
        <v>-3.4</v>
      </c>
      <c r="G174">
        <v>11.42</v>
      </c>
      <c r="H174">
        <v>7.82</v>
      </c>
      <c r="I174">
        <v>49.4</v>
      </c>
      <c r="J174">
        <v>23</v>
      </c>
      <c r="K174" t="s">
        <v>16</v>
      </c>
    </row>
    <row r="175" spans="1:11" x14ac:dyDescent="0.25">
      <c r="A175">
        <v>150</v>
      </c>
      <c r="B175">
        <v>5.44</v>
      </c>
      <c r="C175" t="s">
        <v>22</v>
      </c>
      <c r="D175" t="s">
        <v>17</v>
      </c>
      <c r="E175">
        <v>1500</v>
      </c>
      <c r="F175">
        <v>108.5</v>
      </c>
      <c r="G175">
        <v>18.25</v>
      </c>
      <c r="H175">
        <v>2.04</v>
      </c>
      <c r="I175">
        <v>37.5</v>
      </c>
      <c r="J175">
        <v>18</v>
      </c>
      <c r="K175" t="s">
        <v>13</v>
      </c>
    </row>
    <row r="176" spans="1:11" x14ac:dyDescent="0.25">
      <c r="A176">
        <v>300</v>
      </c>
      <c r="B176">
        <v>15.59</v>
      </c>
      <c r="C176" t="s">
        <v>14</v>
      </c>
      <c r="D176" t="s">
        <v>15</v>
      </c>
      <c r="E176">
        <v>2500</v>
      </c>
      <c r="F176">
        <v>74.099999999999994</v>
      </c>
      <c r="G176">
        <v>1.08</v>
      </c>
      <c r="H176">
        <v>0.15</v>
      </c>
      <c r="I176">
        <v>0.96</v>
      </c>
      <c r="J176">
        <v>5</v>
      </c>
      <c r="K176" t="s">
        <v>23</v>
      </c>
    </row>
    <row r="177" spans="1:11" x14ac:dyDescent="0.25">
      <c r="A177">
        <v>500</v>
      </c>
      <c r="B177">
        <v>10.26</v>
      </c>
      <c r="C177" t="s">
        <v>21</v>
      </c>
      <c r="D177" t="s">
        <v>12</v>
      </c>
      <c r="E177">
        <v>300</v>
      </c>
      <c r="F177">
        <v>18.399999999999999</v>
      </c>
      <c r="G177">
        <v>5.0199999999999996</v>
      </c>
      <c r="H177">
        <v>0.34</v>
      </c>
      <c r="I177">
        <v>3.31</v>
      </c>
      <c r="J177">
        <v>2</v>
      </c>
      <c r="K177" t="s">
        <v>23</v>
      </c>
    </row>
    <row r="178" spans="1:11" x14ac:dyDescent="0.25">
      <c r="A178">
        <v>800</v>
      </c>
      <c r="B178">
        <v>16.829999999999998</v>
      </c>
      <c r="C178" t="s">
        <v>22</v>
      </c>
      <c r="D178" t="s">
        <v>12</v>
      </c>
      <c r="E178">
        <v>150</v>
      </c>
      <c r="F178">
        <v>55.2</v>
      </c>
      <c r="G178">
        <v>9.75</v>
      </c>
      <c r="H178">
        <v>6.78</v>
      </c>
      <c r="I178">
        <v>40.29</v>
      </c>
      <c r="J178">
        <v>6</v>
      </c>
      <c r="K178" t="s">
        <v>16</v>
      </c>
    </row>
    <row r="179" spans="1:11" x14ac:dyDescent="0.25">
      <c r="A179">
        <v>1500</v>
      </c>
      <c r="B179">
        <v>35</v>
      </c>
      <c r="C179" t="s">
        <v>11</v>
      </c>
      <c r="D179" t="s">
        <v>18</v>
      </c>
      <c r="E179">
        <v>1500</v>
      </c>
      <c r="F179">
        <v>32.299999999999997</v>
      </c>
      <c r="G179">
        <v>1.1399999999999999</v>
      </c>
      <c r="H179">
        <v>1.92</v>
      </c>
      <c r="I179">
        <v>5.49</v>
      </c>
      <c r="J179">
        <v>16</v>
      </c>
      <c r="K179" t="s">
        <v>23</v>
      </c>
    </row>
    <row r="180" spans="1:11" x14ac:dyDescent="0.25">
      <c r="A180">
        <v>100</v>
      </c>
      <c r="B180">
        <v>5.67</v>
      </c>
      <c r="C180" t="s">
        <v>21</v>
      </c>
      <c r="D180" t="s">
        <v>17</v>
      </c>
      <c r="E180">
        <v>300</v>
      </c>
      <c r="F180">
        <v>17.399999999999999</v>
      </c>
      <c r="G180">
        <v>15.91</v>
      </c>
      <c r="H180">
        <v>8</v>
      </c>
      <c r="I180">
        <v>141.09</v>
      </c>
      <c r="J180">
        <v>24</v>
      </c>
      <c r="K180" t="s">
        <v>16</v>
      </c>
    </row>
    <row r="181" spans="1:11" x14ac:dyDescent="0.25">
      <c r="A181">
        <v>500</v>
      </c>
      <c r="B181">
        <v>12.23</v>
      </c>
      <c r="C181" t="s">
        <v>21</v>
      </c>
      <c r="D181" t="s">
        <v>17</v>
      </c>
      <c r="E181">
        <v>2500</v>
      </c>
      <c r="F181">
        <v>69.3</v>
      </c>
      <c r="G181">
        <v>17.329999999999998</v>
      </c>
      <c r="H181">
        <v>8.69</v>
      </c>
      <c r="I181">
        <v>71.05</v>
      </c>
      <c r="J181">
        <v>1</v>
      </c>
      <c r="K181" t="s">
        <v>16</v>
      </c>
    </row>
    <row r="182" spans="1:11" x14ac:dyDescent="0.25">
      <c r="A182">
        <v>150</v>
      </c>
      <c r="B182">
        <v>7.41</v>
      </c>
      <c r="C182" t="s">
        <v>21</v>
      </c>
      <c r="D182" t="s">
        <v>15</v>
      </c>
      <c r="E182">
        <v>2500</v>
      </c>
      <c r="F182">
        <v>-8.1999999999999993</v>
      </c>
      <c r="G182">
        <v>18.23</v>
      </c>
      <c r="H182">
        <v>2.15</v>
      </c>
      <c r="I182">
        <v>29.01</v>
      </c>
      <c r="J182">
        <v>16</v>
      </c>
      <c r="K182" t="s">
        <v>13</v>
      </c>
    </row>
    <row r="183" spans="1:11" x14ac:dyDescent="0.25">
      <c r="A183">
        <v>1000</v>
      </c>
      <c r="B183">
        <v>25.42</v>
      </c>
      <c r="C183" t="s">
        <v>14</v>
      </c>
      <c r="D183" t="s">
        <v>15</v>
      </c>
      <c r="E183">
        <v>150</v>
      </c>
      <c r="F183">
        <v>39.1</v>
      </c>
      <c r="G183">
        <v>6.15</v>
      </c>
      <c r="H183">
        <v>6.63</v>
      </c>
      <c r="I183">
        <v>26.08</v>
      </c>
      <c r="J183">
        <v>12</v>
      </c>
      <c r="K183" t="s">
        <v>16</v>
      </c>
    </row>
    <row r="184" spans="1:11" x14ac:dyDescent="0.25">
      <c r="A184">
        <v>200</v>
      </c>
      <c r="B184">
        <v>10.46</v>
      </c>
      <c r="C184" t="s">
        <v>22</v>
      </c>
      <c r="D184" t="s">
        <v>20</v>
      </c>
      <c r="E184">
        <v>150</v>
      </c>
      <c r="F184">
        <v>-7</v>
      </c>
      <c r="G184">
        <v>19.899999999999999</v>
      </c>
      <c r="H184">
        <v>8.3000000000000007</v>
      </c>
      <c r="I184">
        <v>79.349999999999994</v>
      </c>
      <c r="J184">
        <v>10</v>
      </c>
      <c r="K184" t="s">
        <v>16</v>
      </c>
    </row>
    <row r="185" spans="1:11" x14ac:dyDescent="0.25">
      <c r="A185">
        <v>600</v>
      </c>
      <c r="B185">
        <v>16.190000000000001</v>
      </c>
      <c r="C185" t="s">
        <v>11</v>
      </c>
      <c r="D185" t="s">
        <v>12</v>
      </c>
      <c r="E185">
        <v>600</v>
      </c>
      <c r="F185">
        <v>12.1</v>
      </c>
      <c r="G185">
        <v>15.73</v>
      </c>
      <c r="H185">
        <v>8.8000000000000007</v>
      </c>
      <c r="I185">
        <v>54.35</v>
      </c>
      <c r="J185">
        <v>25</v>
      </c>
      <c r="K185" t="s">
        <v>16</v>
      </c>
    </row>
    <row r="186" spans="1:11" x14ac:dyDescent="0.25">
      <c r="A186">
        <v>100</v>
      </c>
      <c r="B186">
        <v>5.39</v>
      </c>
      <c r="C186" t="s">
        <v>19</v>
      </c>
      <c r="D186" t="s">
        <v>12</v>
      </c>
      <c r="E186">
        <v>900</v>
      </c>
      <c r="F186">
        <v>44.7</v>
      </c>
      <c r="G186">
        <v>7.35</v>
      </c>
      <c r="H186">
        <v>0.21</v>
      </c>
      <c r="I186">
        <v>3.9</v>
      </c>
      <c r="J186">
        <v>8</v>
      </c>
      <c r="K186" t="s">
        <v>23</v>
      </c>
    </row>
    <row r="187" spans="1:11" x14ac:dyDescent="0.25">
      <c r="A187">
        <v>1200</v>
      </c>
      <c r="B187">
        <v>34.549999999999997</v>
      </c>
      <c r="C187" t="s">
        <v>22</v>
      </c>
      <c r="D187" t="s">
        <v>20</v>
      </c>
      <c r="E187">
        <v>600</v>
      </c>
      <c r="F187">
        <v>105.6</v>
      </c>
      <c r="G187">
        <v>8.83</v>
      </c>
      <c r="H187">
        <v>3.41</v>
      </c>
      <c r="I187">
        <v>9.8699999999999992</v>
      </c>
      <c r="J187">
        <v>2</v>
      </c>
      <c r="K187" t="s">
        <v>13</v>
      </c>
    </row>
    <row r="188" spans="1:11" x14ac:dyDescent="0.25">
      <c r="A188">
        <v>400</v>
      </c>
      <c r="B188">
        <v>12.07</v>
      </c>
      <c r="C188" t="s">
        <v>14</v>
      </c>
      <c r="D188" t="s">
        <v>20</v>
      </c>
      <c r="E188">
        <v>300</v>
      </c>
      <c r="F188">
        <v>78</v>
      </c>
      <c r="G188">
        <v>9.2799999999999994</v>
      </c>
      <c r="H188">
        <v>9.52</v>
      </c>
      <c r="I188">
        <v>78.87</v>
      </c>
      <c r="J188">
        <v>2</v>
      </c>
      <c r="K188" t="s">
        <v>16</v>
      </c>
    </row>
    <row r="189" spans="1:11" x14ac:dyDescent="0.25">
      <c r="A189">
        <v>600</v>
      </c>
      <c r="B189">
        <v>13.15</v>
      </c>
      <c r="C189" t="s">
        <v>14</v>
      </c>
      <c r="D189" t="s">
        <v>18</v>
      </c>
      <c r="E189">
        <v>900</v>
      </c>
      <c r="F189">
        <v>8.1</v>
      </c>
      <c r="G189">
        <v>0.88</v>
      </c>
      <c r="H189">
        <v>4.6399999999999997</v>
      </c>
      <c r="I189">
        <v>35.29</v>
      </c>
      <c r="J189">
        <v>16</v>
      </c>
      <c r="K189" t="s">
        <v>13</v>
      </c>
    </row>
    <row r="190" spans="1:11" x14ac:dyDescent="0.25">
      <c r="A190">
        <v>300</v>
      </c>
      <c r="B190">
        <v>10.17</v>
      </c>
      <c r="C190" t="s">
        <v>22</v>
      </c>
      <c r="D190" t="s">
        <v>18</v>
      </c>
      <c r="E190">
        <v>300</v>
      </c>
      <c r="F190">
        <v>85.2</v>
      </c>
      <c r="G190">
        <v>7.37</v>
      </c>
      <c r="H190">
        <v>0.9</v>
      </c>
      <c r="I190">
        <v>8.85</v>
      </c>
      <c r="J190">
        <v>23</v>
      </c>
      <c r="K190" t="s">
        <v>23</v>
      </c>
    </row>
    <row r="191" spans="1:11" x14ac:dyDescent="0.25">
      <c r="A191">
        <v>600</v>
      </c>
      <c r="B191">
        <v>14.68</v>
      </c>
      <c r="C191" t="s">
        <v>19</v>
      </c>
      <c r="D191" t="s">
        <v>20</v>
      </c>
      <c r="E191">
        <v>300</v>
      </c>
      <c r="F191">
        <v>65.099999999999994</v>
      </c>
      <c r="G191">
        <v>16.73</v>
      </c>
      <c r="H191">
        <v>0.85</v>
      </c>
      <c r="I191">
        <v>5.79</v>
      </c>
      <c r="J191">
        <v>25</v>
      </c>
      <c r="K191" t="s">
        <v>23</v>
      </c>
    </row>
    <row r="192" spans="1:11" x14ac:dyDescent="0.25">
      <c r="A192">
        <v>250</v>
      </c>
      <c r="B192">
        <v>9.4</v>
      </c>
      <c r="C192" t="s">
        <v>21</v>
      </c>
      <c r="D192" t="s">
        <v>15</v>
      </c>
      <c r="E192">
        <v>2500</v>
      </c>
      <c r="F192">
        <v>49.4</v>
      </c>
      <c r="G192">
        <v>7.59</v>
      </c>
      <c r="H192">
        <v>7.76</v>
      </c>
      <c r="I192">
        <v>82.55</v>
      </c>
      <c r="J192">
        <v>14</v>
      </c>
      <c r="K192" t="s">
        <v>16</v>
      </c>
    </row>
    <row r="193" spans="1:11" x14ac:dyDescent="0.25">
      <c r="A193">
        <v>300</v>
      </c>
      <c r="B193">
        <v>9.4499999999999993</v>
      </c>
      <c r="C193" t="s">
        <v>19</v>
      </c>
      <c r="D193" t="s">
        <v>18</v>
      </c>
      <c r="E193">
        <v>2500</v>
      </c>
      <c r="F193">
        <v>35.6</v>
      </c>
      <c r="G193">
        <v>12.61</v>
      </c>
      <c r="H193">
        <v>5.43</v>
      </c>
      <c r="I193">
        <v>57.46</v>
      </c>
      <c r="J193">
        <v>3</v>
      </c>
      <c r="K193" t="s">
        <v>16</v>
      </c>
    </row>
    <row r="194" spans="1:11" x14ac:dyDescent="0.25">
      <c r="A194">
        <v>50</v>
      </c>
      <c r="B194">
        <v>5.22</v>
      </c>
      <c r="C194" t="s">
        <v>14</v>
      </c>
      <c r="D194" t="s">
        <v>15</v>
      </c>
      <c r="E194">
        <v>900</v>
      </c>
      <c r="F194">
        <v>110.5</v>
      </c>
      <c r="G194">
        <v>18.510000000000002</v>
      </c>
      <c r="H194">
        <v>7.59</v>
      </c>
      <c r="I194">
        <v>145.4</v>
      </c>
      <c r="J194">
        <v>10</v>
      </c>
      <c r="K194" t="s">
        <v>16</v>
      </c>
    </row>
    <row r="195" spans="1:11" x14ac:dyDescent="0.25">
      <c r="A195">
        <v>300</v>
      </c>
      <c r="B195">
        <v>10.52</v>
      </c>
      <c r="C195" t="s">
        <v>21</v>
      </c>
      <c r="D195" t="s">
        <v>15</v>
      </c>
      <c r="E195">
        <v>1500</v>
      </c>
      <c r="F195">
        <v>99.2</v>
      </c>
      <c r="G195">
        <v>19.04</v>
      </c>
      <c r="H195">
        <v>3.39</v>
      </c>
      <c r="I195">
        <v>32.22</v>
      </c>
      <c r="J195">
        <v>19</v>
      </c>
      <c r="K195" t="s">
        <v>13</v>
      </c>
    </row>
    <row r="196" spans="1:11" x14ac:dyDescent="0.25">
      <c r="A196">
        <v>200</v>
      </c>
      <c r="B196">
        <v>7.81</v>
      </c>
      <c r="C196" t="s">
        <v>21</v>
      </c>
      <c r="D196" t="s">
        <v>17</v>
      </c>
      <c r="E196">
        <v>150</v>
      </c>
      <c r="F196">
        <v>12.2</v>
      </c>
      <c r="G196">
        <v>4.41</v>
      </c>
      <c r="H196">
        <v>0.35</v>
      </c>
      <c r="I196">
        <v>4.4800000000000004</v>
      </c>
      <c r="J196">
        <v>12</v>
      </c>
      <c r="K196" t="s">
        <v>23</v>
      </c>
    </row>
    <row r="197" spans="1:11" x14ac:dyDescent="0.25">
      <c r="A197">
        <v>1200</v>
      </c>
      <c r="B197">
        <v>35.28</v>
      </c>
      <c r="C197" t="s">
        <v>21</v>
      </c>
      <c r="D197" t="s">
        <v>20</v>
      </c>
      <c r="E197">
        <v>900</v>
      </c>
      <c r="F197">
        <v>75.8</v>
      </c>
      <c r="G197">
        <v>0.43</v>
      </c>
      <c r="H197">
        <v>0.43</v>
      </c>
      <c r="I197">
        <v>1.22</v>
      </c>
      <c r="J197">
        <v>5</v>
      </c>
      <c r="K197" t="s">
        <v>23</v>
      </c>
    </row>
    <row r="198" spans="1:11" x14ac:dyDescent="0.25">
      <c r="A198">
        <v>250</v>
      </c>
      <c r="B198">
        <v>8.8800000000000008</v>
      </c>
      <c r="C198" t="s">
        <v>14</v>
      </c>
      <c r="D198" t="s">
        <v>18</v>
      </c>
      <c r="E198">
        <v>600</v>
      </c>
      <c r="F198">
        <v>51.3</v>
      </c>
      <c r="G198">
        <v>8.2899999999999991</v>
      </c>
      <c r="H198">
        <v>0.51</v>
      </c>
      <c r="I198">
        <v>5.74</v>
      </c>
      <c r="J198">
        <v>14</v>
      </c>
      <c r="K198" t="s">
        <v>23</v>
      </c>
    </row>
    <row r="199" spans="1:11" x14ac:dyDescent="0.25">
      <c r="A199">
        <v>50</v>
      </c>
      <c r="B199">
        <v>4.4800000000000004</v>
      </c>
      <c r="C199" t="s">
        <v>21</v>
      </c>
      <c r="D199" t="s">
        <v>18</v>
      </c>
      <c r="E199">
        <v>2500</v>
      </c>
      <c r="F199">
        <v>7.1</v>
      </c>
      <c r="G199">
        <v>16.350000000000001</v>
      </c>
      <c r="H199">
        <v>4.5599999999999996</v>
      </c>
      <c r="I199">
        <v>101.79</v>
      </c>
      <c r="J199">
        <v>16</v>
      </c>
      <c r="K199" t="s">
        <v>13</v>
      </c>
    </row>
    <row r="200" spans="1:11" x14ac:dyDescent="0.25">
      <c r="A200">
        <v>100</v>
      </c>
      <c r="B200">
        <v>6.06</v>
      </c>
      <c r="C200" t="s">
        <v>14</v>
      </c>
      <c r="D200" t="s">
        <v>18</v>
      </c>
      <c r="E200">
        <v>2500</v>
      </c>
      <c r="F200">
        <v>127.7</v>
      </c>
      <c r="G200">
        <v>2.4</v>
      </c>
      <c r="H200">
        <v>8.9600000000000009</v>
      </c>
      <c r="I200">
        <v>147.85</v>
      </c>
      <c r="J200">
        <v>22</v>
      </c>
      <c r="K200" t="s">
        <v>16</v>
      </c>
    </row>
    <row r="201" spans="1:11" x14ac:dyDescent="0.25">
      <c r="A201">
        <v>100</v>
      </c>
      <c r="B201">
        <v>7.34</v>
      </c>
      <c r="C201" t="s">
        <v>14</v>
      </c>
      <c r="D201" t="s">
        <v>18</v>
      </c>
      <c r="E201">
        <v>600</v>
      </c>
      <c r="F201">
        <v>19.2</v>
      </c>
      <c r="G201">
        <v>5.91</v>
      </c>
      <c r="H201">
        <v>7.41</v>
      </c>
      <c r="I201">
        <v>100.95</v>
      </c>
      <c r="J201">
        <v>23</v>
      </c>
      <c r="K201" t="s">
        <v>16</v>
      </c>
    </row>
    <row r="202" spans="1:11" x14ac:dyDescent="0.25">
      <c r="A202">
        <v>250</v>
      </c>
      <c r="B202">
        <v>12.12</v>
      </c>
      <c r="C202" t="s">
        <v>14</v>
      </c>
      <c r="D202" t="s">
        <v>20</v>
      </c>
      <c r="E202">
        <v>2500</v>
      </c>
      <c r="F202">
        <v>60.7</v>
      </c>
      <c r="G202">
        <v>6.85</v>
      </c>
      <c r="H202">
        <v>5.47</v>
      </c>
      <c r="I202">
        <v>45.13</v>
      </c>
      <c r="J202">
        <v>23</v>
      </c>
      <c r="K202" t="s">
        <v>16</v>
      </c>
    </row>
    <row r="203" spans="1:11" x14ac:dyDescent="0.25">
      <c r="A203">
        <v>1000</v>
      </c>
      <c r="B203">
        <v>25.02</v>
      </c>
      <c r="C203" t="s">
        <v>14</v>
      </c>
      <c r="D203" t="s">
        <v>17</v>
      </c>
      <c r="E203">
        <v>900</v>
      </c>
      <c r="F203">
        <v>16</v>
      </c>
      <c r="G203">
        <v>15.69</v>
      </c>
      <c r="H203">
        <v>5.17</v>
      </c>
      <c r="I203">
        <v>20.66</v>
      </c>
      <c r="J203">
        <v>1</v>
      </c>
      <c r="K203" t="s">
        <v>16</v>
      </c>
    </row>
    <row r="204" spans="1:11" x14ac:dyDescent="0.25">
      <c r="A204">
        <v>250</v>
      </c>
      <c r="B204">
        <v>14.96</v>
      </c>
      <c r="C204" t="s">
        <v>14</v>
      </c>
      <c r="D204" t="s">
        <v>18</v>
      </c>
      <c r="E204">
        <v>2500</v>
      </c>
      <c r="F204">
        <v>129.19999999999999</v>
      </c>
      <c r="G204">
        <v>9.5299999999999994</v>
      </c>
      <c r="H204">
        <v>9</v>
      </c>
      <c r="I204">
        <v>60.16</v>
      </c>
      <c r="J204">
        <v>9</v>
      </c>
      <c r="K204" t="s">
        <v>16</v>
      </c>
    </row>
    <row r="205" spans="1:11" x14ac:dyDescent="0.25">
      <c r="A205">
        <v>1500</v>
      </c>
      <c r="B205">
        <v>30.96</v>
      </c>
      <c r="C205" t="s">
        <v>14</v>
      </c>
      <c r="D205" t="s">
        <v>15</v>
      </c>
      <c r="E205">
        <v>150</v>
      </c>
      <c r="F205">
        <v>-37.1</v>
      </c>
      <c r="G205">
        <v>17.86</v>
      </c>
      <c r="H205">
        <v>9.2100000000000009</v>
      </c>
      <c r="I205">
        <v>29.75</v>
      </c>
      <c r="J205">
        <v>8</v>
      </c>
      <c r="K205" t="s">
        <v>16</v>
      </c>
    </row>
    <row r="206" spans="1:11" x14ac:dyDescent="0.25">
      <c r="A206">
        <v>250</v>
      </c>
      <c r="B206">
        <v>14.22</v>
      </c>
      <c r="C206" t="s">
        <v>14</v>
      </c>
      <c r="D206" t="s">
        <v>15</v>
      </c>
      <c r="E206">
        <v>300</v>
      </c>
      <c r="F206">
        <v>40.6</v>
      </c>
      <c r="G206">
        <v>18.47</v>
      </c>
      <c r="H206">
        <v>8.16</v>
      </c>
      <c r="I206">
        <v>57.38</v>
      </c>
      <c r="J206">
        <v>21</v>
      </c>
      <c r="K206" t="s">
        <v>16</v>
      </c>
    </row>
    <row r="207" spans="1:11" x14ac:dyDescent="0.25">
      <c r="A207">
        <v>100</v>
      </c>
      <c r="B207">
        <v>6.95</v>
      </c>
      <c r="C207" t="s">
        <v>21</v>
      </c>
      <c r="D207" t="s">
        <v>17</v>
      </c>
      <c r="E207">
        <v>2500</v>
      </c>
      <c r="F207">
        <v>88.3</v>
      </c>
      <c r="G207">
        <v>13.98</v>
      </c>
      <c r="H207">
        <v>9.08</v>
      </c>
      <c r="I207">
        <v>130.65</v>
      </c>
      <c r="J207">
        <v>25</v>
      </c>
      <c r="K207" t="s">
        <v>16</v>
      </c>
    </row>
    <row r="208" spans="1:11" x14ac:dyDescent="0.25">
      <c r="A208">
        <v>150</v>
      </c>
      <c r="B208">
        <v>6.91</v>
      </c>
      <c r="C208" t="s">
        <v>19</v>
      </c>
      <c r="D208" t="s">
        <v>17</v>
      </c>
      <c r="E208">
        <v>600</v>
      </c>
      <c r="F208">
        <v>0.5</v>
      </c>
      <c r="G208">
        <v>16.27</v>
      </c>
      <c r="H208">
        <v>6.74</v>
      </c>
      <c r="I208">
        <v>97.54</v>
      </c>
      <c r="J208">
        <v>22</v>
      </c>
      <c r="K208" t="s">
        <v>16</v>
      </c>
    </row>
    <row r="209" spans="1:11" x14ac:dyDescent="0.25">
      <c r="A209">
        <v>300</v>
      </c>
      <c r="B209">
        <v>13.13</v>
      </c>
      <c r="C209" t="s">
        <v>22</v>
      </c>
      <c r="D209" t="s">
        <v>15</v>
      </c>
      <c r="E209">
        <v>150</v>
      </c>
      <c r="F209">
        <v>-18.5</v>
      </c>
      <c r="G209">
        <v>12.74</v>
      </c>
      <c r="H209">
        <v>2.12</v>
      </c>
      <c r="I209">
        <v>16.149999999999999</v>
      </c>
      <c r="J209">
        <v>19</v>
      </c>
      <c r="K209" t="s">
        <v>13</v>
      </c>
    </row>
    <row r="210" spans="1:11" x14ac:dyDescent="0.25">
      <c r="A210">
        <v>50</v>
      </c>
      <c r="B210">
        <v>5.83</v>
      </c>
      <c r="C210" t="s">
        <v>14</v>
      </c>
      <c r="D210" t="s">
        <v>18</v>
      </c>
      <c r="E210">
        <v>150</v>
      </c>
      <c r="F210">
        <v>18.7</v>
      </c>
      <c r="G210">
        <v>16.739999999999998</v>
      </c>
      <c r="H210">
        <v>0.05</v>
      </c>
      <c r="I210">
        <v>0.86</v>
      </c>
      <c r="J210">
        <v>5</v>
      </c>
      <c r="K210" t="s">
        <v>23</v>
      </c>
    </row>
    <row r="211" spans="1:11" x14ac:dyDescent="0.25">
      <c r="A211">
        <v>50</v>
      </c>
      <c r="B211">
        <v>4.5</v>
      </c>
      <c r="C211" t="s">
        <v>14</v>
      </c>
      <c r="D211" t="s">
        <v>18</v>
      </c>
      <c r="E211">
        <v>150</v>
      </c>
      <c r="F211">
        <v>48.2</v>
      </c>
      <c r="G211">
        <v>18.04</v>
      </c>
      <c r="H211">
        <v>0.25</v>
      </c>
      <c r="I211">
        <v>5.56</v>
      </c>
      <c r="J211">
        <v>12</v>
      </c>
      <c r="K211" t="s">
        <v>23</v>
      </c>
    </row>
    <row r="212" spans="1:11" x14ac:dyDescent="0.25">
      <c r="A212">
        <v>1000</v>
      </c>
      <c r="B212">
        <v>21.84</v>
      </c>
      <c r="C212" t="s">
        <v>19</v>
      </c>
      <c r="D212" t="s">
        <v>18</v>
      </c>
      <c r="E212">
        <v>2500</v>
      </c>
      <c r="F212">
        <v>8.6999999999999993</v>
      </c>
      <c r="G212">
        <v>12.14</v>
      </c>
      <c r="H212">
        <v>9.75</v>
      </c>
      <c r="I212">
        <v>44.64</v>
      </c>
      <c r="J212">
        <v>4</v>
      </c>
      <c r="K212" t="s">
        <v>16</v>
      </c>
    </row>
    <row r="213" spans="1:11" x14ac:dyDescent="0.25">
      <c r="A213">
        <v>150</v>
      </c>
      <c r="B213">
        <v>5.43</v>
      </c>
      <c r="C213" t="s">
        <v>19</v>
      </c>
      <c r="D213" t="s">
        <v>15</v>
      </c>
      <c r="E213">
        <v>1500</v>
      </c>
      <c r="F213">
        <v>8.9</v>
      </c>
      <c r="G213">
        <v>13.32</v>
      </c>
      <c r="H213">
        <v>5.21</v>
      </c>
      <c r="I213">
        <v>95.95</v>
      </c>
      <c r="J213">
        <v>18</v>
      </c>
      <c r="K213" t="s">
        <v>16</v>
      </c>
    </row>
    <row r="214" spans="1:11" x14ac:dyDescent="0.25">
      <c r="A214">
        <v>100</v>
      </c>
      <c r="B214">
        <v>6.12</v>
      </c>
      <c r="C214" t="s">
        <v>14</v>
      </c>
      <c r="D214" t="s">
        <v>12</v>
      </c>
      <c r="E214">
        <v>300</v>
      </c>
      <c r="F214">
        <v>1.7</v>
      </c>
      <c r="G214">
        <v>12.05</v>
      </c>
      <c r="H214">
        <v>7.16</v>
      </c>
      <c r="I214">
        <v>116.99</v>
      </c>
      <c r="J214">
        <v>12</v>
      </c>
      <c r="K214" t="s">
        <v>16</v>
      </c>
    </row>
    <row r="215" spans="1:11" x14ac:dyDescent="0.25">
      <c r="A215">
        <v>50</v>
      </c>
      <c r="B215">
        <v>4.3</v>
      </c>
      <c r="C215" t="s">
        <v>22</v>
      </c>
      <c r="D215" t="s">
        <v>18</v>
      </c>
      <c r="E215">
        <v>300</v>
      </c>
      <c r="F215">
        <v>127.1</v>
      </c>
      <c r="G215">
        <v>0.92</v>
      </c>
      <c r="H215">
        <v>4.79</v>
      </c>
      <c r="I215">
        <v>111.4</v>
      </c>
      <c r="J215">
        <v>13</v>
      </c>
      <c r="K215" t="s">
        <v>13</v>
      </c>
    </row>
    <row r="216" spans="1:11" x14ac:dyDescent="0.25">
      <c r="A216">
        <v>1200</v>
      </c>
      <c r="B216">
        <v>31.01</v>
      </c>
      <c r="C216" t="s">
        <v>14</v>
      </c>
      <c r="D216" t="s">
        <v>18</v>
      </c>
      <c r="E216">
        <v>900</v>
      </c>
      <c r="F216">
        <v>27.2</v>
      </c>
      <c r="G216">
        <v>5</v>
      </c>
      <c r="H216">
        <v>3.03</v>
      </c>
      <c r="I216">
        <v>9.77</v>
      </c>
      <c r="J216">
        <v>9</v>
      </c>
      <c r="K216" t="s">
        <v>13</v>
      </c>
    </row>
    <row r="217" spans="1:11" x14ac:dyDescent="0.25">
      <c r="A217">
        <v>1200</v>
      </c>
      <c r="B217">
        <v>28.75</v>
      </c>
      <c r="C217" t="s">
        <v>19</v>
      </c>
      <c r="D217" t="s">
        <v>12</v>
      </c>
      <c r="E217">
        <v>150</v>
      </c>
      <c r="F217">
        <v>31.1</v>
      </c>
      <c r="G217">
        <v>7.43</v>
      </c>
      <c r="H217">
        <v>2.1</v>
      </c>
      <c r="I217">
        <v>7.3</v>
      </c>
      <c r="J217">
        <v>13</v>
      </c>
      <c r="K217" t="s">
        <v>13</v>
      </c>
    </row>
    <row r="218" spans="1:11" x14ac:dyDescent="0.25">
      <c r="A218">
        <v>200</v>
      </c>
      <c r="B218">
        <v>6.88</v>
      </c>
      <c r="C218" t="s">
        <v>19</v>
      </c>
      <c r="D218" t="s">
        <v>12</v>
      </c>
      <c r="E218">
        <v>600</v>
      </c>
      <c r="F218">
        <v>56.6</v>
      </c>
      <c r="G218">
        <v>3.37</v>
      </c>
      <c r="H218">
        <v>0.35</v>
      </c>
      <c r="I218">
        <v>5.09</v>
      </c>
      <c r="J218">
        <v>25</v>
      </c>
      <c r="K218" t="s">
        <v>23</v>
      </c>
    </row>
    <row r="219" spans="1:11" x14ac:dyDescent="0.25">
      <c r="A219">
        <v>1200</v>
      </c>
      <c r="B219">
        <v>20.66</v>
      </c>
      <c r="C219" t="s">
        <v>19</v>
      </c>
      <c r="D219" t="s">
        <v>18</v>
      </c>
      <c r="E219">
        <v>150</v>
      </c>
      <c r="F219">
        <v>118.5</v>
      </c>
      <c r="G219">
        <v>11.43</v>
      </c>
      <c r="H219">
        <v>8.42</v>
      </c>
      <c r="I219">
        <v>40.76</v>
      </c>
      <c r="J219">
        <v>5</v>
      </c>
      <c r="K219" t="s">
        <v>16</v>
      </c>
    </row>
    <row r="220" spans="1:11" x14ac:dyDescent="0.25">
      <c r="A220">
        <v>500</v>
      </c>
      <c r="B220">
        <v>12.66</v>
      </c>
      <c r="C220" t="s">
        <v>22</v>
      </c>
      <c r="D220" t="s">
        <v>18</v>
      </c>
      <c r="E220">
        <v>600</v>
      </c>
      <c r="F220">
        <v>68.5</v>
      </c>
      <c r="G220">
        <v>16.75</v>
      </c>
      <c r="H220">
        <v>7.28</v>
      </c>
      <c r="I220">
        <v>57.5</v>
      </c>
      <c r="J220">
        <v>2</v>
      </c>
      <c r="K220" t="s">
        <v>16</v>
      </c>
    </row>
    <row r="221" spans="1:11" x14ac:dyDescent="0.25">
      <c r="A221">
        <v>800</v>
      </c>
      <c r="B221">
        <v>28.54</v>
      </c>
      <c r="C221" t="s">
        <v>21</v>
      </c>
      <c r="D221" t="s">
        <v>17</v>
      </c>
      <c r="E221">
        <v>900</v>
      </c>
      <c r="F221">
        <v>72.3</v>
      </c>
      <c r="G221">
        <v>14.88</v>
      </c>
      <c r="H221">
        <v>2.4300000000000002</v>
      </c>
      <c r="I221">
        <v>8.51</v>
      </c>
      <c r="J221">
        <v>21</v>
      </c>
      <c r="K221" t="s">
        <v>13</v>
      </c>
    </row>
    <row r="222" spans="1:11" x14ac:dyDescent="0.25">
      <c r="A222">
        <v>250</v>
      </c>
      <c r="B222">
        <v>14.06</v>
      </c>
      <c r="C222" t="s">
        <v>21</v>
      </c>
      <c r="D222" t="s">
        <v>15</v>
      </c>
      <c r="E222">
        <v>300</v>
      </c>
      <c r="F222">
        <v>73.900000000000006</v>
      </c>
      <c r="G222">
        <v>16.34</v>
      </c>
      <c r="H222">
        <v>1.45</v>
      </c>
      <c r="I222">
        <v>10.31</v>
      </c>
      <c r="J222">
        <v>6</v>
      </c>
      <c r="K222" t="s">
        <v>23</v>
      </c>
    </row>
    <row r="223" spans="1:11" x14ac:dyDescent="0.25">
      <c r="A223">
        <v>100</v>
      </c>
      <c r="B223">
        <v>6.45</v>
      </c>
      <c r="C223" t="s">
        <v>21</v>
      </c>
      <c r="D223" t="s">
        <v>20</v>
      </c>
      <c r="E223">
        <v>900</v>
      </c>
      <c r="F223">
        <v>95.9</v>
      </c>
      <c r="G223">
        <v>15.64</v>
      </c>
      <c r="H223">
        <v>7.02</v>
      </c>
      <c r="I223">
        <v>108.84</v>
      </c>
      <c r="J223">
        <v>20</v>
      </c>
      <c r="K223" t="s">
        <v>16</v>
      </c>
    </row>
    <row r="224" spans="1:11" x14ac:dyDescent="0.25">
      <c r="A224">
        <v>100</v>
      </c>
      <c r="B224">
        <v>6.91</v>
      </c>
      <c r="C224" t="s">
        <v>14</v>
      </c>
      <c r="D224" t="s">
        <v>15</v>
      </c>
      <c r="E224">
        <v>150</v>
      </c>
      <c r="F224">
        <v>16.8</v>
      </c>
      <c r="G224">
        <v>18.59</v>
      </c>
      <c r="H224">
        <v>6.81</v>
      </c>
      <c r="I224">
        <v>98.55</v>
      </c>
      <c r="J224">
        <v>4</v>
      </c>
      <c r="K224" t="s">
        <v>16</v>
      </c>
    </row>
    <row r="225" spans="1:11" x14ac:dyDescent="0.25">
      <c r="A225">
        <v>600</v>
      </c>
      <c r="B225">
        <v>21.01</v>
      </c>
      <c r="C225" t="s">
        <v>22</v>
      </c>
      <c r="D225" t="s">
        <v>20</v>
      </c>
      <c r="E225">
        <v>300</v>
      </c>
      <c r="F225">
        <v>30.9</v>
      </c>
      <c r="G225">
        <v>13.18</v>
      </c>
      <c r="H225">
        <v>8.26</v>
      </c>
      <c r="I225">
        <v>39.31</v>
      </c>
      <c r="J225">
        <v>14</v>
      </c>
      <c r="K225" t="s">
        <v>16</v>
      </c>
    </row>
    <row r="226" spans="1:11" x14ac:dyDescent="0.25">
      <c r="A226">
        <v>250</v>
      </c>
      <c r="B226">
        <v>10.130000000000001</v>
      </c>
      <c r="C226" t="s">
        <v>22</v>
      </c>
      <c r="D226" t="s">
        <v>18</v>
      </c>
      <c r="E226">
        <v>600</v>
      </c>
      <c r="F226">
        <v>66</v>
      </c>
      <c r="G226">
        <v>0.17</v>
      </c>
      <c r="H226">
        <v>2.86</v>
      </c>
      <c r="I226">
        <v>28.23</v>
      </c>
      <c r="J226">
        <v>17</v>
      </c>
      <c r="K226" t="s">
        <v>13</v>
      </c>
    </row>
    <row r="227" spans="1:11" x14ac:dyDescent="0.25">
      <c r="A227">
        <v>50</v>
      </c>
      <c r="B227">
        <v>3.31</v>
      </c>
      <c r="C227" t="s">
        <v>14</v>
      </c>
      <c r="D227" t="s">
        <v>17</v>
      </c>
      <c r="E227">
        <v>2500</v>
      </c>
      <c r="F227">
        <v>88</v>
      </c>
      <c r="G227">
        <v>14.16</v>
      </c>
      <c r="H227">
        <v>9.58</v>
      </c>
      <c r="I227">
        <v>289.43</v>
      </c>
      <c r="J227">
        <v>18</v>
      </c>
      <c r="K227" t="s">
        <v>16</v>
      </c>
    </row>
    <row r="228" spans="1:11" x14ac:dyDescent="0.25">
      <c r="A228">
        <v>1500</v>
      </c>
      <c r="B228">
        <v>43.88</v>
      </c>
      <c r="C228" t="s">
        <v>22</v>
      </c>
      <c r="D228" t="s">
        <v>18</v>
      </c>
      <c r="E228">
        <v>150</v>
      </c>
      <c r="F228">
        <v>107.8</v>
      </c>
      <c r="G228">
        <v>10.93</v>
      </c>
      <c r="H228">
        <v>8.06</v>
      </c>
      <c r="I228">
        <v>18.37</v>
      </c>
      <c r="J228">
        <v>11</v>
      </c>
      <c r="K228" t="s">
        <v>16</v>
      </c>
    </row>
    <row r="229" spans="1:11" x14ac:dyDescent="0.25">
      <c r="A229">
        <v>300</v>
      </c>
      <c r="B229">
        <v>11.6</v>
      </c>
      <c r="C229" t="s">
        <v>21</v>
      </c>
      <c r="D229" t="s">
        <v>17</v>
      </c>
      <c r="E229">
        <v>900</v>
      </c>
      <c r="F229">
        <v>110.5</v>
      </c>
      <c r="G229">
        <v>3.02</v>
      </c>
      <c r="H229">
        <v>5.65</v>
      </c>
      <c r="I229">
        <v>48.71</v>
      </c>
      <c r="J229">
        <v>19</v>
      </c>
      <c r="K229" t="s">
        <v>16</v>
      </c>
    </row>
    <row r="230" spans="1:11" x14ac:dyDescent="0.25">
      <c r="A230">
        <v>50</v>
      </c>
      <c r="B230">
        <v>5.46</v>
      </c>
      <c r="C230" t="s">
        <v>21</v>
      </c>
      <c r="D230" t="s">
        <v>20</v>
      </c>
      <c r="E230">
        <v>1500</v>
      </c>
      <c r="F230">
        <v>26.2</v>
      </c>
      <c r="G230">
        <v>14.04</v>
      </c>
      <c r="H230">
        <v>9.36</v>
      </c>
      <c r="I230">
        <v>171.43</v>
      </c>
      <c r="J230">
        <v>17</v>
      </c>
      <c r="K230" t="s">
        <v>16</v>
      </c>
    </row>
    <row r="231" spans="1:11" x14ac:dyDescent="0.25">
      <c r="A231">
        <v>300</v>
      </c>
      <c r="B231">
        <v>8.9600000000000009</v>
      </c>
      <c r="C231" t="s">
        <v>11</v>
      </c>
      <c r="D231" t="s">
        <v>18</v>
      </c>
      <c r="E231">
        <v>2500</v>
      </c>
      <c r="F231">
        <v>48.7</v>
      </c>
      <c r="G231">
        <v>2.38</v>
      </c>
      <c r="H231">
        <v>4.63</v>
      </c>
      <c r="I231">
        <v>51.67</v>
      </c>
      <c r="J231">
        <v>2</v>
      </c>
      <c r="K231" t="s">
        <v>13</v>
      </c>
    </row>
    <row r="232" spans="1:11" x14ac:dyDescent="0.25">
      <c r="A232">
        <v>200</v>
      </c>
      <c r="B232">
        <v>10.9</v>
      </c>
      <c r="C232" t="s">
        <v>21</v>
      </c>
      <c r="D232" t="s">
        <v>17</v>
      </c>
      <c r="E232">
        <v>900</v>
      </c>
      <c r="F232">
        <v>-13</v>
      </c>
      <c r="G232">
        <v>13.91</v>
      </c>
      <c r="H232">
        <v>2.1800000000000002</v>
      </c>
      <c r="I232">
        <v>20</v>
      </c>
      <c r="J232">
        <v>17</v>
      </c>
      <c r="K232" t="s">
        <v>13</v>
      </c>
    </row>
    <row r="233" spans="1:11" x14ac:dyDescent="0.25">
      <c r="A233">
        <v>100</v>
      </c>
      <c r="B233">
        <v>7.36</v>
      </c>
      <c r="C233" t="s">
        <v>22</v>
      </c>
      <c r="D233" t="s">
        <v>18</v>
      </c>
      <c r="E233">
        <v>150</v>
      </c>
      <c r="F233">
        <v>-9.5</v>
      </c>
      <c r="G233">
        <v>4.1500000000000004</v>
      </c>
      <c r="H233">
        <v>5.57</v>
      </c>
      <c r="I233">
        <v>75.680000000000007</v>
      </c>
      <c r="J233">
        <v>13</v>
      </c>
      <c r="K233" t="s">
        <v>16</v>
      </c>
    </row>
    <row r="234" spans="1:11" x14ac:dyDescent="0.25">
      <c r="A234">
        <v>600</v>
      </c>
      <c r="B234">
        <v>27.85</v>
      </c>
      <c r="C234" t="s">
        <v>21</v>
      </c>
      <c r="D234" t="s">
        <v>15</v>
      </c>
      <c r="E234">
        <v>600</v>
      </c>
      <c r="F234">
        <v>14.6</v>
      </c>
      <c r="G234">
        <v>12.75</v>
      </c>
      <c r="H234">
        <v>0.78</v>
      </c>
      <c r="I234">
        <v>2.8</v>
      </c>
      <c r="J234">
        <v>19</v>
      </c>
      <c r="K234" t="s">
        <v>23</v>
      </c>
    </row>
    <row r="235" spans="1:11" x14ac:dyDescent="0.25">
      <c r="A235">
        <v>1200</v>
      </c>
      <c r="B235">
        <v>25.26</v>
      </c>
      <c r="C235" t="s">
        <v>19</v>
      </c>
      <c r="D235" t="s">
        <v>12</v>
      </c>
      <c r="E235">
        <v>2500</v>
      </c>
      <c r="F235">
        <v>-9.8000000000000007</v>
      </c>
      <c r="G235">
        <v>9.52</v>
      </c>
      <c r="H235">
        <v>8.18</v>
      </c>
      <c r="I235">
        <v>32.380000000000003</v>
      </c>
      <c r="J235">
        <v>13</v>
      </c>
      <c r="K235" t="s">
        <v>16</v>
      </c>
    </row>
    <row r="236" spans="1:11" x14ac:dyDescent="0.25">
      <c r="A236">
        <v>150</v>
      </c>
      <c r="B236">
        <v>6.96</v>
      </c>
      <c r="C236" t="s">
        <v>11</v>
      </c>
      <c r="D236" t="s">
        <v>15</v>
      </c>
      <c r="E236">
        <v>600</v>
      </c>
      <c r="F236">
        <v>53.8</v>
      </c>
      <c r="G236">
        <v>2.38</v>
      </c>
      <c r="H236">
        <v>8.69</v>
      </c>
      <c r="I236">
        <v>124.86</v>
      </c>
      <c r="J236">
        <v>3</v>
      </c>
      <c r="K236" t="s">
        <v>16</v>
      </c>
    </row>
    <row r="237" spans="1:11" x14ac:dyDescent="0.25">
      <c r="A237">
        <v>50</v>
      </c>
      <c r="B237">
        <v>3.69</v>
      </c>
      <c r="C237" t="s">
        <v>11</v>
      </c>
      <c r="D237" t="s">
        <v>12</v>
      </c>
      <c r="E237">
        <v>600</v>
      </c>
      <c r="F237">
        <v>-13.4</v>
      </c>
      <c r="G237">
        <v>18.100000000000001</v>
      </c>
      <c r="H237">
        <v>8.2899999999999991</v>
      </c>
      <c r="I237">
        <v>224.66</v>
      </c>
      <c r="J237">
        <v>5</v>
      </c>
      <c r="K237" t="s">
        <v>16</v>
      </c>
    </row>
    <row r="238" spans="1:11" x14ac:dyDescent="0.25">
      <c r="A238">
        <v>50</v>
      </c>
      <c r="B238">
        <v>5.5</v>
      </c>
      <c r="C238" t="s">
        <v>21</v>
      </c>
      <c r="D238" t="s">
        <v>18</v>
      </c>
      <c r="E238">
        <v>1500</v>
      </c>
      <c r="F238">
        <v>53.7</v>
      </c>
      <c r="G238">
        <v>1.59</v>
      </c>
      <c r="H238">
        <v>2.7</v>
      </c>
      <c r="I238">
        <v>49.09</v>
      </c>
      <c r="J238">
        <v>3</v>
      </c>
      <c r="K238" t="s">
        <v>13</v>
      </c>
    </row>
    <row r="239" spans="1:11" x14ac:dyDescent="0.25">
      <c r="A239">
        <v>150</v>
      </c>
      <c r="B239">
        <v>6.24</v>
      </c>
      <c r="C239" t="s">
        <v>19</v>
      </c>
      <c r="D239" t="s">
        <v>17</v>
      </c>
      <c r="E239">
        <v>1500</v>
      </c>
      <c r="F239">
        <v>30.8</v>
      </c>
      <c r="G239">
        <v>4.1100000000000003</v>
      </c>
      <c r="H239">
        <v>5.58</v>
      </c>
      <c r="I239">
        <v>89.42</v>
      </c>
      <c r="J239">
        <v>11</v>
      </c>
      <c r="K239" t="s">
        <v>16</v>
      </c>
    </row>
    <row r="240" spans="1:11" x14ac:dyDescent="0.25">
      <c r="A240">
        <v>600</v>
      </c>
      <c r="B240">
        <v>22.17</v>
      </c>
      <c r="C240" t="s">
        <v>14</v>
      </c>
      <c r="D240" t="s">
        <v>17</v>
      </c>
      <c r="E240">
        <v>150</v>
      </c>
      <c r="F240">
        <v>36.1</v>
      </c>
      <c r="G240">
        <v>17.920000000000002</v>
      </c>
      <c r="H240">
        <v>4.0999999999999996</v>
      </c>
      <c r="I240">
        <v>18.489999999999998</v>
      </c>
      <c r="J240">
        <v>4</v>
      </c>
      <c r="K240" t="s">
        <v>13</v>
      </c>
    </row>
    <row r="241" spans="1:11" x14ac:dyDescent="0.25">
      <c r="A241">
        <v>100</v>
      </c>
      <c r="B241">
        <v>5.72</v>
      </c>
      <c r="C241" t="s">
        <v>21</v>
      </c>
      <c r="D241" t="s">
        <v>17</v>
      </c>
      <c r="E241">
        <v>300</v>
      </c>
      <c r="F241">
        <v>12.3</v>
      </c>
      <c r="G241">
        <v>11.19</v>
      </c>
      <c r="H241">
        <v>6.79</v>
      </c>
      <c r="I241">
        <v>118.71</v>
      </c>
      <c r="J241">
        <v>12</v>
      </c>
      <c r="K241" t="s">
        <v>16</v>
      </c>
    </row>
    <row r="242" spans="1:11" x14ac:dyDescent="0.25">
      <c r="A242">
        <v>100</v>
      </c>
      <c r="B242">
        <v>4.1399999999999997</v>
      </c>
      <c r="C242" t="s">
        <v>11</v>
      </c>
      <c r="D242" t="s">
        <v>18</v>
      </c>
      <c r="E242">
        <v>600</v>
      </c>
      <c r="F242">
        <v>19.3</v>
      </c>
      <c r="G242">
        <v>10.6</v>
      </c>
      <c r="H242">
        <v>8.34</v>
      </c>
      <c r="I242">
        <v>201.45</v>
      </c>
      <c r="J242">
        <v>21</v>
      </c>
      <c r="K242" t="s">
        <v>16</v>
      </c>
    </row>
    <row r="243" spans="1:11" x14ac:dyDescent="0.25">
      <c r="A243">
        <v>1500</v>
      </c>
      <c r="B243">
        <v>31.27</v>
      </c>
      <c r="C243" t="s">
        <v>21</v>
      </c>
      <c r="D243" t="s">
        <v>12</v>
      </c>
      <c r="E243">
        <v>150</v>
      </c>
      <c r="F243">
        <v>69</v>
      </c>
      <c r="G243">
        <v>16.489999999999998</v>
      </c>
      <c r="H243">
        <v>6.96</v>
      </c>
      <c r="I243">
        <v>22.26</v>
      </c>
      <c r="J243">
        <v>10</v>
      </c>
      <c r="K243" t="s">
        <v>16</v>
      </c>
    </row>
    <row r="244" spans="1:11" x14ac:dyDescent="0.25">
      <c r="A244">
        <v>800</v>
      </c>
      <c r="B244">
        <v>24.36</v>
      </c>
      <c r="C244" t="s">
        <v>19</v>
      </c>
      <c r="D244" t="s">
        <v>17</v>
      </c>
      <c r="E244">
        <v>600</v>
      </c>
      <c r="F244">
        <v>116.6</v>
      </c>
      <c r="G244">
        <v>3.27</v>
      </c>
      <c r="H244">
        <v>5.57</v>
      </c>
      <c r="I244">
        <v>22.87</v>
      </c>
      <c r="J244">
        <v>9</v>
      </c>
      <c r="K244" t="s">
        <v>16</v>
      </c>
    </row>
    <row r="245" spans="1:11" x14ac:dyDescent="0.25">
      <c r="A245">
        <v>1500</v>
      </c>
      <c r="B245">
        <v>43.2</v>
      </c>
      <c r="C245" t="s">
        <v>11</v>
      </c>
      <c r="D245" t="s">
        <v>12</v>
      </c>
      <c r="E245">
        <v>900</v>
      </c>
      <c r="F245">
        <v>48.7</v>
      </c>
      <c r="G245">
        <v>13.27</v>
      </c>
      <c r="H245">
        <v>5.5</v>
      </c>
      <c r="I245">
        <v>12.73</v>
      </c>
      <c r="J245">
        <v>4</v>
      </c>
      <c r="K245" t="s">
        <v>16</v>
      </c>
    </row>
    <row r="246" spans="1:11" x14ac:dyDescent="0.25">
      <c r="A246">
        <v>800</v>
      </c>
      <c r="B246">
        <v>30.44</v>
      </c>
      <c r="C246" t="s">
        <v>19</v>
      </c>
      <c r="D246" t="s">
        <v>18</v>
      </c>
      <c r="E246">
        <v>900</v>
      </c>
      <c r="F246">
        <v>15.8</v>
      </c>
      <c r="G246">
        <v>2.16</v>
      </c>
      <c r="H246">
        <v>4.9800000000000004</v>
      </c>
      <c r="I246">
        <v>16.36</v>
      </c>
      <c r="J246">
        <v>4</v>
      </c>
      <c r="K246" t="s">
        <v>13</v>
      </c>
    </row>
    <row r="247" spans="1:11" x14ac:dyDescent="0.25">
      <c r="A247">
        <v>200</v>
      </c>
      <c r="B247">
        <v>7.82</v>
      </c>
      <c r="C247" t="s">
        <v>14</v>
      </c>
      <c r="D247" t="s">
        <v>18</v>
      </c>
      <c r="E247">
        <v>2500</v>
      </c>
      <c r="F247">
        <v>-0.5</v>
      </c>
      <c r="G247">
        <v>16</v>
      </c>
      <c r="H247">
        <v>3.75</v>
      </c>
      <c r="I247">
        <v>47.95</v>
      </c>
      <c r="J247">
        <v>14</v>
      </c>
      <c r="K247" t="s">
        <v>13</v>
      </c>
    </row>
    <row r="248" spans="1:11" x14ac:dyDescent="0.25">
      <c r="A248">
        <v>400</v>
      </c>
      <c r="B248">
        <v>12.31</v>
      </c>
      <c r="C248" t="s">
        <v>11</v>
      </c>
      <c r="D248" t="s">
        <v>15</v>
      </c>
      <c r="E248">
        <v>150</v>
      </c>
      <c r="F248">
        <v>-15.5</v>
      </c>
      <c r="G248">
        <v>4.47</v>
      </c>
      <c r="H248">
        <v>5.41</v>
      </c>
      <c r="I248">
        <v>43.95</v>
      </c>
      <c r="J248">
        <v>11</v>
      </c>
      <c r="K248" t="s">
        <v>16</v>
      </c>
    </row>
    <row r="249" spans="1:11" x14ac:dyDescent="0.25">
      <c r="A249">
        <v>400</v>
      </c>
      <c r="B249">
        <v>8.35</v>
      </c>
      <c r="C249" t="s">
        <v>19</v>
      </c>
      <c r="D249" t="s">
        <v>15</v>
      </c>
      <c r="E249">
        <v>2500</v>
      </c>
      <c r="F249">
        <v>-9.1999999999999993</v>
      </c>
      <c r="G249">
        <v>1.94</v>
      </c>
      <c r="H249">
        <v>8.44</v>
      </c>
      <c r="I249">
        <v>101.08</v>
      </c>
      <c r="J249">
        <v>9</v>
      </c>
      <c r="K249" t="s">
        <v>16</v>
      </c>
    </row>
    <row r="250" spans="1:11" x14ac:dyDescent="0.25">
      <c r="A250">
        <v>1500</v>
      </c>
      <c r="B250">
        <v>33.409999999999997</v>
      </c>
      <c r="C250" t="s">
        <v>14</v>
      </c>
      <c r="D250" t="s">
        <v>15</v>
      </c>
      <c r="E250">
        <v>300</v>
      </c>
      <c r="F250">
        <v>54.7</v>
      </c>
      <c r="G250">
        <v>10.59</v>
      </c>
      <c r="H250">
        <v>9.85</v>
      </c>
      <c r="I250">
        <v>29.48</v>
      </c>
      <c r="J250">
        <v>8</v>
      </c>
      <c r="K250" t="s">
        <v>16</v>
      </c>
    </row>
    <row r="251" spans="1:11" x14ac:dyDescent="0.25">
      <c r="A251">
        <v>200</v>
      </c>
      <c r="B251">
        <v>7.74</v>
      </c>
      <c r="C251" t="s">
        <v>11</v>
      </c>
      <c r="D251" t="s">
        <v>17</v>
      </c>
      <c r="E251">
        <v>900</v>
      </c>
      <c r="F251">
        <v>-25.9</v>
      </c>
      <c r="G251">
        <v>1.27</v>
      </c>
      <c r="H251">
        <v>0.64</v>
      </c>
      <c r="I251">
        <v>8.27</v>
      </c>
      <c r="J251">
        <v>1</v>
      </c>
      <c r="K251" t="s">
        <v>23</v>
      </c>
    </row>
    <row r="252" spans="1:11" x14ac:dyDescent="0.25">
      <c r="A252">
        <v>300</v>
      </c>
      <c r="B252">
        <v>8.68</v>
      </c>
      <c r="C252" t="s">
        <v>19</v>
      </c>
      <c r="D252" t="s">
        <v>17</v>
      </c>
      <c r="E252">
        <v>300</v>
      </c>
      <c r="F252">
        <v>-21</v>
      </c>
      <c r="G252">
        <v>4.76</v>
      </c>
      <c r="H252">
        <v>6.01</v>
      </c>
      <c r="I252">
        <v>69.239999999999995</v>
      </c>
      <c r="J252">
        <v>22</v>
      </c>
      <c r="K252" t="s">
        <v>16</v>
      </c>
    </row>
    <row r="253" spans="1:11" x14ac:dyDescent="0.25">
      <c r="A253">
        <v>1200</v>
      </c>
      <c r="B253">
        <v>22.53</v>
      </c>
      <c r="C253" t="s">
        <v>19</v>
      </c>
      <c r="D253" t="s">
        <v>12</v>
      </c>
      <c r="E253">
        <v>150</v>
      </c>
      <c r="F253">
        <v>17.8</v>
      </c>
      <c r="G253">
        <v>13.58</v>
      </c>
      <c r="H253">
        <v>4.1100000000000003</v>
      </c>
      <c r="I253">
        <v>18.239999999999998</v>
      </c>
      <c r="J253">
        <v>7</v>
      </c>
      <c r="K253" t="s">
        <v>13</v>
      </c>
    </row>
    <row r="254" spans="1:11" x14ac:dyDescent="0.25">
      <c r="A254">
        <v>250</v>
      </c>
      <c r="B254">
        <v>10.95</v>
      </c>
      <c r="C254" t="s">
        <v>21</v>
      </c>
      <c r="D254" t="s">
        <v>15</v>
      </c>
      <c r="E254">
        <v>2500</v>
      </c>
      <c r="F254">
        <v>11.7</v>
      </c>
      <c r="G254">
        <v>8.82</v>
      </c>
      <c r="H254">
        <v>4.04</v>
      </c>
      <c r="I254">
        <v>36.89</v>
      </c>
      <c r="J254">
        <v>24</v>
      </c>
      <c r="K254" t="s">
        <v>13</v>
      </c>
    </row>
    <row r="255" spans="1:11" x14ac:dyDescent="0.25">
      <c r="A255">
        <v>100</v>
      </c>
      <c r="B255">
        <v>4.8899999999999997</v>
      </c>
      <c r="C255" t="s">
        <v>11</v>
      </c>
      <c r="D255" t="s">
        <v>12</v>
      </c>
      <c r="E255">
        <v>600</v>
      </c>
      <c r="F255">
        <v>2.4</v>
      </c>
      <c r="G255">
        <v>2.5099999999999998</v>
      </c>
      <c r="H255">
        <v>0.61</v>
      </c>
      <c r="I255">
        <v>12.47</v>
      </c>
      <c r="J255">
        <v>8</v>
      </c>
      <c r="K255" t="s">
        <v>23</v>
      </c>
    </row>
    <row r="256" spans="1:11" x14ac:dyDescent="0.25">
      <c r="A256">
        <v>50</v>
      </c>
      <c r="B256">
        <v>5.62</v>
      </c>
      <c r="C256" t="s">
        <v>14</v>
      </c>
      <c r="D256" t="s">
        <v>18</v>
      </c>
      <c r="E256">
        <v>900</v>
      </c>
      <c r="F256">
        <v>42.2</v>
      </c>
      <c r="G256">
        <v>0.44</v>
      </c>
      <c r="H256">
        <v>6.21</v>
      </c>
      <c r="I256">
        <v>110.5</v>
      </c>
      <c r="J256">
        <v>20</v>
      </c>
      <c r="K256" t="s">
        <v>16</v>
      </c>
    </row>
    <row r="257" spans="1:11" x14ac:dyDescent="0.25">
      <c r="A257">
        <v>300</v>
      </c>
      <c r="B257">
        <v>15.95</v>
      </c>
      <c r="C257" t="s">
        <v>21</v>
      </c>
      <c r="D257" t="s">
        <v>18</v>
      </c>
      <c r="E257">
        <v>1500</v>
      </c>
      <c r="F257">
        <v>26</v>
      </c>
      <c r="G257">
        <v>15.26</v>
      </c>
      <c r="H257">
        <v>0.94</v>
      </c>
      <c r="I257">
        <v>5.89</v>
      </c>
      <c r="J257">
        <v>16</v>
      </c>
      <c r="K257" t="s">
        <v>23</v>
      </c>
    </row>
    <row r="258" spans="1:11" x14ac:dyDescent="0.25">
      <c r="A258">
        <v>50</v>
      </c>
      <c r="B258">
        <v>3.04</v>
      </c>
      <c r="C258" t="s">
        <v>11</v>
      </c>
      <c r="D258" t="s">
        <v>15</v>
      </c>
      <c r="E258">
        <v>300</v>
      </c>
      <c r="F258">
        <v>32.6</v>
      </c>
      <c r="G258">
        <v>4.5999999999999996</v>
      </c>
      <c r="H258">
        <v>9.69</v>
      </c>
      <c r="I258">
        <v>318.75</v>
      </c>
      <c r="J258">
        <v>15</v>
      </c>
      <c r="K258" t="s">
        <v>16</v>
      </c>
    </row>
    <row r="259" spans="1:11" x14ac:dyDescent="0.25">
      <c r="A259">
        <v>400</v>
      </c>
      <c r="B259">
        <v>17.32</v>
      </c>
      <c r="C259" t="s">
        <v>21</v>
      </c>
      <c r="D259" t="s">
        <v>17</v>
      </c>
      <c r="E259">
        <v>900</v>
      </c>
      <c r="F259">
        <v>31.4</v>
      </c>
      <c r="G259">
        <v>1.33</v>
      </c>
      <c r="H259">
        <v>1.79</v>
      </c>
      <c r="I259">
        <v>10.33</v>
      </c>
      <c r="J259">
        <v>12</v>
      </c>
      <c r="K259" t="s">
        <v>23</v>
      </c>
    </row>
    <row r="260" spans="1:11" x14ac:dyDescent="0.25">
      <c r="A260">
        <v>100</v>
      </c>
      <c r="B260">
        <v>5.21</v>
      </c>
      <c r="C260" t="s">
        <v>22</v>
      </c>
      <c r="D260" t="s">
        <v>15</v>
      </c>
      <c r="E260">
        <v>300</v>
      </c>
      <c r="F260">
        <v>67.5</v>
      </c>
      <c r="G260">
        <v>2.93</v>
      </c>
      <c r="H260">
        <v>5.76</v>
      </c>
      <c r="I260">
        <v>110.56</v>
      </c>
      <c r="J260">
        <v>19</v>
      </c>
      <c r="K260" t="s">
        <v>16</v>
      </c>
    </row>
    <row r="261" spans="1:11" x14ac:dyDescent="0.25">
      <c r="A261">
        <v>500</v>
      </c>
      <c r="B261">
        <v>24.44</v>
      </c>
      <c r="C261" t="s">
        <v>14</v>
      </c>
      <c r="D261" t="s">
        <v>12</v>
      </c>
      <c r="E261">
        <v>300</v>
      </c>
      <c r="F261">
        <v>11.9</v>
      </c>
      <c r="G261">
        <v>12.93</v>
      </c>
      <c r="H261">
        <v>6.75</v>
      </c>
      <c r="I261">
        <v>27.62</v>
      </c>
      <c r="J261">
        <v>10</v>
      </c>
      <c r="K261" t="s">
        <v>16</v>
      </c>
    </row>
    <row r="262" spans="1:11" x14ac:dyDescent="0.25">
      <c r="A262">
        <v>1200</v>
      </c>
      <c r="B262">
        <v>34.299999999999997</v>
      </c>
      <c r="C262" t="s">
        <v>11</v>
      </c>
      <c r="D262" t="s">
        <v>15</v>
      </c>
      <c r="E262">
        <v>150</v>
      </c>
      <c r="F262">
        <v>89.3</v>
      </c>
      <c r="G262">
        <v>6.74</v>
      </c>
      <c r="H262">
        <v>3.16</v>
      </c>
      <c r="I262">
        <v>9.2100000000000009</v>
      </c>
      <c r="J262">
        <v>5</v>
      </c>
      <c r="K262" t="s">
        <v>13</v>
      </c>
    </row>
    <row r="263" spans="1:11" x14ac:dyDescent="0.25">
      <c r="A263">
        <v>150</v>
      </c>
      <c r="B263">
        <v>6.58</v>
      </c>
      <c r="C263" t="s">
        <v>11</v>
      </c>
      <c r="D263" t="s">
        <v>12</v>
      </c>
      <c r="E263">
        <v>2500</v>
      </c>
      <c r="F263">
        <v>95.9</v>
      </c>
      <c r="G263">
        <v>10.16</v>
      </c>
      <c r="H263">
        <v>6.98</v>
      </c>
      <c r="I263">
        <v>106.08</v>
      </c>
      <c r="J263">
        <v>22</v>
      </c>
      <c r="K263" t="s">
        <v>16</v>
      </c>
    </row>
    <row r="264" spans="1:11" x14ac:dyDescent="0.25">
      <c r="A264">
        <v>400</v>
      </c>
      <c r="B264">
        <v>15.23</v>
      </c>
      <c r="C264" t="s">
        <v>19</v>
      </c>
      <c r="D264" t="s">
        <v>12</v>
      </c>
      <c r="E264">
        <v>300</v>
      </c>
      <c r="F264">
        <v>44.5</v>
      </c>
      <c r="G264">
        <v>5.53</v>
      </c>
      <c r="H264">
        <v>4.54</v>
      </c>
      <c r="I264">
        <v>29.81</v>
      </c>
      <c r="J264">
        <v>1</v>
      </c>
      <c r="K264" t="s">
        <v>13</v>
      </c>
    </row>
    <row r="265" spans="1:11" x14ac:dyDescent="0.25">
      <c r="A265">
        <v>50</v>
      </c>
      <c r="B265">
        <v>3.25</v>
      </c>
      <c r="C265" t="s">
        <v>21</v>
      </c>
      <c r="D265" t="s">
        <v>12</v>
      </c>
      <c r="E265">
        <v>1500</v>
      </c>
      <c r="F265">
        <v>34.6</v>
      </c>
      <c r="G265">
        <v>5.32</v>
      </c>
      <c r="H265">
        <v>9.52</v>
      </c>
      <c r="I265">
        <v>292.92</v>
      </c>
      <c r="J265">
        <v>11</v>
      </c>
      <c r="K265" t="s">
        <v>16</v>
      </c>
    </row>
    <row r="266" spans="1:11" x14ac:dyDescent="0.25">
      <c r="A266">
        <v>500</v>
      </c>
      <c r="B266">
        <v>14.29</v>
      </c>
      <c r="C266" t="s">
        <v>22</v>
      </c>
      <c r="D266" t="s">
        <v>17</v>
      </c>
      <c r="E266">
        <v>2500</v>
      </c>
      <c r="F266">
        <v>21.4</v>
      </c>
      <c r="G266">
        <v>4.5</v>
      </c>
      <c r="H266">
        <v>8.42</v>
      </c>
      <c r="I266">
        <v>58.92</v>
      </c>
      <c r="J266">
        <v>18</v>
      </c>
      <c r="K266" t="s">
        <v>16</v>
      </c>
    </row>
    <row r="267" spans="1:11" x14ac:dyDescent="0.25">
      <c r="A267">
        <v>1500</v>
      </c>
      <c r="B267">
        <v>44.29</v>
      </c>
      <c r="C267" t="s">
        <v>14</v>
      </c>
      <c r="D267" t="s">
        <v>15</v>
      </c>
      <c r="E267">
        <v>600</v>
      </c>
      <c r="F267">
        <v>54.1</v>
      </c>
      <c r="G267">
        <v>12.97</v>
      </c>
      <c r="H267">
        <v>1.59</v>
      </c>
      <c r="I267">
        <v>3.59</v>
      </c>
      <c r="J267">
        <v>4</v>
      </c>
      <c r="K267" t="s">
        <v>23</v>
      </c>
    </row>
    <row r="268" spans="1:11" x14ac:dyDescent="0.25">
      <c r="A268">
        <v>1000</v>
      </c>
      <c r="B268">
        <v>31.28</v>
      </c>
      <c r="C268" t="s">
        <v>22</v>
      </c>
      <c r="D268" t="s">
        <v>20</v>
      </c>
      <c r="E268">
        <v>1500</v>
      </c>
      <c r="F268">
        <v>30</v>
      </c>
      <c r="G268">
        <v>3.04</v>
      </c>
      <c r="H268">
        <v>9.7100000000000009</v>
      </c>
      <c r="I268">
        <v>31.04</v>
      </c>
      <c r="J268">
        <v>16</v>
      </c>
      <c r="K268" t="s">
        <v>16</v>
      </c>
    </row>
    <row r="269" spans="1:11" x14ac:dyDescent="0.25">
      <c r="A269">
        <v>1200</v>
      </c>
      <c r="B269">
        <v>37.119999999999997</v>
      </c>
      <c r="C269" t="s">
        <v>22</v>
      </c>
      <c r="D269" t="s">
        <v>15</v>
      </c>
      <c r="E269">
        <v>2500</v>
      </c>
      <c r="F269">
        <v>102.2</v>
      </c>
      <c r="G269">
        <v>8.3000000000000007</v>
      </c>
      <c r="H269">
        <v>5.86</v>
      </c>
      <c r="I269">
        <v>15.79</v>
      </c>
      <c r="J269">
        <v>20</v>
      </c>
      <c r="K269" t="s">
        <v>16</v>
      </c>
    </row>
    <row r="270" spans="1:11" x14ac:dyDescent="0.25">
      <c r="A270">
        <v>800</v>
      </c>
      <c r="B270">
        <v>25.85</v>
      </c>
      <c r="C270" t="s">
        <v>22</v>
      </c>
      <c r="D270" t="s">
        <v>20</v>
      </c>
      <c r="E270">
        <v>1500</v>
      </c>
      <c r="F270">
        <v>21.4</v>
      </c>
      <c r="G270">
        <v>9.85</v>
      </c>
      <c r="H270">
        <v>1.36</v>
      </c>
      <c r="I270">
        <v>5.26</v>
      </c>
      <c r="J270">
        <v>8</v>
      </c>
      <c r="K270" t="s">
        <v>23</v>
      </c>
    </row>
    <row r="271" spans="1:11" x14ac:dyDescent="0.25">
      <c r="A271">
        <v>100</v>
      </c>
      <c r="B271">
        <v>4.55</v>
      </c>
      <c r="C271" t="s">
        <v>22</v>
      </c>
      <c r="D271" t="s">
        <v>15</v>
      </c>
      <c r="E271">
        <v>600</v>
      </c>
      <c r="F271">
        <v>62.3</v>
      </c>
      <c r="G271">
        <v>9.8699999999999992</v>
      </c>
      <c r="H271">
        <v>8.5299999999999994</v>
      </c>
      <c r="I271">
        <v>187.47</v>
      </c>
      <c r="J271">
        <v>25</v>
      </c>
      <c r="K271" t="s">
        <v>16</v>
      </c>
    </row>
    <row r="272" spans="1:11" x14ac:dyDescent="0.25">
      <c r="A272">
        <v>1500</v>
      </c>
      <c r="B272">
        <v>47.27</v>
      </c>
      <c r="C272" t="s">
        <v>19</v>
      </c>
      <c r="D272" t="s">
        <v>15</v>
      </c>
      <c r="E272">
        <v>600</v>
      </c>
      <c r="F272">
        <v>0.6</v>
      </c>
      <c r="G272">
        <v>8.51</v>
      </c>
      <c r="H272">
        <v>3.84</v>
      </c>
      <c r="I272">
        <v>8.1199999999999992</v>
      </c>
      <c r="J272">
        <v>9</v>
      </c>
      <c r="K272" t="s">
        <v>13</v>
      </c>
    </row>
    <row r="273" spans="1:11" x14ac:dyDescent="0.25">
      <c r="A273">
        <v>150</v>
      </c>
      <c r="B273">
        <v>6.25</v>
      </c>
      <c r="C273" t="s">
        <v>21</v>
      </c>
      <c r="D273" t="s">
        <v>15</v>
      </c>
      <c r="E273">
        <v>2500</v>
      </c>
      <c r="F273">
        <v>-36.4</v>
      </c>
      <c r="G273">
        <v>12.69</v>
      </c>
      <c r="H273">
        <v>8.31</v>
      </c>
      <c r="I273">
        <v>132.96</v>
      </c>
      <c r="J273">
        <v>20</v>
      </c>
      <c r="K273" t="s">
        <v>16</v>
      </c>
    </row>
    <row r="274" spans="1:11" x14ac:dyDescent="0.25">
      <c r="A274">
        <v>1500</v>
      </c>
      <c r="B274">
        <v>34.770000000000003</v>
      </c>
      <c r="C274" t="s">
        <v>11</v>
      </c>
      <c r="D274" t="s">
        <v>17</v>
      </c>
      <c r="E274">
        <v>2500</v>
      </c>
      <c r="F274">
        <v>127</v>
      </c>
      <c r="G274">
        <v>13.73</v>
      </c>
      <c r="H274">
        <v>5.56</v>
      </c>
      <c r="I274">
        <v>15.99</v>
      </c>
      <c r="J274">
        <v>21</v>
      </c>
      <c r="K274" t="s">
        <v>16</v>
      </c>
    </row>
    <row r="275" spans="1:11" x14ac:dyDescent="0.25">
      <c r="A275">
        <v>250</v>
      </c>
      <c r="B275">
        <v>9.9</v>
      </c>
      <c r="C275" t="s">
        <v>19</v>
      </c>
      <c r="D275" t="s">
        <v>20</v>
      </c>
      <c r="E275">
        <v>150</v>
      </c>
      <c r="F275">
        <v>21.9</v>
      </c>
      <c r="G275">
        <v>0.33</v>
      </c>
      <c r="H275">
        <v>6.21</v>
      </c>
      <c r="I275">
        <v>62.73</v>
      </c>
      <c r="J275">
        <v>17</v>
      </c>
      <c r="K275" t="s">
        <v>16</v>
      </c>
    </row>
    <row r="276" spans="1:11" x14ac:dyDescent="0.25">
      <c r="A276">
        <v>100</v>
      </c>
      <c r="B276">
        <v>6.3</v>
      </c>
      <c r="C276" t="s">
        <v>14</v>
      </c>
      <c r="D276" t="s">
        <v>15</v>
      </c>
      <c r="E276">
        <v>150</v>
      </c>
      <c r="F276">
        <v>20.2</v>
      </c>
      <c r="G276">
        <v>1.08</v>
      </c>
      <c r="H276">
        <v>5.0599999999999996</v>
      </c>
      <c r="I276">
        <v>80.319999999999993</v>
      </c>
      <c r="J276">
        <v>8</v>
      </c>
      <c r="K276" t="s">
        <v>16</v>
      </c>
    </row>
    <row r="277" spans="1:11" x14ac:dyDescent="0.25">
      <c r="A277">
        <v>1000</v>
      </c>
      <c r="B277">
        <v>28.47</v>
      </c>
      <c r="C277" t="s">
        <v>19</v>
      </c>
      <c r="D277" t="s">
        <v>12</v>
      </c>
      <c r="E277">
        <v>900</v>
      </c>
      <c r="F277">
        <v>58.5</v>
      </c>
      <c r="G277">
        <v>8.4</v>
      </c>
      <c r="H277">
        <v>0.71</v>
      </c>
      <c r="I277">
        <v>2.4900000000000002</v>
      </c>
      <c r="J277">
        <v>10</v>
      </c>
      <c r="K277" t="s">
        <v>23</v>
      </c>
    </row>
    <row r="278" spans="1:11" x14ac:dyDescent="0.25">
      <c r="A278">
        <v>600</v>
      </c>
      <c r="B278">
        <v>23.1</v>
      </c>
      <c r="C278" t="s">
        <v>14</v>
      </c>
      <c r="D278" t="s">
        <v>12</v>
      </c>
      <c r="E278">
        <v>2500</v>
      </c>
      <c r="F278">
        <v>41.9</v>
      </c>
      <c r="G278">
        <v>15.62</v>
      </c>
      <c r="H278">
        <v>7.28</v>
      </c>
      <c r="I278">
        <v>31.52</v>
      </c>
      <c r="J278">
        <v>25</v>
      </c>
      <c r="K278" t="s">
        <v>16</v>
      </c>
    </row>
    <row r="279" spans="1:11" x14ac:dyDescent="0.25">
      <c r="A279">
        <v>800</v>
      </c>
      <c r="B279">
        <v>19.82</v>
      </c>
      <c r="C279" t="s">
        <v>21</v>
      </c>
      <c r="D279" t="s">
        <v>15</v>
      </c>
      <c r="E279">
        <v>900</v>
      </c>
      <c r="F279">
        <v>14.3</v>
      </c>
      <c r="G279">
        <v>15.34</v>
      </c>
      <c r="H279">
        <v>2.63</v>
      </c>
      <c r="I279">
        <v>13.27</v>
      </c>
      <c r="J279">
        <v>18</v>
      </c>
      <c r="K279" t="s">
        <v>13</v>
      </c>
    </row>
    <row r="280" spans="1:11" x14ac:dyDescent="0.25">
      <c r="A280">
        <v>200</v>
      </c>
      <c r="B280">
        <v>8.01</v>
      </c>
      <c r="C280" t="s">
        <v>14</v>
      </c>
      <c r="D280" t="s">
        <v>12</v>
      </c>
      <c r="E280">
        <v>900</v>
      </c>
      <c r="F280">
        <v>35.299999999999997</v>
      </c>
      <c r="G280">
        <v>2.73</v>
      </c>
      <c r="H280">
        <v>5.0999999999999996</v>
      </c>
      <c r="I280">
        <v>63.67</v>
      </c>
      <c r="J280">
        <v>22</v>
      </c>
      <c r="K280" t="s">
        <v>16</v>
      </c>
    </row>
    <row r="281" spans="1:11" x14ac:dyDescent="0.25">
      <c r="A281">
        <v>50</v>
      </c>
      <c r="B281">
        <v>3.03</v>
      </c>
      <c r="C281" t="s">
        <v>22</v>
      </c>
      <c r="D281" t="s">
        <v>15</v>
      </c>
      <c r="E281">
        <v>1500</v>
      </c>
      <c r="F281">
        <v>32.299999999999997</v>
      </c>
      <c r="G281">
        <v>1.7</v>
      </c>
      <c r="H281">
        <v>5.19</v>
      </c>
      <c r="I281">
        <v>171.29</v>
      </c>
      <c r="J281">
        <v>10</v>
      </c>
      <c r="K281" t="s">
        <v>16</v>
      </c>
    </row>
    <row r="282" spans="1:11" x14ac:dyDescent="0.25">
      <c r="A282">
        <v>500</v>
      </c>
      <c r="B282">
        <v>16.18</v>
      </c>
      <c r="C282" t="s">
        <v>22</v>
      </c>
      <c r="D282" t="s">
        <v>15</v>
      </c>
      <c r="E282">
        <v>300</v>
      </c>
      <c r="F282">
        <v>18.100000000000001</v>
      </c>
      <c r="G282">
        <v>6.3</v>
      </c>
      <c r="H282">
        <v>7.77</v>
      </c>
      <c r="I282">
        <v>48.02</v>
      </c>
      <c r="J282">
        <v>8</v>
      </c>
      <c r="K282" t="s">
        <v>16</v>
      </c>
    </row>
    <row r="283" spans="1:11" x14ac:dyDescent="0.25">
      <c r="A283">
        <v>800</v>
      </c>
      <c r="B283">
        <v>25.94</v>
      </c>
      <c r="C283" t="s">
        <v>22</v>
      </c>
      <c r="D283" t="s">
        <v>17</v>
      </c>
      <c r="E283">
        <v>2500</v>
      </c>
      <c r="F283">
        <v>-8.1999999999999993</v>
      </c>
      <c r="G283">
        <v>16.89</v>
      </c>
      <c r="H283">
        <v>7.31</v>
      </c>
      <c r="I283">
        <v>28.18</v>
      </c>
      <c r="J283">
        <v>15</v>
      </c>
      <c r="K283" t="s">
        <v>16</v>
      </c>
    </row>
    <row r="284" spans="1:11" x14ac:dyDescent="0.25">
      <c r="A284">
        <v>100</v>
      </c>
      <c r="B284">
        <v>7.95</v>
      </c>
      <c r="C284" t="s">
        <v>14</v>
      </c>
      <c r="D284" t="s">
        <v>20</v>
      </c>
      <c r="E284">
        <v>2500</v>
      </c>
      <c r="F284">
        <v>9.5</v>
      </c>
      <c r="G284">
        <v>13.9</v>
      </c>
      <c r="H284">
        <v>1.71</v>
      </c>
      <c r="I284">
        <v>21.51</v>
      </c>
      <c r="J284">
        <v>13</v>
      </c>
      <c r="K284" t="s">
        <v>23</v>
      </c>
    </row>
    <row r="285" spans="1:11" x14ac:dyDescent="0.25">
      <c r="A285">
        <v>100</v>
      </c>
      <c r="B285">
        <v>5.96</v>
      </c>
      <c r="C285" t="s">
        <v>11</v>
      </c>
      <c r="D285" t="s">
        <v>20</v>
      </c>
      <c r="E285">
        <v>2500</v>
      </c>
      <c r="F285">
        <v>-22.2</v>
      </c>
      <c r="G285">
        <v>12.29</v>
      </c>
      <c r="H285">
        <v>3.89</v>
      </c>
      <c r="I285">
        <v>65.27</v>
      </c>
      <c r="J285">
        <v>19</v>
      </c>
      <c r="K285" t="s">
        <v>13</v>
      </c>
    </row>
    <row r="286" spans="1:11" x14ac:dyDescent="0.25">
      <c r="A286">
        <v>600</v>
      </c>
      <c r="B286">
        <v>22.74</v>
      </c>
      <c r="C286" t="s">
        <v>22</v>
      </c>
      <c r="D286" t="s">
        <v>15</v>
      </c>
      <c r="E286">
        <v>600</v>
      </c>
      <c r="F286">
        <v>58.3</v>
      </c>
      <c r="G286">
        <v>19.34</v>
      </c>
      <c r="H286">
        <v>8.0399999999999991</v>
      </c>
      <c r="I286">
        <v>35.36</v>
      </c>
      <c r="J286">
        <v>25</v>
      </c>
      <c r="K286" t="s">
        <v>16</v>
      </c>
    </row>
    <row r="287" spans="1:11" x14ac:dyDescent="0.25">
      <c r="A287">
        <v>500</v>
      </c>
      <c r="B287">
        <v>14.74</v>
      </c>
      <c r="C287" t="s">
        <v>19</v>
      </c>
      <c r="D287" t="s">
        <v>20</v>
      </c>
      <c r="E287">
        <v>150</v>
      </c>
      <c r="F287">
        <v>-37.6</v>
      </c>
      <c r="G287">
        <v>19.170000000000002</v>
      </c>
      <c r="H287">
        <v>4.33</v>
      </c>
      <c r="I287">
        <v>29.38</v>
      </c>
      <c r="J287">
        <v>14</v>
      </c>
      <c r="K287" t="s">
        <v>13</v>
      </c>
    </row>
    <row r="288" spans="1:11" x14ac:dyDescent="0.25">
      <c r="A288">
        <v>400</v>
      </c>
      <c r="B288">
        <v>17.53</v>
      </c>
      <c r="C288" t="s">
        <v>14</v>
      </c>
      <c r="D288" t="s">
        <v>20</v>
      </c>
      <c r="E288">
        <v>300</v>
      </c>
      <c r="F288">
        <v>83.6</v>
      </c>
      <c r="G288">
        <v>2.2799999999999998</v>
      </c>
      <c r="H288">
        <v>4.6399999999999997</v>
      </c>
      <c r="I288">
        <v>26.47</v>
      </c>
      <c r="J288">
        <v>19</v>
      </c>
      <c r="K288" t="s">
        <v>13</v>
      </c>
    </row>
    <row r="289" spans="1:11" x14ac:dyDescent="0.25">
      <c r="A289">
        <v>800</v>
      </c>
      <c r="B289">
        <v>23.62</v>
      </c>
      <c r="C289" t="s">
        <v>19</v>
      </c>
      <c r="D289" t="s">
        <v>15</v>
      </c>
      <c r="E289">
        <v>900</v>
      </c>
      <c r="F289">
        <v>-24.3</v>
      </c>
      <c r="G289">
        <v>10.58</v>
      </c>
      <c r="H289">
        <v>0.92</v>
      </c>
      <c r="I289">
        <v>3.9</v>
      </c>
      <c r="J289">
        <v>7</v>
      </c>
      <c r="K289" t="s">
        <v>23</v>
      </c>
    </row>
    <row r="290" spans="1:11" x14ac:dyDescent="0.25">
      <c r="A290">
        <v>100</v>
      </c>
      <c r="B290">
        <v>4.34</v>
      </c>
      <c r="C290" t="s">
        <v>22</v>
      </c>
      <c r="D290" t="s">
        <v>15</v>
      </c>
      <c r="E290">
        <v>900</v>
      </c>
      <c r="F290">
        <v>145.80000000000001</v>
      </c>
      <c r="G290">
        <v>6.75</v>
      </c>
      <c r="H290">
        <v>4.82</v>
      </c>
      <c r="I290">
        <v>111.06</v>
      </c>
      <c r="J290">
        <v>20</v>
      </c>
      <c r="K290" t="s">
        <v>13</v>
      </c>
    </row>
    <row r="291" spans="1:11" x14ac:dyDescent="0.25">
      <c r="A291">
        <v>800</v>
      </c>
      <c r="B291">
        <v>25.01</v>
      </c>
      <c r="C291" t="s">
        <v>21</v>
      </c>
      <c r="D291" t="s">
        <v>17</v>
      </c>
      <c r="E291">
        <v>900</v>
      </c>
      <c r="F291">
        <v>46.9</v>
      </c>
      <c r="G291">
        <v>13.68</v>
      </c>
      <c r="H291">
        <v>8.81</v>
      </c>
      <c r="I291">
        <v>35.229999999999997</v>
      </c>
      <c r="J291">
        <v>13</v>
      </c>
      <c r="K291" t="s">
        <v>16</v>
      </c>
    </row>
    <row r="292" spans="1:11" x14ac:dyDescent="0.25">
      <c r="A292">
        <v>600</v>
      </c>
      <c r="B292">
        <v>16.41</v>
      </c>
      <c r="C292" t="s">
        <v>19</v>
      </c>
      <c r="D292" t="s">
        <v>20</v>
      </c>
      <c r="E292">
        <v>600</v>
      </c>
      <c r="F292">
        <v>66.400000000000006</v>
      </c>
      <c r="G292">
        <v>1.02</v>
      </c>
      <c r="H292">
        <v>9.31</v>
      </c>
      <c r="I292">
        <v>56.73</v>
      </c>
      <c r="J292">
        <v>4</v>
      </c>
      <c r="K292" t="s">
        <v>16</v>
      </c>
    </row>
    <row r="293" spans="1:11" x14ac:dyDescent="0.25">
      <c r="A293">
        <v>1000</v>
      </c>
      <c r="B293">
        <v>29.23</v>
      </c>
      <c r="C293" t="s">
        <v>21</v>
      </c>
      <c r="D293" t="s">
        <v>15</v>
      </c>
      <c r="E293">
        <v>2500</v>
      </c>
      <c r="F293">
        <v>135</v>
      </c>
      <c r="G293">
        <v>4.6500000000000004</v>
      </c>
      <c r="H293">
        <v>8.4700000000000006</v>
      </c>
      <c r="I293">
        <v>28.98</v>
      </c>
      <c r="J293">
        <v>16</v>
      </c>
      <c r="K293" t="s">
        <v>16</v>
      </c>
    </row>
    <row r="294" spans="1:11" x14ac:dyDescent="0.25">
      <c r="A294">
        <v>800</v>
      </c>
      <c r="B294">
        <v>27.97</v>
      </c>
      <c r="C294" t="s">
        <v>21</v>
      </c>
      <c r="D294" t="s">
        <v>20</v>
      </c>
      <c r="E294">
        <v>2500</v>
      </c>
      <c r="F294">
        <v>72</v>
      </c>
      <c r="G294">
        <v>7.73</v>
      </c>
      <c r="H294">
        <v>0.88</v>
      </c>
      <c r="I294">
        <v>3.15</v>
      </c>
      <c r="J294">
        <v>17</v>
      </c>
      <c r="K294" t="s">
        <v>23</v>
      </c>
    </row>
    <row r="295" spans="1:11" x14ac:dyDescent="0.25">
      <c r="A295">
        <v>100</v>
      </c>
      <c r="B295">
        <v>4.13</v>
      </c>
      <c r="C295" t="s">
        <v>19</v>
      </c>
      <c r="D295" t="s">
        <v>17</v>
      </c>
      <c r="E295">
        <v>2500</v>
      </c>
      <c r="F295">
        <v>-17.899999999999999</v>
      </c>
      <c r="G295">
        <v>4.13</v>
      </c>
      <c r="H295">
        <v>3.1</v>
      </c>
      <c r="I295">
        <v>75.06</v>
      </c>
      <c r="J295">
        <v>18</v>
      </c>
      <c r="K295" t="s">
        <v>13</v>
      </c>
    </row>
    <row r="296" spans="1:11" x14ac:dyDescent="0.25">
      <c r="A296">
        <v>1000</v>
      </c>
      <c r="B296">
        <v>21.35</v>
      </c>
      <c r="C296" t="s">
        <v>21</v>
      </c>
      <c r="D296" t="s">
        <v>12</v>
      </c>
      <c r="E296">
        <v>150</v>
      </c>
      <c r="F296">
        <v>53.1</v>
      </c>
      <c r="G296">
        <v>20</v>
      </c>
      <c r="H296">
        <v>7.27</v>
      </c>
      <c r="I296">
        <v>34.049999999999997</v>
      </c>
      <c r="J296">
        <v>8</v>
      </c>
      <c r="K296" t="s">
        <v>16</v>
      </c>
    </row>
    <row r="297" spans="1:11" x14ac:dyDescent="0.25">
      <c r="A297">
        <v>1000</v>
      </c>
      <c r="B297">
        <v>26.04</v>
      </c>
      <c r="C297" t="s">
        <v>21</v>
      </c>
      <c r="D297" t="s">
        <v>12</v>
      </c>
      <c r="E297">
        <v>1500</v>
      </c>
      <c r="F297">
        <v>57.7</v>
      </c>
      <c r="G297">
        <v>9.7899999999999991</v>
      </c>
      <c r="H297">
        <v>9.56</v>
      </c>
      <c r="I297">
        <v>36.71</v>
      </c>
      <c r="J297">
        <v>20</v>
      </c>
      <c r="K297" t="s">
        <v>16</v>
      </c>
    </row>
    <row r="298" spans="1:11" x14ac:dyDescent="0.25">
      <c r="A298">
        <v>100</v>
      </c>
      <c r="B298">
        <v>4.37</v>
      </c>
      <c r="C298" t="s">
        <v>19</v>
      </c>
      <c r="D298" t="s">
        <v>15</v>
      </c>
      <c r="E298">
        <v>900</v>
      </c>
      <c r="F298">
        <v>131.5</v>
      </c>
      <c r="G298">
        <v>17.739999999999998</v>
      </c>
      <c r="H298">
        <v>9.8699999999999992</v>
      </c>
      <c r="I298">
        <v>225.86</v>
      </c>
      <c r="J298">
        <v>11</v>
      </c>
      <c r="K298" t="s">
        <v>16</v>
      </c>
    </row>
    <row r="299" spans="1:11" x14ac:dyDescent="0.25">
      <c r="A299">
        <v>600</v>
      </c>
      <c r="B299">
        <v>12.73</v>
      </c>
      <c r="C299" t="s">
        <v>22</v>
      </c>
      <c r="D299" t="s">
        <v>12</v>
      </c>
      <c r="E299">
        <v>1500</v>
      </c>
      <c r="F299">
        <v>48.8</v>
      </c>
      <c r="G299">
        <v>15.15</v>
      </c>
      <c r="H299">
        <v>5.74</v>
      </c>
      <c r="I299">
        <v>45.09</v>
      </c>
      <c r="J299">
        <v>4</v>
      </c>
      <c r="K299" t="s">
        <v>16</v>
      </c>
    </row>
    <row r="300" spans="1:11" x14ac:dyDescent="0.25">
      <c r="A300">
        <v>400</v>
      </c>
      <c r="B300">
        <v>10.050000000000001</v>
      </c>
      <c r="C300" t="s">
        <v>19</v>
      </c>
      <c r="D300" t="s">
        <v>15</v>
      </c>
      <c r="E300">
        <v>1500</v>
      </c>
      <c r="F300">
        <v>7.5</v>
      </c>
      <c r="G300">
        <v>10.199999999999999</v>
      </c>
      <c r="H300">
        <v>6.39</v>
      </c>
      <c r="I300">
        <v>63.58</v>
      </c>
      <c r="J300">
        <v>5</v>
      </c>
      <c r="K300" t="s">
        <v>16</v>
      </c>
    </row>
    <row r="301" spans="1:11" x14ac:dyDescent="0.25">
      <c r="A301">
        <v>1200</v>
      </c>
      <c r="B301">
        <v>37.42</v>
      </c>
      <c r="C301" t="s">
        <v>22</v>
      </c>
      <c r="D301" t="s">
        <v>20</v>
      </c>
      <c r="E301">
        <v>1500</v>
      </c>
      <c r="F301">
        <v>95.1</v>
      </c>
      <c r="G301">
        <v>9.49</v>
      </c>
      <c r="H301">
        <v>4.49</v>
      </c>
      <c r="I301">
        <v>12</v>
      </c>
      <c r="J301">
        <v>23</v>
      </c>
      <c r="K301" t="s">
        <v>13</v>
      </c>
    </row>
    <row r="302" spans="1:11" x14ac:dyDescent="0.25">
      <c r="A302">
        <v>50</v>
      </c>
      <c r="B302">
        <v>5.99</v>
      </c>
      <c r="C302" t="s">
        <v>14</v>
      </c>
      <c r="D302" t="s">
        <v>12</v>
      </c>
      <c r="E302">
        <v>900</v>
      </c>
      <c r="F302">
        <v>95</v>
      </c>
      <c r="G302">
        <v>17.22</v>
      </c>
      <c r="H302">
        <v>2.5099999999999998</v>
      </c>
      <c r="I302">
        <v>41.9</v>
      </c>
      <c r="J302">
        <v>13</v>
      </c>
      <c r="K302" t="s">
        <v>13</v>
      </c>
    </row>
    <row r="303" spans="1:11" x14ac:dyDescent="0.25">
      <c r="A303">
        <v>300</v>
      </c>
      <c r="B303">
        <v>14.67</v>
      </c>
      <c r="C303" t="s">
        <v>21</v>
      </c>
      <c r="D303" t="s">
        <v>17</v>
      </c>
      <c r="E303">
        <v>2500</v>
      </c>
      <c r="F303">
        <v>51.2</v>
      </c>
      <c r="G303">
        <v>18.37</v>
      </c>
      <c r="H303">
        <v>8.4600000000000009</v>
      </c>
      <c r="I303">
        <v>57.67</v>
      </c>
      <c r="J303">
        <v>4</v>
      </c>
      <c r="K303" t="s">
        <v>16</v>
      </c>
    </row>
    <row r="304" spans="1:11" x14ac:dyDescent="0.25">
      <c r="A304">
        <v>1000</v>
      </c>
      <c r="B304">
        <v>29.16</v>
      </c>
      <c r="C304" t="s">
        <v>11</v>
      </c>
      <c r="D304" t="s">
        <v>12</v>
      </c>
      <c r="E304">
        <v>600</v>
      </c>
      <c r="F304">
        <v>-24.7</v>
      </c>
      <c r="G304">
        <v>2.48</v>
      </c>
      <c r="H304">
        <v>3.82</v>
      </c>
      <c r="I304">
        <v>13.1</v>
      </c>
      <c r="J304">
        <v>4</v>
      </c>
      <c r="K304" t="s">
        <v>13</v>
      </c>
    </row>
    <row r="305" spans="1:11" x14ac:dyDescent="0.25">
      <c r="A305">
        <v>500</v>
      </c>
      <c r="B305">
        <v>14.55</v>
      </c>
      <c r="C305" t="s">
        <v>14</v>
      </c>
      <c r="D305" t="s">
        <v>20</v>
      </c>
      <c r="E305">
        <v>600</v>
      </c>
      <c r="F305">
        <v>19.899999999999999</v>
      </c>
      <c r="G305">
        <v>0.39</v>
      </c>
      <c r="H305">
        <v>5.98</v>
      </c>
      <c r="I305">
        <v>41.1</v>
      </c>
      <c r="J305">
        <v>24</v>
      </c>
      <c r="K305" t="s">
        <v>16</v>
      </c>
    </row>
    <row r="306" spans="1:11" x14ac:dyDescent="0.25">
      <c r="A306">
        <v>50</v>
      </c>
      <c r="B306">
        <v>3.29</v>
      </c>
      <c r="C306" t="s">
        <v>11</v>
      </c>
      <c r="D306" t="s">
        <v>12</v>
      </c>
      <c r="E306">
        <v>900</v>
      </c>
      <c r="F306">
        <v>64.5</v>
      </c>
      <c r="G306">
        <v>6.04</v>
      </c>
      <c r="H306">
        <v>6.54</v>
      </c>
      <c r="I306">
        <v>198.78</v>
      </c>
      <c r="J306">
        <v>25</v>
      </c>
      <c r="K306" t="s">
        <v>16</v>
      </c>
    </row>
    <row r="307" spans="1:11" x14ac:dyDescent="0.25">
      <c r="A307">
        <v>150</v>
      </c>
      <c r="B307">
        <v>5.64</v>
      </c>
      <c r="C307" t="s">
        <v>11</v>
      </c>
      <c r="D307" t="s">
        <v>18</v>
      </c>
      <c r="E307">
        <v>2500</v>
      </c>
      <c r="F307">
        <v>115</v>
      </c>
      <c r="G307">
        <v>9.7100000000000009</v>
      </c>
      <c r="H307">
        <v>9.4600000000000009</v>
      </c>
      <c r="I307">
        <v>167.73</v>
      </c>
      <c r="J307">
        <v>6</v>
      </c>
      <c r="K307" t="s">
        <v>16</v>
      </c>
    </row>
    <row r="308" spans="1:11" x14ac:dyDescent="0.25">
      <c r="A308">
        <v>600</v>
      </c>
      <c r="B308">
        <v>16.95</v>
      </c>
      <c r="C308" t="s">
        <v>22</v>
      </c>
      <c r="D308" t="s">
        <v>18</v>
      </c>
      <c r="E308">
        <v>900</v>
      </c>
      <c r="F308">
        <v>32.4</v>
      </c>
      <c r="G308">
        <v>4.1500000000000004</v>
      </c>
      <c r="H308">
        <v>2.59</v>
      </c>
      <c r="I308">
        <v>15.28</v>
      </c>
      <c r="J308">
        <v>25</v>
      </c>
      <c r="K308" t="s">
        <v>13</v>
      </c>
    </row>
    <row r="309" spans="1:11" x14ac:dyDescent="0.25">
      <c r="A309">
        <v>500</v>
      </c>
      <c r="B309">
        <v>20.82</v>
      </c>
      <c r="C309" t="s">
        <v>21</v>
      </c>
      <c r="D309" t="s">
        <v>12</v>
      </c>
      <c r="E309">
        <v>600</v>
      </c>
      <c r="F309">
        <v>48.6</v>
      </c>
      <c r="G309">
        <v>11.23</v>
      </c>
      <c r="H309">
        <v>4.76</v>
      </c>
      <c r="I309">
        <v>22.86</v>
      </c>
      <c r="J309">
        <v>23</v>
      </c>
      <c r="K309" t="s">
        <v>13</v>
      </c>
    </row>
    <row r="310" spans="1:11" x14ac:dyDescent="0.25">
      <c r="A310">
        <v>400</v>
      </c>
      <c r="B310">
        <v>19.55</v>
      </c>
      <c r="C310" t="s">
        <v>11</v>
      </c>
      <c r="D310" t="s">
        <v>17</v>
      </c>
      <c r="E310">
        <v>2500</v>
      </c>
      <c r="F310">
        <v>60.2</v>
      </c>
      <c r="G310">
        <v>18.7</v>
      </c>
      <c r="H310">
        <v>5.55</v>
      </c>
      <c r="I310">
        <v>28.39</v>
      </c>
      <c r="J310">
        <v>17</v>
      </c>
      <c r="K310" t="s">
        <v>16</v>
      </c>
    </row>
    <row r="311" spans="1:11" x14ac:dyDescent="0.25">
      <c r="A311">
        <v>1000</v>
      </c>
      <c r="B311">
        <v>22.39</v>
      </c>
      <c r="C311" t="s">
        <v>14</v>
      </c>
      <c r="D311" t="s">
        <v>12</v>
      </c>
      <c r="E311">
        <v>2500</v>
      </c>
      <c r="F311">
        <v>-0.5</v>
      </c>
      <c r="G311">
        <v>19.739999999999998</v>
      </c>
      <c r="H311">
        <v>2.69</v>
      </c>
      <c r="I311">
        <v>12.01</v>
      </c>
      <c r="J311">
        <v>3</v>
      </c>
      <c r="K311" t="s">
        <v>13</v>
      </c>
    </row>
    <row r="312" spans="1:11" x14ac:dyDescent="0.25">
      <c r="A312">
        <v>50</v>
      </c>
      <c r="B312">
        <v>5.12</v>
      </c>
      <c r="C312" t="s">
        <v>19</v>
      </c>
      <c r="D312" t="s">
        <v>18</v>
      </c>
      <c r="E312">
        <v>150</v>
      </c>
      <c r="F312">
        <v>61.6</v>
      </c>
      <c r="G312">
        <v>3.02</v>
      </c>
      <c r="H312">
        <v>2.42</v>
      </c>
      <c r="I312">
        <v>47.27</v>
      </c>
      <c r="J312">
        <v>23</v>
      </c>
      <c r="K312" t="s">
        <v>13</v>
      </c>
    </row>
    <row r="313" spans="1:11" x14ac:dyDescent="0.25">
      <c r="A313">
        <v>400</v>
      </c>
      <c r="B313">
        <v>13.91</v>
      </c>
      <c r="C313" t="s">
        <v>21</v>
      </c>
      <c r="D313" t="s">
        <v>17</v>
      </c>
      <c r="E313">
        <v>600</v>
      </c>
      <c r="F313">
        <v>58.5</v>
      </c>
      <c r="G313">
        <v>17.46</v>
      </c>
      <c r="H313">
        <v>8.09</v>
      </c>
      <c r="I313">
        <v>58.16</v>
      </c>
      <c r="J313">
        <v>25</v>
      </c>
      <c r="K313" t="s">
        <v>16</v>
      </c>
    </row>
    <row r="314" spans="1:11" x14ac:dyDescent="0.25">
      <c r="A314">
        <v>1200</v>
      </c>
      <c r="B314">
        <v>34.42</v>
      </c>
      <c r="C314" t="s">
        <v>11</v>
      </c>
      <c r="D314" t="s">
        <v>18</v>
      </c>
      <c r="E314">
        <v>1500</v>
      </c>
      <c r="F314">
        <v>49.4</v>
      </c>
      <c r="G314">
        <v>10.78</v>
      </c>
      <c r="H314">
        <v>0.71</v>
      </c>
      <c r="I314">
        <v>2.06</v>
      </c>
      <c r="J314">
        <v>11</v>
      </c>
      <c r="K314" t="s">
        <v>23</v>
      </c>
    </row>
    <row r="315" spans="1:11" x14ac:dyDescent="0.25">
      <c r="A315">
        <v>50</v>
      </c>
      <c r="B315">
        <v>4.8899999999999997</v>
      </c>
      <c r="C315" t="s">
        <v>22</v>
      </c>
      <c r="D315" t="s">
        <v>12</v>
      </c>
      <c r="E315">
        <v>2500</v>
      </c>
      <c r="F315">
        <v>-6.4</v>
      </c>
      <c r="G315">
        <v>1.81</v>
      </c>
      <c r="H315">
        <v>0.63</v>
      </c>
      <c r="I315">
        <v>12.88</v>
      </c>
      <c r="J315">
        <v>18</v>
      </c>
      <c r="K315" t="s">
        <v>23</v>
      </c>
    </row>
    <row r="316" spans="1:11" x14ac:dyDescent="0.25">
      <c r="A316">
        <v>800</v>
      </c>
      <c r="B316">
        <v>29.88</v>
      </c>
      <c r="C316" t="s">
        <v>22</v>
      </c>
      <c r="D316" t="s">
        <v>20</v>
      </c>
      <c r="E316">
        <v>300</v>
      </c>
      <c r="F316">
        <v>77.8</v>
      </c>
      <c r="G316">
        <v>10.19</v>
      </c>
      <c r="H316">
        <v>4.84</v>
      </c>
      <c r="I316">
        <v>16.2</v>
      </c>
      <c r="J316">
        <v>3</v>
      </c>
      <c r="K316" t="s">
        <v>13</v>
      </c>
    </row>
    <row r="317" spans="1:11" x14ac:dyDescent="0.25">
      <c r="A317">
        <v>250</v>
      </c>
      <c r="B317">
        <v>11</v>
      </c>
      <c r="C317" t="s">
        <v>14</v>
      </c>
      <c r="D317" t="s">
        <v>17</v>
      </c>
      <c r="E317">
        <v>1500</v>
      </c>
      <c r="F317">
        <v>21.8</v>
      </c>
      <c r="G317">
        <v>4.5199999999999996</v>
      </c>
      <c r="H317">
        <v>2.59</v>
      </c>
      <c r="I317">
        <v>23.55</v>
      </c>
      <c r="J317">
        <v>21</v>
      </c>
      <c r="K317" t="s">
        <v>13</v>
      </c>
    </row>
    <row r="318" spans="1:11" x14ac:dyDescent="0.25">
      <c r="A318">
        <v>500</v>
      </c>
      <c r="B318">
        <v>13.59</v>
      </c>
      <c r="C318" t="s">
        <v>21</v>
      </c>
      <c r="D318" t="s">
        <v>15</v>
      </c>
      <c r="E318">
        <v>300</v>
      </c>
      <c r="F318">
        <v>15.7</v>
      </c>
      <c r="G318">
        <v>5.37</v>
      </c>
      <c r="H318">
        <v>6.78</v>
      </c>
      <c r="I318">
        <v>49.89</v>
      </c>
      <c r="J318">
        <v>16</v>
      </c>
      <c r="K318" t="s">
        <v>16</v>
      </c>
    </row>
    <row r="319" spans="1:11" x14ac:dyDescent="0.25">
      <c r="A319">
        <v>200</v>
      </c>
      <c r="B319">
        <v>7.34</v>
      </c>
      <c r="C319" t="s">
        <v>22</v>
      </c>
      <c r="D319" t="s">
        <v>17</v>
      </c>
      <c r="E319">
        <v>900</v>
      </c>
      <c r="F319">
        <v>98.6</v>
      </c>
      <c r="G319">
        <v>18.62</v>
      </c>
      <c r="H319">
        <v>6.63</v>
      </c>
      <c r="I319">
        <v>90.33</v>
      </c>
      <c r="J319">
        <v>12</v>
      </c>
      <c r="K319" t="s">
        <v>16</v>
      </c>
    </row>
    <row r="320" spans="1:11" x14ac:dyDescent="0.25">
      <c r="A320">
        <v>1500</v>
      </c>
      <c r="B320">
        <v>43.02</v>
      </c>
      <c r="C320" t="s">
        <v>22</v>
      </c>
      <c r="D320" t="s">
        <v>17</v>
      </c>
      <c r="E320">
        <v>2500</v>
      </c>
      <c r="F320">
        <v>14.3</v>
      </c>
      <c r="G320">
        <v>2.02</v>
      </c>
      <c r="H320">
        <v>2.77</v>
      </c>
      <c r="I320">
        <v>6.44</v>
      </c>
      <c r="J320">
        <v>12</v>
      </c>
      <c r="K320" t="s">
        <v>13</v>
      </c>
    </row>
    <row r="321" spans="1:11" x14ac:dyDescent="0.25">
      <c r="A321">
        <v>1200</v>
      </c>
      <c r="B321">
        <v>37.74</v>
      </c>
      <c r="C321" t="s">
        <v>19</v>
      </c>
      <c r="D321" t="s">
        <v>12</v>
      </c>
      <c r="E321">
        <v>600</v>
      </c>
      <c r="F321">
        <v>58.9</v>
      </c>
      <c r="G321">
        <v>9.44</v>
      </c>
      <c r="H321">
        <v>1.64</v>
      </c>
      <c r="I321">
        <v>4.3499999999999996</v>
      </c>
      <c r="J321">
        <v>7</v>
      </c>
      <c r="K321" t="s">
        <v>23</v>
      </c>
    </row>
    <row r="322" spans="1:11" x14ac:dyDescent="0.25">
      <c r="A322">
        <v>300</v>
      </c>
      <c r="B322">
        <v>7.62</v>
      </c>
      <c r="C322" t="s">
        <v>21</v>
      </c>
      <c r="D322" t="s">
        <v>12</v>
      </c>
      <c r="E322">
        <v>900</v>
      </c>
      <c r="F322">
        <v>-46.2</v>
      </c>
      <c r="G322">
        <v>0.13</v>
      </c>
      <c r="H322">
        <v>2.2200000000000002</v>
      </c>
      <c r="I322">
        <v>29.13</v>
      </c>
      <c r="J322">
        <v>13</v>
      </c>
      <c r="K322" t="s">
        <v>13</v>
      </c>
    </row>
    <row r="323" spans="1:11" x14ac:dyDescent="0.25">
      <c r="A323">
        <v>100</v>
      </c>
      <c r="B323">
        <v>5.91</v>
      </c>
      <c r="C323" t="s">
        <v>11</v>
      </c>
      <c r="D323" t="s">
        <v>18</v>
      </c>
      <c r="E323">
        <v>900</v>
      </c>
      <c r="F323">
        <v>127.5</v>
      </c>
      <c r="G323">
        <v>13.05</v>
      </c>
      <c r="H323">
        <v>1.7</v>
      </c>
      <c r="I323">
        <v>28.76</v>
      </c>
      <c r="J323">
        <v>3</v>
      </c>
      <c r="K323" t="s">
        <v>23</v>
      </c>
    </row>
    <row r="324" spans="1:11" x14ac:dyDescent="0.25">
      <c r="A324">
        <v>50</v>
      </c>
      <c r="B324">
        <v>3.76</v>
      </c>
      <c r="C324" t="s">
        <v>21</v>
      </c>
      <c r="D324" t="s">
        <v>15</v>
      </c>
      <c r="E324">
        <v>2500</v>
      </c>
      <c r="F324">
        <v>86.9</v>
      </c>
      <c r="G324">
        <v>11.94</v>
      </c>
      <c r="H324">
        <v>2.19</v>
      </c>
      <c r="I324">
        <v>58.24</v>
      </c>
      <c r="J324">
        <v>24</v>
      </c>
      <c r="K324" t="s">
        <v>13</v>
      </c>
    </row>
    <row r="325" spans="1:11" x14ac:dyDescent="0.25">
      <c r="A325">
        <v>1200</v>
      </c>
      <c r="B325">
        <v>32.92</v>
      </c>
      <c r="C325" t="s">
        <v>22</v>
      </c>
      <c r="D325" t="s">
        <v>17</v>
      </c>
      <c r="E325">
        <v>150</v>
      </c>
      <c r="F325">
        <v>39.299999999999997</v>
      </c>
      <c r="G325">
        <v>11.6</v>
      </c>
      <c r="H325">
        <v>2.13</v>
      </c>
      <c r="I325">
        <v>6.47</v>
      </c>
      <c r="J325">
        <v>2</v>
      </c>
      <c r="K325" t="s">
        <v>13</v>
      </c>
    </row>
    <row r="326" spans="1:11" x14ac:dyDescent="0.25">
      <c r="A326">
        <v>100</v>
      </c>
      <c r="B326">
        <v>4.1900000000000004</v>
      </c>
      <c r="C326" t="s">
        <v>21</v>
      </c>
      <c r="D326" t="s">
        <v>12</v>
      </c>
      <c r="E326">
        <v>2500</v>
      </c>
      <c r="F326">
        <v>21</v>
      </c>
      <c r="G326">
        <v>8.86</v>
      </c>
      <c r="H326">
        <v>7.86</v>
      </c>
      <c r="I326">
        <v>187.59</v>
      </c>
      <c r="J326">
        <v>24</v>
      </c>
      <c r="K326" t="s">
        <v>16</v>
      </c>
    </row>
    <row r="327" spans="1:11" x14ac:dyDescent="0.25">
      <c r="A327">
        <v>1500</v>
      </c>
      <c r="B327">
        <v>29.92</v>
      </c>
      <c r="C327" t="s">
        <v>22</v>
      </c>
      <c r="D327" t="s">
        <v>17</v>
      </c>
      <c r="E327">
        <v>300</v>
      </c>
      <c r="F327">
        <v>5.7</v>
      </c>
      <c r="G327">
        <v>9.75</v>
      </c>
      <c r="H327">
        <v>3.35</v>
      </c>
      <c r="I327">
        <v>11.2</v>
      </c>
      <c r="J327">
        <v>22</v>
      </c>
      <c r="K327" t="s">
        <v>13</v>
      </c>
    </row>
    <row r="328" spans="1:11" x14ac:dyDescent="0.25">
      <c r="A328">
        <v>800</v>
      </c>
      <c r="B328">
        <v>16.55</v>
      </c>
      <c r="C328" t="s">
        <v>22</v>
      </c>
      <c r="D328" t="s">
        <v>15</v>
      </c>
      <c r="E328">
        <v>150</v>
      </c>
      <c r="F328">
        <v>18.899999999999999</v>
      </c>
      <c r="G328">
        <v>19.84</v>
      </c>
      <c r="H328">
        <v>1.27</v>
      </c>
      <c r="I328">
        <v>7.67</v>
      </c>
      <c r="J328">
        <v>4</v>
      </c>
      <c r="K328" t="s">
        <v>23</v>
      </c>
    </row>
    <row r="329" spans="1:11" x14ac:dyDescent="0.25">
      <c r="A329">
        <v>1200</v>
      </c>
      <c r="B329">
        <v>35.130000000000003</v>
      </c>
      <c r="C329" t="s">
        <v>21</v>
      </c>
      <c r="D329" t="s">
        <v>17</v>
      </c>
      <c r="E329">
        <v>150</v>
      </c>
      <c r="F329">
        <v>51.9</v>
      </c>
      <c r="G329">
        <v>13.13</v>
      </c>
      <c r="H329">
        <v>8.3699999999999992</v>
      </c>
      <c r="I329">
        <v>23.83</v>
      </c>
      <c r="J329">
        <v>4</v>
      </c>
      <c r="K329" t="s">
        <v>16</v>
      </c>
    </row>
    <row r="330" spans="1:11" x14ac:dyDescent="0.25">
      <c r="A330">
        <v>600</v>
      </c>
      <c r="B330">
        <v>19.149999999999999</v>
      </c>
      <c r="C330" t="s">
        <v>21</v>
      </c>
      <c r="D330" t="s">
        <v>15</v>
      </c>
      <c r="E330">
        <v>900</v>
      </c>
      <c r="F330">
        <v>94</v>
      </c>
      <c r="G330">
        <v>8.7799999999999994</v>
      </c>
      <c r="H330">
        <v>5.15</v>
      </c>
      <c r="I330">
        <v>26.89</v>
      </c>
      <c r="J330">
        <v>2</v>
      </c>
      <c r="K330" t="s">
        <v>16</v>
      </c>
    </row>
    <row r="331" spans="1:11" x14ac:dyDescent="0.25">
      <c r="A331">
        <v>100</v>
      </c>
      <c r="B331">
        <v>7.27</v>
      </c>
      <c r="C331" t="s">
        <v>19</v>
      </c>
      <c r="D331" t="s">
        <v>12</v>
      </c>
      <c r="E331">
        <v>600</v>
      </c>
      <c r="F331">
        <v>28.3</v>
      </c>
      <c r="G331">
        <v>8.89</v>
      </c>
      <c r="H331">
        <v>7.04</v>
      </c>
      <c r="I331">
        <v>96.84</v>
      </c>
      <c r="J331">
        <v>12</v>
      </c>
      <c r="K331" t="s">
        <v>16</v>
      </c>
    </row>
    <row r="332" spans="1:11" x14ac:dyDescent="0.25">
      <c r="A332">
        <v>500</v>
      </c>
      <c r="B332">
        <v>23.96</v>
      </c>
      <c r="C332" t="s">
        <v>22</v>
      </c>
      <c r="D332" t="s">
        <v>20</v>
      </c>
      <c r="E332">
        <v>2500</v>
      </c>
      <c r="F332">
        <v>64</v>
      </c>
      <c r="G332">
        <v>14.84</v>
      </c>
      <c r="H332">
        <v>2.95</v>
      </c>
      <c r="I332">
        <v>12.31</v>
      </c>
      <c r="J332">
        <v>17</v>
      </c>
      <c r="K332" t="s">
        <v>13</v>
      </c>
    </row>
    <row r="333" spans="1:11" x14ac:dyDescent="0.25">
      <c r="A333">
        <v>50</v>
      </c>
      <c r="B333">
        <v>4.6100000000000003</v>
      </c>
      <c r="C333" t="s">
        <v>11</v>
      </c>
      <c r="D333" t="s">
        <v>18</v>
      </c>
      <c r="E333">
        <v>150</v>
      </c>
      <c r="F333">
        <v>61.2</v>
      </c>
      <c r="G333">
        <v>13.48</v>
      </c>
      <c r="H333">
        <v>6.08</v>
      </c>
      <c r="I333">
        <v>131.88999999999999</v>
      </c>
      <c r="J333">
        <v>21</v>
      </c>
      <c r="K333" t="s">
        <v>16</v>
      </c>
    </row>
    <row r="334" spans="1:11" x14ac:dyDescent="0.25">
      <c r="A334">
        <v>300</v>
      </c>
      <c r="B334">
        <v>13.51</v>
      </c>
      <c r="C334" t="s">
        <v>11</v>
      </c>
      <c r="D334" t="s">
        <v>15</v>
      </c>
      <c r="E334">
        <v>900</v>
      </c>
      <c r="F334">
        <v>11.3</v>
      </c>
      <c r="G334">
        <v>12.79</v>
      </c>
      <c r="H334">
        <v>0.51</v>
      </c>
      <c r="I334">
        <v>3.77</v>
      </c>
      <c r="J334">
        <v>25</v>
      </c>
      <c r="K334" t="s">
        <v>23</v>
      </c>
    </row>
    <row r="335" spans="1:11" x14ac:dyDescent="0.25">
      <c r="A335">
        <v>150</v>
      </c>
      <c r="B335">
        <v>7.49</v>
      </c>
      <c r="C335" t="s">
        <v>22</v>
      </c>
      <c r="D335" t="s">
        <v>18</v>
      </c>
      <c r="E335">
        <v>150</v>
      </c>
      <c r="F335">
        <v>37.799999999999997</v>
      </c>
      <c r="G335">
        <v>12.89</v>
      </c>
      <c r="H335">
        <v>4.96</v>
      </c>
      <c r="I335">
        <v>66.22</v>
      </c>
      <c r="J335">
        <v>17</v>
      </c>
      <c r="K335" t="s">
        <v>13</v>
      </c>
    </row>
    <row r="336" spans="1:11" x14ac:dyDescent="0.25">
      <c r="A336">
        <v>200</v>
      </c>
      <c r="B336">
        <v>6.32</v>
      </c>
      <c r="C336" t="s">
        <v>11</v>
      </c>
      <c r="D336" t="s">
        <v>17</v>
      </c>
      <c r="E336">
        <v>150</v>
      </c>
      <c r="F336">
        <v>-27.2</v>
      </c>
      <c r="G336">
        <v>6.05</v>
      </c>
      <c r="H336">
        <v>4.09</v>
      </c>
      <c r="I336">
        <v>64.72</v>
      </c>
      <c r="J336">
        <v>17</v>
      </c>
      <c r="K336" t="s">
        <v>13</v>
      </c>
    </row>
    <row r="337" spans="1:11" x14ac:dyDescent="0.25">
      <c r="A337">
        <v>100</v>
      </c>
      <c r="B337">
        <v>5.17</v>
      </c>
      <c r="C337" t="s">
        <v>14</v>
      </c>
      <c r="D337" t="s">
        <v>18</v>
      </c>
      <c r="E337">
        <v>300</v>
      </c>
      <c r="F337">
        <v>-3.3</v>
      </c>
      <c r="G337">
        <v>17.88</v>
      </c>
      <c r="H337">
        <v>7.56</v>
      </c>
      <c r="I337">
        <v>146.22999999999999</v>
      </c>
      <c r="J337">
        <v>9</v>
      </c>
      <c r="K337" t="s">
        <v>16</v>
      </c>
    </row>
    <row r="338" spans="1:11" x14ac:dyDescent="0.25">
      <c r="A338">
        <v>400</v>
      </c>
      <c r="B338">
        <v>17.690000000000001</v>
      </c>
      <c r="C338" t="s">
        <v>14</v>
      </c>
      <c r="D338" t="s">
        <v>18</v>
      </c>
      <c r="E338">
        <v>900</v>
      </c>
      <c r="F338">
        <v>74.7</v>
      </c>
      <c r="G338">
        <v>11.7</v>
      </c>
      <c r="H338">
        <v>8.34</v>
      </c>
      <c r="I338">
        <v>47.15</v>
      </c>
      <c r="J338">
        <v>19</v>
      </c>
      <c r="K338" t="s">
        <v>16</v>
      </c>
    </row>
    <row r="339" spans="1:11" x14ac:dyDescent="0.25">
      <c r="A339">
        <v>1200</v>
      </c>
      <c r="B339">
        <v>30.5</v>
      </c>
      <c r="C339" t="s">
        <v>11</v>
      </c>
      <c r="D339" t="s">
        <v>15</v>
      </c>
      <c r="E339">
        <v>900</v>
      </c>
      <c r="F339">
        <v>15</v>
      </c>
      <c r="G339">
        <v>2.06</v>
      </c>
      <c r="H339">
        <v>4.74</v>
      </c>
      <c r="I339">
        <v>15.54</v>
      </c>
      <c r="J339">
        <v>12</v>
      </c>
      <c r="K339" t="s">
        <v>13</v>
      </c>
    </row>
    <row r="340" spans="1:11" x14ac:dyDescent="0.25">
      <c r="A340">
        <v>300</v>
      </c>
      <c r="B340">
        <v>7.92</v>
      </c>
      <c r="C340" t="s">
        <v>22</v>
      </c>
      <c r="D340" t="s">
        <v>17</v>
      </c>
      <c r="E340">
        <v>150</v>
      </c>
      <c r="F340">
        <v>103.9</v>
      </c>
      <c r="G340">
        <v>16.53</v>
      </c>
      <c r="H340">
        <v>3.01</v>
      </c>
      <c r="I340">
        <v>38.01</v>
      </c>
      <c r="J340">
        <v>10</v>
      </c>
      <c r="K340" t="s">
        <v>13</v>
      </c>
    </row>
    <row r="341" spans="1:11" x14ac:dyDescent="0.25">
      <c r="A341">
        <v>50</v>
      </c>
      <c r="B341">
        <v>3.45</v>
      </c>
      <c r="C341" t="s">
        <v>19</v>
      </c>
      <c r="D341" t="s">
        <v>18</v>
      </c>
      <c r="E341">
        <v>900</v>
      </c>
      <c r="F341">
        <v>93.3</v>
      </c>
      <c r="G341">
        <v>2.54</v>
      </c>
      <c r="H341">
        <v>4.25</v>
      </c>
      <c r="I341">
        <v>123.19</v>
      </c>
      <c r="J341">
        <v>22</v>
      </c>
      <c r="K341" t="s">
        <v>13</v>
      </c>
    </row>
    <row r="342" spans="1:11" x14ac:dyDescent="0.25">
      <c r="A342">
        <v>50</v>
      </c>
      <c r="B342">
        <v>5.4</v>
      </c>
      <c r="C342" t="s">
        <v>14</v>
      </c>
      <c r="D342" t="s">
        <v>15</v>
      </c>
      <c r="E342">
        <v>600</v>
      </c>
      <c r="F342">
        <v>71</v>
      </c>
      <c r="G342">
        <v>7.13</v>
      </c>
      <c r="H342">
        <v>4.43</v>
      </c>
      <c r="I342">
        <v>82.04</v>
      </c>
      <c r="J342">
        <v>1</v>
      </c>
      <c r="K342" t="s">
        <v>13</v>
      </c>
    </row>
    <row r="343" spans="1:11" x14ac:dyDescent="0.25">
      <c r="A343">
        <v>600</v>
      </c>
      <c r="B343">
        <v>18.79</v>
      </c>
      <c r="C343" t="s">
        <v>19</v>
      </c>
      <c r="D343" t="s">
        <v>18</v>
      </c>
      <c r="E343">
        <v>2500</v>
      </c>
      <c r="F343">
        <v>7.5</v>
      </c>
      <c r="G343">
        <v>8.6199999999999992</v>
      </c>
      <c r="H343">
        <v>8.25</v>
      </c>
      <c r="I343">
        <v>43.91</v>
      </c>
      <c r="J343">
        <v>6</v>
      </c>
      <c r="K343" t="s">
        <v>16</v>
      </c>
    </row>
    <row r="344" spans="1:11" x14ac:dyDescent="0.25">
      <c r="A344">
        <v>500</v>
      </c>
      <c r="B344">
        <v>20.48</v>
      </c>
      <c r="C344" t="s">
        <v>11</v>
      </c>
      <c r="D344" t="s">
        <v>12</v>
      </c>
      <c r="E344">
        <v>300</v>
      </c>
      <c r="F344">
        <v>21.3</v>
      </c>
      <c r="G344">
        <v>1.03</v>
      </c>
      <c r="H344">
        <v>3.09</v>
      </c>
      <c r="I344">
        <v>15.09</v>
      </c>
      <c r="J344">
        <v>14</v>
      </c>
      <c r="K344" t="s">
        <v>13</v>
      </c>
    </row>
    <row r="345" spans="1:11" x14ac:dyDescent="0.25">
      <c r="A345">
        <v>500</v>
      </c>
      <c r="B345">
        <v>12.51</v>
      </c>
      <c r="C345" t="s">
        <v>14</v>
      </c>
      <c r="D345" t="s">
        <v>18</v>
      </c>
      <c r="E345">
        <v>150</v>
      </c>
      <c r="F345">
        <v>14.4</v>
      </c>
      <c r="G345">
        <v>16.61</v>
      </c>
      <c r="H345">
        <v>8.2799999999999994</v>
      </c>
      <c r="I345">
        <v>66.19</v>
      </c>
      <c r="J345">
        <v>10</v>
      </c>
      <c r="K345" t="s">
        <v>16</v>
      </c>
    </row>
    <row r="346" spans="1:11" x14ac:dyDescent="0.25">
      <c r="A346">
        <v>1000</v>
      </c>
      <c r="B346">
        <v>15.72</v>
      </c>
      <c r="C346" t="s">
        <v>11</v>
      </c>
      <c r="D346" t="s">
        <v>12</v>
      </c>
      <c r="E346">
        <v>2500</v>
      </c>
      <c r="F346">
        <v>124.9</v>
      </c>
      <c r="G346">
        <v>5.2</v>
      </c>
      <c r="H346">
        <v>4.34</v>
      </c>
      <c r="I346">
        <v>27.61</v>
      </c>
      <c r="J346">
        <v>22</v>
      </c>
      <c r="K346" t="s">
        <v>13</v>
      </c>
    </row>
    <row r="347" spans="1:11" x14ac:dyDescent="0.25">
      <c r="A347">
        <v>1000</v>
      </c>
      <c r="B347">
        <v>29.26</v>
      </c>
      <c r="C347" t="s">
        <v>22</v>
      </c>
      <c r="D347" t="s">
        <v>17</v>
      </c>
      <c r="E347">
        <v>1500</v>
      </c>
      <c r="F347">
        <v>31</v>
      </c>
      <c r="G347">
        <v>11.96</v>
      </c>
      <c r="H347">
        <v>7.23</v>
      </c>
      <c r="I347">
        <v>24.71</v>
      </c>
      <c r="J347">
        <v>8</v>
      </c>
      <c r="K347" t="s">
        <v>16</v>
      </c>
    </row>
    <row r="348" spans="1:11" x14ac:dyDescent="0.25">
      <c r="A348">
        <v>400</v>
      </c>
      <c r="B348">
        <v>12.45</v>
      </c>
      <c r="C348" t="s">
        <v>14</v>
      </c>
      <c r="D348" t="s">
        <v>12</v>
      </c>
      <c r="E348">
        <v>1500</v>
      </c>
      <c r="F348">
        <v>-24.8</v>
      </c>
      <c r="G348">
        <v>7.4</v>
      </c>
      <c r="H348">
        <v>7.92</v>
      </c>
      <c r="I348">
        <v>63.61</v>
      </c>
      <c r="J348">
        <v>9</v>
      </c>
      <c r="K348" t="s">
        <v>16</v>
      </c>
    </row>
    <row r="349" spans="1:11" x14ac:dyDescent="0.25">
      <c r="A349">
        <v>50</v>
      </c>
      <c r="B349">
        <v>5.26</v>
      </c>
      <c r="C349" t="s">
        <v>11</v>
      </c>
      <c r="D349" t="s">
        <v>15</v>
      </c>
      <c r="E349">
        <v>2500</v>
      </c>
      <c r="F349">
        <v>61.1</v>
      </c>
      <c r="G349">
        <v>16.8</v>
      </c>
      <c r="H349">
        <v>4.71</v>
      </c>
      <c r="I349">
        <v>89.54</v>
      </c>
      <c r="J349">
        <v>1</v>
      </c>
      <c r="K349" t="s">
        <v>13</v>
      </c>
    </row>
    <row r="350" spans="1:11" x14ac:dyDescent="0.25">
      <c r="A350">
        <v>600</v>
      </c>
      <c r="B350">
        <v>19.59</v>
      </c>
      <c r="C350" t="s">
        <v>19</v>
      </c>
      <c r="D350" t="s">
        <v>15</v>
      </c>
      <c r="E350">
        <v>2500</v>
      </c>
      <c r="F350">
        <v>65.8</v>
      </c>
      <c r="G350">
        <v>5.32</v>
      </c>
      <c r="H350">
        <v>5.73</v>
      </c>
      <c r="I350">
        <v>29.25</v>
      </c>
      <c r="J350">
        <v>11</v>
      </c>
      <c r="K350" t="s">
        <v>16</v>
      </c>
    </row>
    <row r="351" spans="1:11" x14ac:dyDescent="0.25">
      <c r="A351">
        <v>50</v>
      </c>
      <c r="B351">
        <v>3.62</v>
      </c>
      <c r="C351" t="s">
        <v>11</v>
      </c>
      <c r="D351" t="s">
        <v>20</v>
      </c>
      <c r="E351">
        <v>900</v>
      </c>
      <c r="F351">
        <v>19.5</v>
      </c>
      <c r="G351">
        <v>1.86</v>
      </c>
      <c r="H351">
        <v>3.38</v>
      </c>
      <c r="I351">
        <v>93.37</v>
      </c>
      <c r="J351">
        <v>22</v>
      </c>
      <c r="K351" t="s">
        <v>13</v>
      </c>
    </row>
    <row r="352" spans="1:11" x14ac:dyDescent="0.25">
      <c r="A352">
        <v>200</v>
      </c>
      <c r="B352">
        <v>11.96</v>
      </c>
      <c r="C352" t="s">
        <v>11</v>
      </c>
      <c r="D352" t="s">
        <v>15</v>
      </c>
      <c r="E352">
        <v>2500</v>
      </c>
      <c r="F352">
        <v>63.4</v>
      </c>
      <c r="G352">
        <v>14.19</v>
      </c>
      <c r="H352">
        <v>7.02</v>
      </c>
      <c r="I352">
        <v>58.7</v>
      </c>
      <c r="J352">
        <v>15</v>
      </c>
      <c r="K352" t="s">
        <v>16</v>
      </c>
    </row>
    <row r="353" spans="1:11" x14ac:dyDescent="0.25">
      <c r="A353">
        <v>1000</v>
      </c>
      <c r="B353">
        <v>30.86</v>
      </c>
      <c r="C353" t="s">
        <v>22</v>
      </c>
      <c r="D353" t="s">
        <v>20</v>
      </c>
      <c r="E353">
        <v>900</v>
      </c>
      <c r="F353">
        <v>45.4</v>
      </c>
      <c r="G353">
        <v>13.15</v>
      </c>
      <c r="H353">
        <v>7.0000000000000007E-2</v>
      </c>
      <c r="I353">
        <v>0.23</v>
      </c>
      <c r="J353">
        <v>3</v>
      </c>
      <c r="K353" t="s">
        <v>23</v>
      </c>
    </row>
    <row r="354" spans="1:11" x14ac:dyDescent="0.25">
      <c r="A354">
        <v>150</v>
      </c>
      <c r="B354">
        <v>5.72</v>
      </c>
      <c r="C354" t="s">
        <v>11</v>
      </c>
      <c r="D354" t="s">
        <v>20</v>
      </c>
      <c r="E354">
        <v>150</v>
      </c>
      <c r="F354">
        <v>141.80000000000001</v>
      </c>
      <c r="G354">
        <v>0.8</v>
      </c>
      <c r="H354">
        <v>1.08</v>
      </c>
      <c r="I354">
        <v>18.88</v>
      </c>
      <c r="J354">
        <v>1</v>
      </c>
      <c r="K354" t="s">
        <v>23</v>
      </c>
    </row>
    <row r="355" spans="1:11" x14ac:dyDescent="0.25">
      <c r="A355">
        <v>50</v>
      </c>
      <c r="B355">
        <v>5.27</v>
      </c>
      <c r="C355" t="s">
        <v>19</v>
      </c>
      <c r="D355" t="s">
        <v>18</v>
      </c>
      <c r="E355">
        <v>150</v>
      </c>
      <c r="F355">
        <v>77.8</v>
      </c>
      <c r="G355">
        <v>11.29</v>
      </c>
      <c r="H355">
        <v>1.25</v>
      </c>
      <c r="I355">
        <v>23.72</v>
      </c>
      <c r="J355">
        <v>17</v>
      </c>
      <c r="K355" t="s">
        <v>23</v>
      </c>
    </row>
    <row r="356" spans="1:11" x14ac:dyDescent="0.25">
      <c r="A356">
        <v>50</v>
      </c>
      <c r="B356">
        <v>3.31</v>
      </c>
      <c r="C356" t="s">
        <v>11</v>
      </c>
      <c r="D356" t="s">
        <v>18</v>
      </c>
      <c r="E356">
        <v>2500</v>
      </c>
      <c r="F356">
        <v>13.4</v>
      </c>
      <c r="G356">
        <v>2.44</v>
      </c>
      <c r="H356">
        <v>5.12</v>
      </c>
      <c r="I356">
        <v>154.68</v>
      </c>
      <c r="J356">
        <v>5</v>
      </c>
      <c r="K356" t="s">
        <v>16</v>
      </c>
    </row>
    <row r="357" spans="1:11" x14ac:dyDescent="0.25">
      <c r="A357">
        <v>400</v>
      </c>
      <c r="B357">
        <v>16.64</v>
      </c>
      <c r="C357" t="s">
        <v>11</v>
      </c>
      <c r="D357" t="s">
        <v>12</v>
      </c>
      <c r="E357">
        <v>150</v>
      </c>
      <c r="F357">
        <v>0.2</v>
      </c>
      <c r="G357">
        <v>12.16</v>
      </c>
      <c r="H357">
        <v>5.08</v>
      </c>
      <c r="I357">
        <v>30.53</v>
      </c>
      <c r="J357">
        <v>3</v>
      </c>
      <c r="K357" t="s">
        <v>16</v>
      </c>
    </row>
    <row r="358" spans="1:11" x14ac:dyDescent="0.25">
      <c r="A358">
        <v>1500</v>
      </c>
      <c r="B358">
        <v>45.09</v>
      </c>
      <c r="C358" t="s">
        <v>19</v>
      </c>
      <c r="D358" t="s">
        <v>18</v>
      </c>
      <c r="E358">
        <v>900</v>
      </c>
      <c r="F358">
        <v>-5.4</v>
      </c>
      <c r="G358">
        <v>2.46</v>
      </c>
      <c r="H358">
        <v>1.27</v>
      </c>
      <c r="I358">
        <v>2.82</v>
      </c>
      <c r="J358">
        <v>3</v>
      </c>
      <c r="K358" t="s">
        <v>23</v>
      </c>
    </row>
    <row r="359" spans="1:11" x14ac:dyDescent="0.25">
      <c r="A359">
        <v>400</v>
      </c>
      <c r="B359">
        <v>16.71</v>
      </c>
      <c r="C359" t="s">
        <v>22</v>
      </c>
      <c r="D359" t="s">
        <v>20</v>
      </c>
      <c r="E359">
        <v>600</v>
      </c>
      <c r="F359">
        <v>83.4</v>
      </c>
      <c r="G359">
        <v>5.34</v>
      </c>
      <c r="H359">
        <v>1.57</v>
      </c>
      <c r="I359">
        <v>9.4</v>
      </c>
      <c r="J359">
        <v>14</v>
      </c>
      <c r="K359" t="s">
        <v>23</v>
      </c>
    </row>
    <row r="360" spans="1:11" x14ac:dyDescent="0.25">
      <c r="A360">
        <v>300</v>
      </c>
      <c r="B360">
        <v>11.47</v>
      </c>
      <c r="C360" t="s">
        <v>22</v>
      </c>
      <c r="D360" t="s">
        <v>17</v>
      </c>
      <c r="E360">
        <v>150</v>
      </c>
      <c r="F360">
        <v>55</v>
      </c>
      <c r="G360">
        <v>16.760000000000002</v>
      </c>
      <c r="H360">
        <v>2.96</v>
      </c>
      <c r="I360">
        <v>25.81</v>
      </c>
      <c r="J360">
        <v>4</v>
      </c>
      <c r="K360" t="s">
        <v>13</v>
      </c>
    </row>
    <row r="361" spans="1:11" x14ac:dyDescent="0.25">
      <c r="A361">
        <v>1200</v>
      </c>
      <c r="B361">
        <v>38.61</v>
      </c>
      <c r="C361" t="s">
        <v>19</v>
      </c>
      <c r="D361" t="s">
        <v>15</v>
      </c>
      <c r="E361">
        <v>1500</v>
      </c>
      <c r="F361">
        <v>41.5</v>
      </c>
      <c r="G361">
        <v>12.53</v>
      </c>
      <c r="H361">
        <v>5.45</v>
      </c>
      <c r="I361">
        <v>14.12</v>
      </c>
      <c r="J361">
        <v>25</v>
      </c>
      <c r="K361" t="s">
        <v>16</v>
      </c>
    </row>
    <row r="362" spans="1:11" x14ac:dyDescent="0.25">
      <c r="A362">
        <v>200</v>
      </c>
      <c r="B362">
        <v>11.62</v>
      </c>
      <c r="C362" t="s">
        <v>14</v>
      </c>
      <c r="D362" t="s">
        <v>12</v>
      </c>
      <c r="E362">
        <v>900</v>
      </c>
      <c r="F362">
        <v>14.9</v>
      </c>
      <c r="G362">
        <v>18.899999999999999</v>
      </c>
      <c r="H362">
        <v>7.87</v>
      </c>
      <c r="I362">
        <v>67.73</v>
      </c>
      <c r="J362">
        <v>8</v>
      </c>
      <c r="K362" t="s">
        <v>16</v>
      </c>
    </row>
    <row r="363" spans="1:11" x14ac:dyDescent="0.25">
      <c r="A363">
        <v>800</v>
      </c>
      <c r="B363">
        <v>31.61</v>
      </c>
      <c r="C363" t="s">
        <v>19</v>
      </c>
      <c r="D363" t="s">
        <v>20</v>
      </c>
      <c r="E363">
        <v>300</v>
      </c>
      <c r="F363">
        <v>87</v>
      </c>
      <c r="G363">
        <v>7.94</v>
      </c>
      <c r="H363">
        <v>5.94</v>
      </c>
      <c r="I363">
        <v>18.79</v>
      </c>
      <c r="J363">
        <v>7</v>
      </c>
      <c r="K363" t="s">
        <v>16</v>
      </c>
    </row>
    <row r="364" spans="1:11" x14ac:dyDescent="0.25">
      <c r="A364">
        <v>200</v>
      </c>
      <c r="B364">
        <v>6.74</v>
      </c>
      <c r="C364" t="s">
        <v>14</v>
      </c>
      <c r="D364" t="s">
        <v>20</v>
      </c>
      <c r="E364">
        <v>2500</v>
      </c>
      <c r="F364">
        <v>10.1</v>
      </c>
      <c r="G364">
        <v>10.63</v>
      </c>
      <c r="H364">
        <v>5.21</v>
      </c>
      <c r="I364">
        <v>77.3</v>
      </c>
      <c r="J364">
        <v>21</v>
      </c>
      <c r="K364" t="s">
        <v>16</v>
      </c>
    </row>
    <row r="365" spans="1:11" x14ac:dyDescent="0.25">
      <c r="A365">
        <v>800</v>
      </c>
      <c r="B365">
        <v>17.350000000000001</v>
      </c>
      <c r="C365" t="s">
        <v>14</v>
      </c>
      <c r="D365" t="s">
        <v>20</v>
      </c>
      <c r="E365">
        <v>150</v>
      </c>
      <c r="F365">
        <v>20.100000000000001</v>
      </c>
      <c r="G365">
        <v>16.34</v>
      </c>
      <c r="H365">
        <v>7.86</v>
      </c>
      <c r="I365">
        <v>45.3</v>
      </c>
      <c r="J365">
        <v>2</v>
      </c>
      <c r="K365" t="s">
        <v>16</v>
      </c>
    </row>
    <row r="366" spans="1:11" x14ac:dyDescent="0.25">
      <c r="A366">
        <v>1200</v>
      </c>
      <c r="B366">
        <v>32.64</v>
      </c>
      <c r="C366" t="s">
        <v>22</v>
      </c>
      <c r="D366" t="s">
        <v>18</v>
      </c>
      <c r="E366">
        <v>300</v>
      </c>
      <c r="F366">
        <v>18.7</v>
      </c>
      <c r="G366">
        <v>9.66</v>
      </c>
      <c r="H366">
        <v>5.42</v>
      </c>
      <c r="I366">
        <v>16.61</v>
      </c>
      <c r="J366">
        <v>11</v>
      </c>
      <c r="K366" t="s">
        <v>16</v>
      </c>
    </row>
    <row r="367" spans="1:11" x14ac:dyDescent="0.25">
      <c r="A367">
        <v>50</v>
      </c>
      <c r="B367">
        <v>5.73</v>
      </c>
      <c r="C367" t="s">
        <v>22</v>
      </c>
      <c r="D367" t="s">
        <v>12</v>
      </c>
      <c r="E367">
        <v>600</v>
      </c>
      <c r="F367">
        <v>3.2</v>
      </c>
      <c r="G367">
        <v>9.01</v>
      </c>
      <c r="H367">
        <v>0.33</v>
      </c>
      <c r="I367">
        <v>5.76</v>
      </c>
      <c r="J367">
        <v>19</v>
      </c>
      <c r="K367" t="s">
        <v>23</v>
      </c>
    </row>
    <row r="368" spans="1:11" x14ac:dyDescent="0.25">
      <c r="A368">
        <v>500</v>
      </c>
      <c r="B368">
        <v>15.5</v>
      </c>
      <c r="C368" t="s">
        <v>19</v>
      </c>
      <c r="D368" t="s">
        <v>12</v>
      </c>
      <c r="E368">
        <v>2500</v>
      </c>
      <c r="F368">
        <v>32</v>
      </c>
      <c r="G368">
        <v>9.84</v>
      </c>
      <c r="H368">
        <v>8.8800000000000008</v>
      </c>
      <c r="I368">
        <v>57.29</v>
      </c>
      <c r="J368">
        <v>17</v>
      </c>
      <c r="K368" t="s">
        <v>16</v>
      </c>
    </row>
    <row r="369" spans="1:11" x14ac:dyDescent="0.25">
      <c r="A369">
        <v>400</v>
      </c>
      <c r="B369">
        <v>15.39</v>
      </c>
      <c r="C369" t="s">
        <v>11</v>
      </c>
      <c r="D369" t="s">
        <v>15</v>
      </c>
      <c r="E369">
        <v>2500</v>
      </c>
      <c r="F369">
        <v>62.2</v>
      </c>
      <c r="G369">
        <v>0.26</v>
      </c>
      <c r="H369">
        <v>8.5500000000000007</v>
      </c>
      <c r="I369">
        <v>55.56</v>
      </c>
      <c r="J369">
        <v>4</v>
      </c>
      <c r="K369" t="s">
        <v>16</v>
      </c>
    </row>
    <row r="370" spans="1:11" x14ac:dyDescent="0.25">
      <c r="A370">
        <v>200</v>
      </c>
      <c r="B370">
        <v>7.27</v>
      </c>
      <c r="C370" t="s">
        <v>11</v>
      </c>
      <c r="D370" t="s">
        <v>20</v>
      </c>
      <c r="E370">
        <v>600</v>
      </c>
      <c r="F370">
        <v>115.3</v>
      </c>
      <c r="G370">
        <v>19.989999999999998</v>
      </c>
      <c r="H370">
        <v>1.2</v>
      </c>
      <c r="I370">
        <v>16.510000000000002</v>
      </c>
      <c r="J370">
        <v>6</v>
      </c>
      <c r="K370" t="s">
        <v>23</v>
      </c>
    </row>
    <row r="371" spans="1:11" x14ac:dyDescent="0.25">
      <c r="A371">
        <v>1200</v>
      </c>
      <c r="B371">
        <v>38.24</v>
      </c>
      <c r="C371" t="s">
        <v>14</v>
      </c>
      <c r="D371" t="s">
        <v>18</v>
      </c>
      <c r="E371">
        <v>300</v>
      </c>
      <c r="F371">
        <v>91.6</v>
      </c>
      <c r="G371">
        <v>2.71</v>
      </c>
      <c r="H371">
        <v>1.98</v>
      </c>
      <c r="I371">
        <v>5.18</v>
      </c>
      <c r="J371">
        <v>8</v>
      </c>
      <c r="K371" t="s">
        <v>23</v>
      </c>
    </row>
    <row r="372" spans="1:11" x14ac:dyDescent="0.25">
      <c r="A372">
        <v>300</v>
      </c>
      <c r="B372">
        <v>15.69</v>
      </c>
      <c r="C372" t="s">
        <v>19</v>
      </c>
      <c r="D372" t="s">
        <v>17</v>
      </c>
      <c r="E372">
        <v>300</v>
      </c>
      <c r="F372">
        <v>27.8</v>
      </c>
      <c r="G372">
        <v>4.53</v>
      </c>
      <c r="H372">
        <v>3.86</v>
      </c>
      <c r="I372">
        <v>24.6</v>
      </c>
      <c r="J372">
        <v>22</v>
      </c>
      <c r="K372" t="s">
        <v>13</v>
      </c>
    </row>
    <row r="373" spans="1:11" x14ac:dyDescent="0.25">
      <c r="A373">
        <v>200</v>
      </c>
      <c r="B373">
        <v>9.94</v>
      </c>
      <c r="C373" t="s">
        <v>11</v>
      </c>
      <c r="D373" t="s">
        <v>12</v>
      </c>
      <c r="E373">
        <v>1500</v>
      </c>
      <c r="F373">
        <v>37.200000000000003</v>
      </c>
      <c r="G373">
        <v>1.22</v>
      </c>
      <c r="H373">
        <v>1.07</v>
      </c>
      <c r="I373">
        <v>10.76</v>
      </c>
      <c r="J373">
        <v>14</v>
      </c>
      <c r="K373" t="s">
        <v>23</v>
      </c>
    </row>
    <row r="374" spans="1:11" x14ac:dyDescent="0.25">
      <c r="A374">
        <v>50</v>
      </c>
      <c r="B374">
        <v>5.65</v>
      </c>
      <c r="C374" t="s">
        <v>14</v>
      </c>
      <c r="D374" t="s">
        <v>18</v>
      </c>
      <c r="E374">
        <v>600</v>
      </c>
      <c r="F374">
        <v>-40.9</v>
      </c>
      <c r="G374">
        <v>6.92</v>
      </c>
      <c r="H374">
        <v>9.1300000000000008</v>
      </c>
      <c r="I374">
        <v>161.59</v>
      </c>
      <c r="J374">
        <v>22</v>
      </c>
      <c r="K374" t="s">
        <v>16</v>
      </c>
    </row>
    <row r="375" spans="1:11" x14ac:dyDescent="0.25">
      <c r="A375">
        <v>50</v>
      </c>
      <c r="B375">
        <v>3.66</v>
      </c>
      <c r="C375" t="s">
        <v>21</v>
      </c>
      <c r="D375" t="s">
        <v>15</v>
      </c>
      <c r="E375">
        <v>900</v>
      </c>
      <c r="F375">
        <v>78.5</v>
      </c>
      <c r="G375">
        <v>3.75</v>
      </c>
      <c r="H375">
        <v>0.31</v>
      </c>
      <c r="I375">
        <v>8.4700000000000006</v>
      </c>
      <c r="J375">
        <v>25</v>
      </c>
      <c r="K375" t="s">
        <v>23</v>
      </c>
    </row>
    <row r="376" spans="1:11" x14ac:dyDescent="0.25">
      <c r="A376">
        <v>800</v>
      </c>
      <c r="B376">
        <v>16.71</v>
      </c>
      <c r="C376" t="s">
        <v>22</v>
      </c>
      <c r="D376" t="s">
        <v>20</v>
      </c>
      <c r="E376">
        <v>150</v>
      </c>
      <c r="F376">
        <v>-18.600000000000001</v>
      </c>
      <c r="G376">
        <v>6.23</v>
      </c>
      <c r="H376">
        <v>7.8</v>
      </c>
      <c r="I376">
        <v>46.68</v>
      </c>
      <c r="J376">
        <v>2</v>
      </c>
      <c r="K376" t="s">
        <v>16</v>
      </c>
    </row>
    <row r="377" spans="1:11" x14ac:dyDescent="0.25">
      <c r="A377">
        <v>200</v>
      </c>
      <c r="B377">
        <v>7.49</v>
      </c>
      <c r="C377" t="s">
        <v>21</v>
      </c>
      <c r="D377" t="s">
        <v>17</v>
      </c>
      <c r="E377">
        <v>900</v>
      </c>
      <c r="F377">
        <v>48.1</v>
      </c>
      <c r="G377">
        <v>13.08</v>
      </c>
      <c r="H377">
        <v>7.44</v>
      </c>
      <c r="I377">
        <v>99.33</v>
      </c>
      <c r="J377">
        <v>14</v>
      </c>
      <c r="K377" t="s">
        <v>16</v>
      </c>
    </row>
    <row r="378" spans="1:11" x14ac:dyDescent="0.25">
      <c r="A378">
        <v>50</v>
      </c>
      <c r="B378">
        <v>5.82</v>
      </c>
      <c r="C378" t="s">
        <v>21</v>
      </c>
      <c r="D378" t="s">
        <v>18</v>
      </c>
      <c r="E378">
        <v>900</v>
      </c>
      <c r="F378">
        <v>67.8</v>
      </c>
      <c r="G378">
        <v>5.7</v>
      </c>
      <c r="H378">
        <v>1.77</v>
      </c>
      <c r="I378">
        <v>30.41</v>
      </c>
      <c r="J378">
        <v>20</v>
      </c>
      <c r="K378" t="s">
        <v>23</v>
      </c>
    </row>
    <row r="379" spans="1:11" x14ac:dyDescent="0.25">
      <c r="A379">
        <v>50</v>
      </c>
      <c r="B379">
        <v>4.29</v>
      </c>
      <c r="C379" t="s">
        <v>14</v>
      </c>
      <c r="D379" t="s">
        <v>15</v>
      </c>
      <c r="E379">
        <v>600</v>
      </c>
      <c r="F379">
        <v>37.200000000000003</v>
      </c>
      <c r="G379">
        <v>19.350000000000001</v>
      </c>
      <c r="H379">
        <v>4.88</v>
      </c>
      <c r="I379">
        <v>113.75</v>
      </c>
      <c r="J379">
        <v>19</v>
      </c>
      <c r="K379" t="s">
        <v>13</v>
      </c>
    </row>
    <row r="380" spans="1:11" x14ac:dyDescent="0.25">
      <c r="A380">
        <v>1500</v>
      </c>
      <c r="B380">
        <v>31.98</v>
      </c>
      <c r="C380" t="s">
        <v>21</v>
      </c>
      <c r="D380" t="s">
        <v>18</v>
      </c>
      <c r="E380">
        <v>600</v>
      </c>
      <c r="F380">
        <v>-37.700000000000003</v>
      </c>
      <c r="G380">
        <v>2.6</v>
      </c>
      <c r="H380">
        <v>4.74</v>
      </c>
      <c r="I380">
        <v>14.82</v>
      </c>
      <c r="J380">
        <v>8</v>
      </c>
      <c r="K380" t="s">
        <v>13</v>
      </c>
    </row>
    <row r="381" spans="1:11" x14ac:dyDescent="0.25">
      <c r="A381">
        <v>1200</v>
      </c>
      <c r="B381">
        <v>25.4</v>
      </c>
      <c r="C381" t="s">
        <v>19</v>
      </c>
      <c r="D381" t="s">
        <v>12</v>
      </c>
      <c r="E381">
        <v>300</v>
      </c>
      <c r="F381">
        <v>-7.9</v>
      </c>
      <c r="G381">
        <v>1.88</v>
      </c>
      <c r="H381">
        <v>3.47</v>
      </c>
      <c r="I381">
        <v>13.66</v>
      </c>
      <c r="J381">
        <v>14</v>
      </c>
      <c r="K381" t="s">
        <v>13</v>
      </c>
    </row>
    <row r="382" spans="1:11" x14ac:dyDescent="0.25">
      <c r="A382">
        <v>1500</v>
      </c>
      <c r="B382">
        <v>28.54</v>
      </c>
      <c r="C382" t="s">
        <v>14</v>
      </c>
      <c r="D382" t="s">
        <v>17</v>
      </c>
      <c r="E382">
        <v>600</v>
      </c>
      <c r="F382">
        <v>-14.3</v>
      </c>
      <c r="G382">
        <v>15.64</v>
      </c>
      <c r="H382">
        <v>9.3000000000000007</v>
      </c>
      <c r="I382">
        <v>32.590000000000003</v>
      </c>
      <c r="J382">
        <v>22</v>
      </c>
      <c r="K382" t="s">
        <v>16</v>
      </c>
    </row>
    <row r="383" spans="1:11" x14ac:dyDescent="0.25">
      <c r="A383">
        <v>50</v>
      </c>
      <c r="B383">
        <v>4.82</v>
      </c>
      <c r="C383" t="s">
        <v>22</v>
      </c>
      <c r="D383" t="s">
        <v>20</v>
      </c>
      <c r="E383">
        <v>900</v>
      </c>
      <c r="F383">
        <v>16.8</v>
      </c>
      <c r="G383">
        <v>12.1</v>
      </c>
      <c r="H383">
        <v>8.4</v>
      </c>
      <c r="I383">
        <v>174.27</v>
      </c>
      <c r="J383">
        <v>4</v>
      </c>
      <c r="K383" t="s">
        <v>16</v>
      </c>
    </row>
    <row r="384" spans="1:11" x14ac:dyDescent="0.25">
      <c r="A384">
        <v>300</v>
      </c>
      <c r="B384">
        <v>16.329999999999998</v>
      </c>
      <c r="C384" t="s">
        <v>11</v>
      </c>
      <c r="D384" t="s">
        <v>18</v>
      </c>
      <c r="E384">
        <v>2500</v>
      </c>
      <c r="F384">
        <v>65.8</v>
      </c>
      <c r="G384">
        <v>11.08</v>
      </c>
      <c r="H384">
        <v>1.6</v>
      </c>
      <c r="I384">
        <v>9.8000000000000007</v>
      </c>
      <c r="J384">
        <v>18</v>
      </c>
      <c r="K384" t="s">
        <v>23</v>
      </c>
    </row>
    <row r="385" spans="1:11" x14ac:dyDescent="0.25">
      <c r="A385">
        <v>1500</v>
      </c>
      <c r="B385">
        <v>34.75</v>
      </c>
      <c r="C385" t="s">
        <v>14</v>
      </c>
      <c r="D385" t="s">
        <v>17</v>
      </c>
      <c r="E385">
        <v>2500</v>
      </c>
      <c r="F385">
        <v>15.2</v>
      </c>
      <c r="G385">
        <v>18.760000000000002</v>
      </c>
      <c r="H385">
        <v>5.44</v>
      </c>
      <c r="I385">
        <v>15.65</v>
      </c>
      <c r="J385">
        <v>21</v>
      </c>
      <c r="K385" t="s">
        <v>16</v>
      </c>
    </row>
    <row r="386" spans="1:11" x14ac:dyDescent="0.25">
      <c r="A386">
        <v>150</v>
      </c>
      <c r="B386">
        <v>5.08</v>
      </c>
      <c r="C386" t="s">
        <v>21</v>
      </c>
      <c r="D386" t="s">
        <v>17</v>
      </c>
      <c r="E386">
        <v>600</v>
      </c>
      <c r="F386">
        <v>21.5</v>
      </c>
      <c r="G386">
        <v>15.15</v>
      </c>
      <c r="H386">
        <v>3.88</v>
      </c>
      <c r="I386">
        <v>76.38</v>
      </c>
      <c r="J386">
        <v>17</v>
      </c>
      <c r="K386" t="s">
        <v>13</v>
      </c>
    </row>
    <row r="387" spans="1:11" x14ac:dyDescent="0.25">
      <c r="A387">
        <v>250</v>
      </c>
      <c r="B387">
        <v>9.92</v>
      </c>
      <c r="C387" t="s">
        <v>22</v>
      </c>
      <c r="D387" t="s">
        <v>12</v>
      </c>
      <c r="E387">
        <v>150</v>
      </c>
      <c r="F387">
        <v>-18.7</v>
      </c>
      <c r="G387">
        <v>3.27</v>
      </c>
      <c r="H387">
        <v>1.61</v>
      </c>
      <c r="I387">
        <v>16.23</v>
      </c>
      <c r="J387">
        <v>17</v>
      </c>
      <c r="K387" t="s">
        <v>23</v>
      </c>
    </row>
    <row r="388" spans="1:11" x14ac:dyDescent="0.25">
      <c r="A388">
        <v>50</v>
      </c>
      <c r="B388">
        <v>3.86</v>
      </c>
      <c r="C388" t="s">
        <v>11</v>
      </c>
      <c r="D388" t="s">
        <v>18</v>
      </c>
      <c r="E388">
        <v>600</v>
      </c>
      <c r="F388">
        <v>141.6</v>
      </c>
      <c r="G388">
        <v>11.94</v>
      </c>
      <c r="H388">
        <v>7.18</v>
      </c>
      <c r="I388">
        <v>186.01</v>
      </c>
      <c r="J388">
        <v>8</v>
      </c>
      <c r="K388" t="s">
        <v>16</v>
      </c>
    </row>
    <row r="389" spans="1:11" x14ac:dyDescent="0.25">
      <c r="A389">
        <v>50</v>
      </c>
      <c r="B389">
        <v>5.74</v>
      </c>
      <c r="C389" t="s">
        <v>19</v>
      </c>
      <c r="D389" t="s">
        <v>15</v>
      </c>
      <c r="E389">
        <v>300</v>
      </c>
      <c r="F389">
        <v>19.899999999999999</v>
      </c>
      <c r="G389">
        <v>8.8000000000000007</v>
      </c>
      <c r="H389">
        <v>4.18</v>
      </c>
      <c r="I389">
        <v>72.819999999999993</v>
      </c>
      <c r="J389">
        <v>8</v>
      </c>
      <c r="K389" t="s">
        <v>13</v>
      </c>
    </row>
    <row r="390" spans="1:11" x14ac:dyDescent="0.25">
      <c r="A390">
        <v>500</v>
      </c>
      <c r="B390">
        <v>10.93</v>
      </c>
      <c r="C390" t="s">
        <v>14</v>
      </c>
      <c r="D390" t="s">
        <v>17</v>
      </c>
      <c r="E390">
        <v>600</v>
      </c>
      <c r="F390">
        <v>100.2</v>
      </c>
      <c r="G390">
        <v>11.3</v>
      </c>
      <c r="H390">
        <v>9.6199999999999992</v>
      </c>
      <c r="I390">
        <v>88.01</v>
      </c>
      <c r="J390">
        <v>12</v>
      </c>
      <c r="K390" t="s">
        <v>16</v>
      </c>
    </row>
    <row r="391" spans="1:11" x14ac:dyDescent="0.25">
      <c r="A391">
        <v>1500</v>
      </c>
      <c r="B391">
        <v>23.47</v>
      </c>
      <c r="C391" t="s">
        <v>21</v>
      </c>
      <c r="D391" t="s">
        <v>17</v>
      </c>
      <c r="E391">
        <v>150</v>
      </c>
      <c r="F391">
        <v>18.3</v>
      </c>
      <c r="G391">
        <v>10.75</v>
      </c>
      <c r="H391">
        <v>9.02</v>
      </c>
      <c r="I391">
        <v>38.43</v>
      </c>
      <c r="J391">
        <v>9</v>
      </c>
      <c r="K391" t="s">
        <v>16</v>
      </c>
    </row>
    <row r="392" spans="1:11" x14ac:dyDescent="0.25">
      <c r="A392">
        <v>400</v>
      </c>
      <c r="B392">
        <v>9.44</v>
      </c>
      <c r="C392" t="s">
        <v>22</v>
      </c>
      <c r="D392" t="s">
        <v>15</v>
      </c>
      <c r="E392">
        <v>1500</v>
      </c>
      <c r="F392">
        <v>31.7</v>
      </c>
      <c r="G392">
        <v>3.39</v>
      </c>
      <c r="H392">
        <v>0.99</v>
      </c>
      <c r="I392">
        <v>10.49</v>
      </c>
      <c r="J392">
        <v>4</v>
      </c>
      <c r="K392" t="s">
        <v>23</v>
      </c>
    </row>
    <row r="393" spans="1:11" x14ac:dyDescent="0.25">
      <c r="A393">
        <v>500</v>
      </c>
      <c r="B393">
        <v>20.010000000000002</v>
      </c>
      <c r="C393" t="s">
        <v>21</v>
      </c>
      <c r="D393" t="s">
        <v>15</v>
      </c>
      <c r="E393">
        <v>300</v>
      </c>
      <c r="F393">
        <v>5.6</v>
      </c>
      <c r="G393">
        <v>2.64</v>
      </c>
      <c r="H393">
        <v>4.99</v>
      </c>
      <c r="I393">
        <v>24.94</v>
      </c>
      <c r="J393">
        <v>23</v>
      </c>
      <c r="K393" t="s">
        <v>13</v>
      </c>
    </row>
    <row r="394" spans="1:11" x14ac:dyDescent="0.25">
      <c r="A394">
        <v>250</v>
      </c>
      <c r="B394">
        <v>14.24</v>
      </c>
      <c r="C394" t="s">
        <v>22</v>
      </c>
      <c r="D394" t="s">
        <v>17</v>
      </c>
      <c r="E394">
        <v>2500</v>
      </c>
      <c r="F394">
        <v>136.6</v>
      </c>
      <c r="G394">
        <v>4.53</v>
      </c>
      <c r="H394">
        <v>1.1000000000000001</v>
      </c>
      <c r="I394">
        <v>7.72</v>
      </c>
      <c r="J394">
        <v>18</v>
      </c>
      <c r="K394" t="s">
        <v>23</v>
      </c>
    </row>
    <row r="395" spans="1:11" x14ac:dyDescent="0.25">
      <c r="A395">
        <v>50</v>
      </c>
      <c r="B395">
        <v>5.0999999999999996</v>
      </c>
      <c r="C395" t="s">
        <v>21</v>
      </c>
      <c r="D395" t="s">
        <v>12</v>
      </c>
      <c r="E395">
        <v>600</v>
      </c>
      <c r="F395">
        <v>80.2</v>
      </c>
      <c r="G395">
        <v>10.57</v>
      </c>
      <c r="H395">
        <v>6.93</v>
      </c>
      <c r="I395">
        <v>135.88</v>
      </c>
      <c r="J395">
        <v>18</v>
      </c>
      <c r="K395" t="s">
        <v>16</v>
      </c>
    </row>
    <row r="396" spans="1:11" x14ac:dyDescent="0.25">
      <c r="A396">
        <v>100</v>
      </c>
      <c r="B396">
        <v>5.95</v>
      </c>
      <c r="C396" t="s">
        <v>22</v>
      </c>
      <c r="D396" t="s">
        <v>15</v>
      </c>
      <c r="E396">
        <v>150</v>
      </c>
      <c r="F396">
        <v>69.3</v>
      </c>
      <c r="G396">
        <v>18.23</v>
      </c>
      <c r="H396">
        <v>5.37</v>
      </c>
      <c r="I396">
        <v>90.25</v>
      </c>
      <c r="J396">
        <v>5</v>
      </c>
      <c r="K396" t="s">
        <v>16</v>
      </c>
    </row>
    <row r="397" spans="1:11" x14ac:dyDescent="0.25">
      <c r="A397">
        <v>50</v>
      </c>
      <c r="B397">
        <v>4.43</v>
      </c>
      <c r="C397" t="s">
        <v>19</v>
      </c>
      <c r="D397" t="s">
        <v>15</v>
      </c>
      <c r="E397">
        <v>600</v>
      </c>
      <c r="F397">
        <v>16.100000000000001</v>
      </c>
      <c r="G397">
        <v>16.91</v>
      </c>
      <c r="H397">
        <v>4.09</v>
      </c>
      <c r="I397">
        <v>92.33</v>
      </c>
      <c r="J397">
        <v>16</v>
      </c>
      <c r="K397" t="s">
        <v>13</v>
      </c>
    </row>
    <row r="398" spans="1:11" x14ac:dyDescent="0.25">
      <c r="A398">
        <v>100</v>
      </c>
      <c r="B398">
        <v>5.33</v>
      </c>
      <c r="C398" t="s">
        <v>22</v>
      </c>
      <c r="D398" t="s">
        <v>12</v>
      </c>
      <c r="E398">
        <v>1500</v>
      </c>
      <c r="F398">
        <v>50.9</v>
      </c>
      <c r="G398">
        <v>16.47</v>
      </c>
      <c r="H398">
        <v>2.04</v>
      </c>
      <c r="I398">
        <v>38.270000000000003</v>
      </c>
      <c r="J398">
        <v>16</v>
      </c>
      <c r="K398" t="s">
        <v>13</v>
      </c>
    </row>
    <row r="399" spans="1:11" x14ac:dyDescent="0.25">
      <c r="A399">
        <v>600</v>
      </c>
      <c r="B399">
        <v>24.6</v>
      </c>
      <c r="C399" t="s">
        <v>14</v>
      </c>
      <c r="D399" t="s">
        <v>18</v>
      </c>
      <c r="E399">
        <v>2500</v>
      </c>
      <c r="F399">
        <v>2.7</v>
      </c>
      <c r="G399">
        <v>1.98</v>
      </c>
      <c r="H399">
        <v>7.53</v>
      </c>
      <c r="I399">
        <v>30.61</v>
      </c>
      <c r="J399">
        <v>6</v>
      </c>
      <c r="K399" t="s">
        <v>16</v>
      </c>
    </row>
    <row r="400" spans="1:11" x14ac:dyDescent="0.25">
      <c r="A400">
        <v>250</v>
      </c>
      <c r="B400">
        <v>13.65</v>
      </c>
      <c r="C400" t="s">
        <v>21</v>
      </c>
      <c r="D400" t="s">
        <v>12</v>
      </c>
      <c r="E400">
        <v>300</v>
      </c>
      <c r="F400">
        <v>45.9</v>
      </c>
      <c r="G400">
        <v>12.65</v>
      </c>
      <c r="H400">
        <v>7.65</v>
      </c>
      <c r="I400">
        <v>56.04</v>
      </c>
      <c r="J400">
        <v>9</v>
      </c>
      <c r="K400" t="s">
        <v>16</v>
      </c>
    </row>
    <row r="401" spans="1:11" x14ac:dyDescent="0.25">
      <c r="A401">
        <v>1200</v>
      </c>
      <c r="B401">
        <v>24.59</v>
      </c>
      <c r="C401" t="s">
        <v>22</v>
      </c>
      <c r="D401" t="s">
        <v>20</v>
      </c>
      <c r="E401">
        <v>300</v>
      </c>
      <c r="F401">
        <v>72.8</v>
      </c>
      <c r="G401">
        <v>12.85</v>
      </c>
      <c r="H401">
        <v>8.44</v>
      </c>
      <c r="I401">
        <v>34.32</v>
      </c>
      <c r="J401">
        <v>13</v>
      </c>
      <c r="K401" t="s">
        <v>16</v>
      </c>
    </row>
    <row r="402" spans="1:11" x14ac:dyDescent="0.25">
      <c r="A402">
        <v>400</v>
      </c>
      <c r="B402">
        <v>16.12</v>
      </c>
      <c r="C402" t="s">
        <v>19</v>
      </c>
      <c r="D402" t="s">
        <v>15</v>
      </c>
      <c r="E402">
        <v>150</v>
      </c>
      <c r="F402">
        <v>84</v>
      </c>
      <c r="G402">
        <v>12.61</v>
      </c>
      <c r="H402">
        <v>6.86</v>
      </c>
      <c r="I402">
        <v>42.56</v>
      </c>
      <c r="J402">
        <v>3</v>
      </c>
      <c r="K402" t="s">
        <v>16</v>
      </c>
    </row>
    <row r="403" spans="1:11" x14ac:dyDescent="0.25">
      <c r="A403">
        <v>1500</v>
      </c>
      <c r="B403">
        <v>39.33</v>
      </c>
      <c r="C403" t="s">
        <v>19</v>
      </c>
      <c r="D403" t="s">
        <v>12</v>
      </c>
      <c r="E403">
        <v>300</v>
      </c>
      <c r="F403">
        <v>-13.1</v>
      </c>
      <c r="G403">
        <v>6.78</v>
      </c>
      <c r="H403">
        <v>3.13</v>
      </c>
      <c r="I403">
        <v>7.96</v>
      </c>
      <c r="J403">
        <v>19</v>
      </c>
      <c r="K403" t="s">
        <v>13</v>
      </c>
    </row>
    <row r="404" spans="1:11" x14ac:dyDescent="0.25">
      <c r="A404">
        <v>500</v>
      </c>
      <c r="B404">
        <v>9.5399999999999991</v>
      </c>
      <c r="C404" t="s">
        <v>22</v>
      </c>
      <c r="D404" t="s">
        <v>15</v>
      </c>
      <c r="E404">
        <v>900</v>
      </c>
      <c r="F404">
        <v>48.6</v>
      </c>
      <c r="G404">
        <v>11.26</v>
      </c>
      <c r="H404">
        <v>3.14</v>
      </c>
      <c r="I404">
        <v>32.909999999999997</v>
      </c>
      <c r="J404">
        <v>10</v>
      </c>
      <c r="K404" t="s">
        <v>13</v>
      </c>
    </row>
    <row r="405" spans="1:11" x14ac:dyDescent="0.25">
      <c r="A405">
        <v>100</v>
      </c>
      <c r="B405">
        <v>6.67</v>
      </c>
      <c r="C405" t="s">
        <v>11</v>
      </c>
      <c r="D405" t="s">
        <v>17</v>
      </c>
      <c r="E405">
        <v>150</v>
      </c>
      <c r="F405">
        <v>-13.9</v>
      </c>
      <c r="G405">
        <v>9.73</v>
      </c>
      <c r="H405">
        <v>8.14</v>
      </c>
      <c r="I405">
        <v>122.04</v>
      </c>
      <c r="J405">
        <v>3</v>
      </c>
      <c r="K405" t="s">
        <v>16</v>
      </c>
    </row>
    <row r="406" spans="1:11" x14ac:dyDescent="0.25">
      <c r="A406">
        <v>50</v>
      </c>
      <c r="B406">
        <v>3</v>
      </c>
      <c r="C406" t="s">
        <v>22</v>
      </c>
      <c r="D406" t="s">
        <v>12</v>
      </c>
      <c r="E406">
        <v>2500</v>
      </c>
      <c r="F406">
        <v>149.5</v>
      </c>
      <c r="G406">
        <v>9.41</v>
      </c>
      <c r="H406">
        <v>2.44</v>
      </c>
      <c r="I406">
        <v>81.33</v>
      </c>
      <c r="J406">
        <v>5</v>
      </c>
      <c r="K406" t="s">
        <v>13</v>
      </c>
    </row>
    <row r="407" spans="1:11" x14ac:dyDescent="0.25">
      <c r="A407">
        <v>600</v>
      </c>
      <c r="B407">
        <v>18.899999999999999</v>
      </c>
      <c r="C407" t="s">
        <v>14</v>
      </c>
      <c r="D407" t="s">
        <v>17</v>
      </c>
      <c r="E407">
        <v>300</v>
      </c>
      <c r="F407">
        <v>117.6</v>
      </c>
      <c r="G407">
        <v>18.88</v>
      </c>
      <c r="H407">
        <v>8.35</v>
      </c>
      <c r="I407">
        <v>44.18</v>
      </c>
      <c r="J407">
        <v>2</v>
      </c>
      <c r="K407" t="s">
        <v>16</v>
      </c>
    </row>
    <row r="408" spans="1:11" x14ac:dyDescent="0.25">
      <c r="A408">
        <v>1000</v>
      </c>
      <c r="B408">
        <v>23.13</v>
      </c>
      <c r="C408" t="s">
        <v>22</v>
      </c>
      <c r="D408" t="s">
        <v>15</v>
      </c>
      <c r="E408">
        <v>900</v>
      </c>
      <c r="F408">
        <v>40.299999999999997</v>
      </c>
      <c r="G408">
        <v>8.4499999999999993</v>
      </c>
      <c r="H408">
        <v>3.98</v>
      </c>
      <c r="I408">
        <v>17.21</v>
      </c>
      <c r="J408">
        <v>12</v>
      </c>
      <c r="K408" t="s">
        <v>13</v>
      </c>
    </row>
    <row r="409" spans="1:11" x14ac:dyDescent="0.25">
      <c r="A409">
        <v>200</v>
      </c>
      <c r="B409">
        <v>11.05</v>
      </c>
      <c r="C409" t="s">
        <v>21</v>
      </c>
      <c r="D409" t="s">
        <v>17</v>
      </c>
      <c r="E409">
        <v>900</v>
      </c>
      <c r="F409">
        <v>10.1</v>
      </c>
      <c r="G409">
        <v>4.0999999999999996</v>
      </c>
      <c r="H409">
        <v>1.81</v>
      </c>
      <c r="I409">
        <v>16.38</v>
      </c>
      <c r="J409">
        <v>25</v>
      </c>
      <c r="K409" t="s">
        <v>23</v>
      </c>
    </row>
    <row r="410" spans="1:11" x14ac:dyDescent="0.25">
      <c r="A410">
        <v>400</v>
      </c>
      <c r="B410">
        <v>12.9</v>
      </c>
      <c r="C410" t="s">
        <v>14</v>
      </c>
      <c r="D410" t="s">
        <v>20</v>
      </c>
      <c r="E410">
        <v>1500</v>
      </c>
      <c r="F410">
        <v>19.8</v>
      </c>
      <c r="G410">
        <v>19.47</v>
      </c>
      <c r="H410">
        <v>2.81</v>
      </c>
      <c r="I410">
        <v>21.78</v>
      </c>
      <c r="J410">
        <v>6</v>
      </c>
      <c r="K410" t="s">
        <v>13</v>
      </c>
    </row>
    <row r="411" spans="1:11" x14ac:dyDescent="0.25">
      <c r="A411">
        <v>250</v>
      </c>
      <c r="B411">
        <v>12.98</v>
      </c>
      <c r="C411" t="s">
        <v>11</v>
      </c>
      <c r="D411" t="s">
        <v>17</v>
      </c>
      <c r="E411">
        <v>900</v>
      </c>
      <c r="F411">
        <v>102.9</v>
      </c>
      <c r="G411">
        <v>1.02</v>
      </c>
      <c r="H411">
        <v>0.88</v>
      </c>
      <c r="I411">
        <v>6.78</v>
      </c>
      <c r="J411">
        <v>19</v>
      </c>
      <c r="K411" t="s">
        <v>23</v>
      </c>
    </row>
    <row r="412" spans="1:11" x14ac:dyDescent="0.25">
      <c r="A412">
        <v>1500</v>
      </c>
      <c r="B412">
        <v>36.130000000000003</v>
      </c>
      <c r="C412" t="s">
        <v>22</v>
      </c>
      <c r="D412" t="s">
        <v>17</v>
      </c>
      <c r="E412">
        <v>900</v>
      </c>
      <c r="F412">
        <v>59.5</v>
      </c>
      <c r="G412">
        <v>2.84</v>
      </c>
      <c r="H412">
        <v>6.93</v>
      </c>
      <c r="I412">
        <v>19.18</v>
      </c>
      <c r="J412">
        <v>14</v>
      </c>
      <c r="K412" t="s">
        <v>16</v>
      </c>
    </row>
    <row r="413" spans="1:11" x14ac:dyDescent="0.25">
      <c r="A413">
        <v>100</v>
      </c>
      <c r="B413">
        <v>7.8</v>
      </c>
      <c r="C413" t="s">
        <v>14</v>
      </c>
      <c r="D413" t="s">
        <v>12</v>
      </c>
      <c r="E413">
        <v>1500</v>
      </c>
      <c r="F413">
        <v>36</v>
      </c>
      <c r="G413">
        <v>3.57</v>
      </c>
      <c r="H413">
        <v>4.6399999999999997</v>
      </c>
      <c r="I413">
        <v>59.49</v>
      </c>
      <c r="J413">
        <v>23</v>
      </c>
      <c r="K413" t="s">
        <v>13</v>
      </c>
    </row>
    <row r="414" spans="1:11" x14ac:dyDescent="0.25">
      <c r="A414">
        <v>200</v>
      </c>
      <c r="B414">
        <v>6.14</v>
      </c>
      <c r="C414" t="s">
        <v>14</v>
      </c>
      <c r="D414" t="s">
        <v>18</v>
      </c>
      <c r="E414">
        <v>900</v>
      </c>
      <c r="F414">
        <v>50.9</v>
      </c>
      <c r="G414">
        <v>16.59</v>
      </c>
      <c r="H414">
        <v>7.1</v>
      </c>
      <c r="I414">
        <v>115.64</v>
      </c>
      <c r="J414">
        <v>3</v>
      </c>
      <c r="K414" t="s">
        <v>16</v>
      </c>
    </row>
    <row r="415" spans="1:11" x14ac:dyDescent="0.25">
      <c r="A415">
        <v>100</v>
      </c>
      <c r="B415">
        <v>4.22</v>
      </c>
      <c r="C415" t="s">
        <v>14</v>
      </c>
      <c r="D415" t="s">
        <v>18</v>
      </c>
      <c r="E415">
        <v>1500</v>
      </c>
      <c r="F415">
        <v>3.5</v>
      </c>
      <c r="G415">
        <v>16.13</v>
      </c>
      <c r="H415">
        <v>0.03</v>
      </c>
      <c r="I415">
        <v>0.71</v>
      </c>
      <c r="J415">
        <v>17</v>
      </c>
      <c r="K415" t="s">
        <v>23</v>
      </c>
    </row>
    <row r="416" spans="1:11" x14ac:dyDescent="0.25">
      <c r="A416">
        <v>1000</v>
      </c>
      <c r="B416">
        <v>26.19</v>
      </c>
      <c r="C416" t="s">
        <v>19</v>
      </c>
      <c r="D416" t="s">
        <v>20</v>
      </c>
      <c r="E416">
        <v>900</v>
      </c>
      <c r="F416">
        <v>26.3</v>
      </c>
      <c r="G416">
        <v>4.38</v>
      </c>
      <c r="H416">
        <v>0.12</v>
      </c>
      <c r="I416">
        <v>0.46</v>
      </c>
      <c r="J416">
        <v>4</v>
      </c>
      <c r="K416" t="s">
        <v>23</v>
      </c>
    </row>
    <row r="417" spans="1:11" x14ac:dyDescent="0.25">
      <c r="A417">
        <v>400</v>
      </c>
      <c r="B417">
        <v>14.97</v>
      </c>
      <c r="C417" t="s">
        <v>19</v>
      </c>
      <c r="D417" t="s">
        <v>12</v>
      </c>
      <c r="E417">
        <v>2500</v>
      </c>
      <c r="F417">
        <v>3</v>
      </c>
      <c r="G417">
        <v>13.47</v>
      </c>
      <c r="H417">
        <v>3.14</v>
      </c>
      <c r="I417">
        <v>20.98</v>
      </c>
      <c r="J417">
        <v>23</v>
      </c>
      <c r="K417" t="s">
        <v>13</v>
      </c>
    </row>
    <row r="418" spans="1:11" x14ac:dyDescent="0.25">
      <c r="A418">
        <v>50</v>
      </c>
      <c r="B418">
        <v>3.63</v>
      </c>
      <c r="C418" t="s">
        <v>22</v>
      </c>
      <c r="D418" t="s">
        <v>15</v>
      </c>
      <c r="E418">
        <v>900</v>
      </c>
      <c r="F418">
        <v>35.9</v>
      </c>
      <c r="G418">
        <v>5.29</v>
      </c>
      <c r="H418">
        <v>0.55000000000000004</v>
      </c>
      <c r="I418">
        <v>15.15</v>
      </c>
      <c r="J418">
        <v>10</v>
      </c>
      <c r="K418" t="s">
        <v>23</v>
      </c>
    </row>
    <row r="419" spans="1:11" x14ac:dyDescent="0.25">
      <c r="A419">
        <v>1500</v>
      </c>
      <c r="B419">
        <v>48.32</v>
      </c>
      <c r="C419" t="s">
        <v>19</v>
      </c>
      <c r="D419" t="s">
        <v>12</v>
      </c>
      <c r="E419">
        <v>300</v>
      </c>
      <c r="F419">
        <v>90.1</v>
      </c>
      <c r="G419">
        <v>19.12</v>
      </c>
      <c r="H419">
        <v>6.42</v>
      </c>
      <c r="I419">
        <v>13.29</v>
      </c>
      <c r="J419">
        <v>2</v>
      </c>
      <c r="K419" t="s">
        <v>16</v>
      </c>
    </row>
    <row r="420" spans="1:11" x14ac:dyDescent="0.25">
      <c r="A420">
        <v>100</v>
      </c>
      <c r="B420">
        <v>4.26</v>
      </c>
      <c r="C420" t="s">
        <v>22</v>
      </c>
      <c r="D420" t="s">
        <v>12</v>
      </c>
      <c r="E420">
        <v>150</v>
      </c>
      <c r="F420">
        <v>43.5</v>
      </c>
      <c r="G420">
        <v>9.24</v>
      </c>
      <c r="H420">
        <v>3.41</v>
      </c>
      <c r="I420">
        <v>80.05</v>
      </c>
      <c r="J420">
        <v>6</v>
      </c>
      <c r="K420" t="s">
        <v>13</v>
      </c>
    </row>
    <row r="421" spans="1:11" x14ac:dyDescent="0.25">
      <c r="A421">
        <v>1500</v>
      </c>
      <c r="B421">
        <v>21.48</v>
      </c>
      <c r="C421" t="s">
        <v>22</v>
      </c>
      <c r="D421" t="s">
        <v>18</v>
      </c>
      <c r="E421">
        <v>150</v>
      </c>
      <c r="F421">
        <v>106.1</v>
      </c>
      <c r="G421">
        <v>0.13</v>
      </c>
      <c r="H421">
        <v>6.02</v>
      </c>
      <c r="I421">
        <v>28.03</v>
      </c>
      <c r="J421">
        <v>1</v>
      </c>
      <c r="K421" t="s">
        <v>16</v>
      </c>
    </row>
    <row r="422" spans="1:11" x14ac:dyDescent="0.25">
      <c r="A422">
        <v>400</v>
      </c>
      <c r="B422">
        <v>17.48</v>
      </c>
      <c r="C422" t="s">
        <v>22</v>
      </c>
      <c r="D422" t="s">
        <v>20</v>
      </c>
      <c r="E422">
        <v>150</v>
      </c>
      <c r="F422">
        <v>65.7</v>
      </c>
      <c r="G422">
        <v>16.079999999999998</v>
      </c>
      <c r="H422">
        <v>9.18</v>
      </c>
      <c r="I422">
        <v>52.52</v>
      </c>
      <c r="J422">
        <v>5</v>
      </c>
      <c r="K422" t="s">
        <v>16</v>
      </c>
    </row>
    <row r="423" spans="1:11" x14ac:dyDescent="0.25">
      <c r="A423">
        <v>50</v>
      </c>
      <c r="B423">
        <v>3.93</v>
      </c>
      <c r="C423" t="s">
        <v>21</v>
      </c>
      <c r="D423" t="s">
        <v>12</v>
      </c>
      <c r="E423">
        <v>1500</v>
      </c>
      <c r="F423">
        <v>60.9</v>
      </c>
      <c r="G423">
        <v>12.73</v>
      </c>
      <c r="H423">
        <v>2.2799999999999998</v>
      </c>
      <c r="I423">
        <v>58.02</v>
      </c>
      <c r="J423">
        <v>10</v>
      </c>
      <c r="K423" t="s">
        <v>13</v>
      </c>
    </row>
    <row r="424" spans="1:11" x14ac:dyDescent="0.25">
      <c r="A424">
        <v>100</v>
      </c>
      <c r="B424">
        <v>4.7</v>
      </c>
      <c r="C424" t="s">
        <v>22</v>
      </c>
      <c r="D424" t="s">
        <v>18</v>
      </c>
      <c r="E424">
        <v>300</v>
      </c>
      <c r="F424">
        <v>63.7</v>
      </c>
      <c r="G424">
        <v>6.81</v>
      </c>
      <c r="H424">
        <v>8.83</v>
      </c>
      <c r="I424">
        <v>187.87</v>
      </c>
      <c r="J424">
        <v>6</v>
      </c>
      <c r="K424" t="s">
        <v>16</v>
      </c>
    </row>
    <row r="425" spans="1:11" x14ac:dyDescent="0.25">
      <c r="A425">
        <v>800</v>
      </c>
      <c r="B425">
        <v>21.5</v>
      </c>
      <c r="C425" t="s">
        <v>14</v>
      </c>
      <c r="D425" t="s">
        <v>15</v>
      </c>
      <c r="E425">
        <v>150</v>
      </c>
      <c r="F425">
        <v>28.4</v>
      </c>
      <c r="G425">
        <v>13.34</v>
      </c>
      <c r="H425">
        <v>5.52</v>
      </c>
      <c r="I425">
        <v>25.67</v>
      </c>
      <c r="J425">
        <v>25</v>
      </c>
      <c r="K425" t="s">
        <v>16</v>
      </c>
    </row>
    <row r="426" spans="1:11" x14ac:dyDescent="0.25">
      <c r="A426">
        <v>600</v>
      </c>
      <c r="B426">
        <v>23.01</v>
      </c>
      <c r="C426" t="s">
        <v>21</v>
      </c>
      <c r="D426" t="s">
        <v>18</v>
      </c>
      <c r="E426">
        <v>900</v>
      </c>
      <c r="F426">
        <v>54.1</v>
      </c>
      <c r="G426">
        <v>7.44</v>
      </c>
      <c r="H426">
        <v>0.21</v>
      </c>
      <c r="I426">
        <v>0.91</v>
      </c>
      <c r="J426">
        <v>19</v>
      </c>
      <c r="K426" t="s">
        <v>23</v>
      </c>
    </row>
    <row r="427" spans="1:11" x14ac:dyDescent="0.25">
      <c r="A427">
        <v>1200</v>
      </c>
      <c r="B427">
        <v>24.51</v>
      </c>
      <c r="C427" t="s">
        <v>21</v>
      </c>
      <c r="D427" t="s">
        <v>20</v>
      </c>
      <c r="E427">
        <v>1500</v>
      </c>
      <c r="F427">
        <v>138.4</v>
      </c>
      <c r="G427">
        <v>8.83</v>
      </c>
      <c r="H427">
        <v>3.26</v>
      </c>
      <c r="I427">
        <v>13.3</v>
      </c>
      <c r="J427">
        <v>22</v>
      </c>
      <c r="K427" t="s">
        <v>13</v>
      </c>
    </row>
    <row r="428" spans="1:11" x14ac:dyDescent="0.25">
      <c r="A428">
        <v>50</v>
      </c>
      <c r="B428">
        <v>5.0999999999999996</v>
      </c>
      <c r="C428" t="s">
        <v>14</v>
      </c>
      <c r="D428" t="s">
        <v>15</v>
      </c>
      <c r="E428">
        <v>300</v>
      </c>
      <c r="F428">
        <v>5.6</v>
      </c>
      <c r="G428">
        <v>2.42</v>
      </c>
      <c r="H428">
        <v>6.46</v>
      </c>
      <c r="I428">
        <v>126.67</v>
      </c>
      <c r="J428">
        <v>21</v>
      </c>
      <c r="K428" t="s">
        <v>16</v>
      </c>
    </row>
    <row r="429" spans="1:11" x14ac:dyDescent="0.25">
      <c r="A429">
        <v>1500</v>
      </c>
      <c r="B429">
        <v>23.53</v>
      </c>
      <c r="C429" t="s">
        <v>11</v>
      </c>
      <c r="D429" t="s">
        <v>15</v>
      </c>
      <c r="E429">
        <v>1500</v>
      </c>
      <c r="F429">
        <v>6.1</v>
      </c>
      <c r="G429">
        <v>11.73</v>
      </c>
      <c r="H429">
        <v>1.53</v>
      </c>
      <c r="I429">
        <v>6.5</v>
      </c>
      <c r="J429">
        <v>5</v>
      </c>
      <c r="K429" t="s">
        <v>23</v>
      </c>
    </row>
    <row r="430" spans="1:11" x14ac:dyDescent="0.25">
      <c r="A430">
        <v>300</v>
      </c>
      <c r="B430">
        <v>15.67</v>
      </c>
      <c r="C430" t="s">
        <v>21</v>
      </c>
      <c r="D430" t="s">
        <v>12</v>
      </c>
      <c r="E430">
        <v>300</v>
      </c>
      <c r="F430">
        <v>43.3</v>
      </c>
      <c r="G430">
        <v>6.51</v>
      </c>
      <c r="H430">
        <v>4.76</v>
      </c>
      <c r="I430">
        <v>30.38</v>
      </c>
      <c r="J430">
        <v>5</v>
      </c>
      <c r="K430" t="s">
        <v>13</v>
      </c>
    </row>
    <row r="431" spans="1:11" x14ac:dyDescent="0.25">
      <c r="A431">
        <v>200</v>
      </c>
      <c r="B431">
        <v>6.3</v>
      </c>
      <c r="C431" t="s">
        <v>11</v>
      </c>
      <c r="D431" t="s">
        <v>18</v>
      </c>
      <c r="E431">
        <v>300</v>
      </c>
      <c r="F431">
        <v>62.6</v>
      </c>
      <c r="G431">
        <v>3.47</v>
      </c>
      <c r="H431">
        <v>1.55</v>
      </c>
      <c r="I431">
        <v>24.6</v>
      </c>
      <c r="J431">
        <v>19</v>
      </c>
      <c r="K431" t="s">
        <v>23</v>
      </c>
    </row>
    <row r="432" spans="1:11" x14ac:dyDescent="0.25">
      <c r="A432">
        <v>1000</v>
      </c>
      <c r="B432">
        <v>22.93</v>
      </c>
      <c r="C432" t="s">
        <v>21</v>
      </c>
      <c r="D432" t="s">
        <v>12</v>
      </c>
      <c r="E432">
        <v>900</v>
      </c>
      <c r="F432">
        <v>84.6</v>
      </c>
      <c r="G432">
        <v>7.67</v>
      </c>
      <c r="H432">
        <v>3.92</v>
      </c>
      <c r="I432">
        <v>17.100000000000001</v>
      </c>
      <c r="J432">
        <v>23</v>
      </c>
      <c r="K432" t="s">
        <v>13</v>
      </c>
    </row>
    <row r="433" spans="1:11" x14ac:dyDescent="0.25">
      <c r="A433">
        <v>300</v>
      </c>
      <c r="B433">
        <v>10.67</v>
      </c>
      <c r="C433" t="s">
        <v>21</v>
      </c>
      <c r="D433" t="s">
        <v>20</v>
      </c>
      <c r="E433">
        <v>2500</v>
      </c>
      <c r="F433">
        <v>92.3</v>
      </c>
      <c r="G433">
        <v>6.24</v>
      </c>
      <c r="H433">
        <v>6.66</v>
      </c>
      <c r="I433">
        <v>62.42</v>
      </c>
      <c r="J433">
        <v>15</v>
      </c>
      <c r="K433" t="s">
        <v>16</v>
      </c>
    </row>
    <row r="434" spans="1:11" x14ac:dyDescent="0.25">
      <c r="A434">
        <v>500</v>
      </c>
      <c r="B434">
        <v>23.22</v>
      </c>
      <c r="C434" t="s">
        <v>14</v>
      </c>
      <c r="D434" t="s">
        <v>17</v>
      </c>
      <c r="E434">
        <v>150</v>
      </c>
      <c r="F434">
        <v>45.6</v>
      </c>
      <c r="G434">
        <v>13.08</v>
      </c>
      <c r="H434">
        <v>4.97</v>
      </c>
      <c r="I434">
        <v>21.4</v>
      </c>
      <c r="J434">
        <v>13</v>
      </c>
      <c r="K434" t="s">
        <v>13</v>
      </c>
    </row>
    <row r="435" spans="1:11" x14ac:dyDescent="0.25">
      <c r="A435">
        <v>300</v>
      </c>
      <c r="B435">
        <v>12.92</v>
      </c>
      <c r="C435" t="s">
        <v>11</v>
      </c>
      <c r="D435" t="s">
        <v>12</v>
      </c>
      <c r="E435">
        <v>150</v>
      </c>
      <c r="F435">
        <v>136</v>
      </c>
      <c r="G435">
        <v>11.02</v>
      </c>
      <c r="H435">
        <v>6.79</v>
      </c>
      <c r="I435">
        <v>52.55</v>
      </c>
      <c r="J435">
        <v>6</v>
      </c>
      <c r="K435" t="s">
        <v>16</v>
      </c>
    </row>
    <row r="436" spans="1:11" x14ac:dyDescent="0.25">
      <c r="A436">
        <v>1200</v>
      </c>
      <c r="B436">
        <v>36.1</v>
      </c>
      <c r="C436" t="s">
        <v>19</v>
      </c>
      <c r="D436" t="s">
        <v>20</v>
      </c>
      <c r="E436">
        <v>900</v>
      </c>
      <c r="F436">
        <v>56.8</v>
      </c>
      <c r="G436">
        <v>10.34</v>
      </c>
      <c r="H436">
        <v>8.06</v>
      </c>
      <c r="I436">
        <v>22.33</v>
      </c>
      <c r="J436">
        <v>16</v>
      </c>
      <c r="K436" t="s">
        <v>16</v>
      </c>
    </row>
    <row r="437" spans="1:11" x14ac:dyDescent="0.25">
      <c r="A437">
        <v>200</v>
      </c>
      <c r="B437">
        <v>9.1300000000000008</v>
      </c>
      <c r="C437" t="s">
        <v>22</v>
      </c>
      <c r="D437" t="s">
        <v>12</v>
      </c>
      <c r="E437">
        <v>2500</v>
      </c>
      <c r="F437">
        <v>93.4</v>
      </c>
      <c r="G437">
        <v>10.66</v>
      </c>
      <c r="H437">
        <v>9.83</v>
      </c>
      <c r="I437">
        <v>107.67</v>
      </c>
      <c r="J437">
        <v>8</v>
      </c>
      <c r="K437" t="s">
        <v>16</v>
      </c>
    </row>
    <row r="438" spans="1:11" x14ac:dyDescent="0.25">
      <c r="A438">
        <v>500</v>
      </c>
      <c r="B438">
        <v>10.210000000000001</v>
      </c>
      <c r="C438" t="s">
        <v>11</v>
      </c>
      <c r="D438" t="s">
        <v>15</v>
      </c>
      <c r="E438">
        <v>1500</v>
      </c>
      <c r="F438">
        <v>-17</v>
      </c>
      <c r="G438">
        <v>19.809999999999999</v>
      </c>
      <c r="H438">
        <v>0.94</v>
      </c>
      <c r="I438">
        <v>9.2100000000000009</v>
      </c>
      <c r="J438">
        <v>14</v>
      </c>
      <c r="K438" t="s">
        <v>23</v>
      </c>
    </row>
    <row r="439" spans="1:11" x14ac:dyDescent="0.25">
      <c r="A439">
        <v>800</v>
      </c>
      <c r="B439">
        <v>22.07</v>
      </c>
      <c r="C439" t="s">
        <v>21</v>
      </c>
      <c r="D439" t="s">
        <v>17</v>
      </c>
      <c r="E439">
        <v>600</v>
      </c>
      <c r="F439">
        <v>21.1</v>
      </c>
      <c r="G439">
        <v>2.71</v>
      </c>
      <c r="H439">
        <v>2.17</v>
      </c>
      <c r="I439">
        <v>9.83</v>
      </c>
      <c r="J439">
        <v>11</v>
      </c>
      <c r="K439" t="s">
        <v>13</v>
      </c>
    </row>
    <row r="440" spans="1:11" x14ac:dyDescent="0.25">
      <c r="A440">
        <v>500</v>
      </c>
      <c r="B440">
        <v>9.7100000000000009</v>
      </c>
      <c r="C440" t="s">
        <v>11</v>
      </c>
      <c r="D440" t="s">
        <v>20</v>
      </c>
      <c r="E440">
        <v>900</v>
      </c>
      <c r="F440">
        <v>24.1</v>
      </c>
      <c r="G440">
        <v>10.87</v>
      </c>
      <c r="H440">
        <v>1.93</v>
      </c>
      <c r="I440">
        <v>19.88</v>
      </c>
      <c r="J440">
        <v>25</v>
      </c>
      <c r="K440" t="s">
        <v>23</v>
      </c>
    </row>
    <row r="441" spans="1:11" x14ac:dyDescent="0.25">
      <c r="A441">
        <v>150</v>
      </c>
      <c r="B441">
        <v>5.73</v>
      </c>
      <c r="C441" t="s">
        <v>14</v>
      </c>
      <c r="D441" t="s">
        <v>12</v>
      </c>
      <c r="E441">
        <v>600</v>
      </c>
      <c r="F441">
        <v>67.900000000000006</v>
      </c>
      <c r="G441">
        <v>2.75</v>
      </c>
      <c r="H441">
        <v>9.36</v>
      </c>
      <c r="I441">
        <v>163.35</v>
      </c>
      <c r="J441">
        <v>17</v>
      </c>
      <c r="K441" t="s">
        <v>16</v>
      </c>
    </row>
    <row r="442" spans="1:11" x14ac:dyDescent="0.25">
      <c r="A442">
        <v>400</v>
      </c>
      <c r="B442">
        <v>14.7</v>
      </c>
      <c r="C442" t="s">
        <v>22</v>
      </c>
      <c r="D442" t="s">
        <v>12</v>
      </c>
      <c r="E442">
        <v>2500</v>
      </c>
      <c r="F442">
        <v>70.099999999999994</v>
      </c>
      <c r="G442">
        <v>2.84</v>
      </c>
      <c r="H442">
        <v>7.55</v>
      </c>
      <c r="I442">
        <v>51.36</v>
      </c>
      <c r="J442">
        <v>15</v>
      </c>
      <c r="K442" t="s">
        <v>16</v>
      </c>
    </row>
    <row r="443" spans="1:11" x14ac:dyDescent="0.25">
      <c r="A443">
        <v>600</v>
      </c>
      <c r="B443">
        <v>13.23</v>
      </c>
      <c r="C443" t="s">
        <v>22</v>
      </c>
      <c r="D443" t="s">
        <v>18</v>
      </c>
      <c r="E443">
        <v>300</v>
      </c>
      <c r="F443">
        <v>148.19999999999999</v>
      </c>
      <c r="G443">
        <v>4.96</v>
      </c>
      <c r="H443">
        <v>7.11</v>
      </c>
      <c r="I443">
        <v>53.74</v>
      </c>
      <c r="J443">
        <v>10</v>
      </c>
      <c r="K443" t="s">
        <v>16</v>
      </c>
    </row>
    <row r="444" spans="1:11" x14ac:dyDescent="0.25">
      <c r="A444">
        <v>300</v>
      </c>
      <c r="B444">
        <v>15.67</v>
      </c>
      <c r="C444" t="s">
        <v>19</v>
      </c>
      <c r="D444" t="s">
        <v>12</v>
      </c>
      <c r="E444">
        <v>150</v>
      </c>
      <c r="F444">
        <v>14.1</v>
      </c>
      <c r="G444">
        <v>2.73</v>
      </c>
      <c r="H444">
        <v>1</v>
      </c>
      <c r="I444">
        <v>6.38</v>
      </c>
      <c r="J444">
        <v>21</v>
      </c>
      <c r="K444" t="s">
        <v>23</v>
      </c>
    </row>
    <row r="445" spans="1:11" x14ac:dyDescent="0.25">
      <c r="A445">
        <v>200</v>
      </c>
      <c r="B445">
        <v>9.5</v>
      </c>
      <c r="C445" t="s">
        <v>21</v>
      </c>
      <c r="D445" t="s">
        <v>17</v>
      </c>
      <c r="E445">
        <v>600</v>
      </c>
      <c r="F445">
        <v>29.6</v>
      </c>
      <c r="G445">
        <v>19.100000000000001</v>
      </c>
      <c r="H445">
        <v>9.01</v>
      </c>
      <c r="I445">
        <v>94.84</v>
      </c>
      <c r="J445">
        <v>16</v>
      </c>
      <c r="K445" t="s">
        <v>16</v>
      </c>
    </row>
    <row r="446" spans="1:11" x14ac:dyDescent="0.25">
      <c r="A446">
        <v>100</v>
      </c>
      <c r="B446">
        <v>4.6500000000000004</v>
      </c>
      <c r="C446" t="s">
        <v>11</v>
      </c>
      <c r="D446" t="s">
        <v>15</v>
      </c>
      <c r="E446">
        <v>1500</v>
      </c>
      <c r="F446">
        <v>48.8</v>
      </c>
      <c r="G446">
        <v>9.19</v>
      </c>
      <c r="H446">
        <v>1.59</v>
      </c>
      <c r="I446">
        <v>34.19</v>
      </c>
      <c r="J446">
        <v>5</v>
      </c>
      <c r="K446" t="s">
        <v>23</v>
      </c>
    </row>
    <row r="447" spans="1:11" x14ac:dyDescent="0.25">
      <c r="A447">
        <v>1200</v>
      </c>
      <c r="B447">
        <v>34.92</v>
      </c>
      <c r="C447" t="s">
        <v>19</v>
      </c>
      <c r="D447" t="s">
        <v>12</v>
      </c>
      <c r="E447">
        <v>300</v>
      </c>
      <c r="F447">
        <v>79.3</v>
      </c>
      <c r="G447">
        <v>3.55</v>
      </c>
      <c r="H447">
        <v>6.92</v>
      </c>
      <c r="I447">
        <v>19.82</v>
      </c>
      <c r="J447">
        <v>12</v>
      </c>
      <c r="K447" t="s">
        <v>16</v>
      </c>
    </row>
    <row r="448" spans="1:11" x14ac:dyDescent="0.25">
      <c r="A448">
        <v>600</v>
      </c>
      <c r="B448">
        <v>21.33</v>
      </c>
      <c r="C448" t="s">
        <v>19</v>
      </c>
      <c r="D448" t="s">
        <v>12</v>
      </c>
      <c r="E448">
        <v>300</v>
      </c>
      <c r="F448">
        <v>100.1</v>
      </c>
      <c r="G448">
        <v>6.63</v>
      </c>
      <c r="H448">
        <v>7.16</v>
      </c>
      <c r="I448">
        <v>33.57</v>
      </c>
      <c r="J448">
        <v>15</v>
      </c>
      <c r="K448" t="s">
        <v>16</v>
      </c>
    </row>
    <row r="449" spans="1:11" x14ac:dyDescent="0.25">
      <c r="A449">
        <v>500</v>
      </c>
      <c r="B449">
        <v>17.850000000000001</v>
      </c>
      <c r="C449" t="s">
        <v>21</v>
      </c>
      <c r="D449" t="s">
        <v>18</v>
      </c>
      <c r="E449">
        <v>150</v>
      </c>
      <c r="F449">
        <v>20.7</v>
      </c>
      <c r="G449">
        <v>6.86</v>
      </c>
      <c r="H449">
        <v>8.76</v>
      </c>
      <c r="I449">
        <v>49.08</v>
      </c>
      <c r="J449">
        <v>10</v>
      </c>
      <c r="K449" t="s">
        <v>16</v>
      </c>
    </row>
    <row r="450" spans="1:11" x14ac:dyDescent="0.25">
      <c r="A450">
        <v>1200</v>
      </c>
      <c r="B450">
        <v>22.83</v>
      </c>
      <c r="C450" t="s">
        <v>14</v>
      </c>
      <c r="D450" t="s">
        <v>15</v>
      </c>
      <c r="E450">
        <v>900</v>
      </c>
      <c r="F450">
        <v>42.1</v>
      </c>
      <c r="G450">
        <v>7.33</v>
      </c>
      <c r="H450">
        <v>4.45</v>
      </c>
      <c r="I450">
        <v>19.489999999999998</v>
      </c>
      <c r="J450">
        <v>10</v>
      </c>
      <c r="K450" t="s">
        <v>13</v>
      </c>
    </row>
    <row r="451" spans="1:11" x14ac:dyDescent="0.25">
      <c r="A451">
        <v>800</v>
      </c>
      <c r="B451">
        <v>18.329999999999998</v>
      </c>
      <c r="C451" t="s">
        <v>22</v>
      </c>
      <c r="D451" t="s">
        <v>18</v>
      </c>
      <c r="E451">
        <v>1500</v>
      </c>
      <c r="F451">
        <v>104.9</v>
      </c>
      <c r="G451">
        <v>5.68</v>
      </c>
      <c r="H451">
        <v>3.2</v>
      </c>
      <c r="I451">
        <v>17.46</v>
      </c>
      <c r="J451">
        <v>10</v>
      </c>
      <c r="K451" t="s">
        <v>13</v>
      </c>
    </row>
    <row r="452" spans="1:11" x14ac:dyDescent="0.25">
      <c r="A452">
        <v>600</v>
      </c>
      <c r="B452">
        <v>12.39</v>
      </c>
      <c r="C452" t="s">
        <v>14</v>
      </c>
      <c r="D452" t="s">
        <v>20</v>
      </c>
      <c r="E452">
        <v>1500</v>
      </c>
      <c r="F452">
        <v>56</v>
      </c>
      <c r="G452">
        <v>19.13</v>
      </c>
      <c r="H452">
        <v>7.83</v>
      </c>
      <c r="I452">
        <v>63.2</v>
      </c>
      <c r="J452">
        <v>22</v>
      </c>
      <c r="K452" t="s">
        <v>16</v>
      </c>
    </row>
    <row r="453" spans="1:11" x14ac:dyDescent="0.25">
      <c r="A453">
        <v>300</v>
      </c>
      <c r="B453">
        <v>12.86</v>
      </c>
      <c r="C453" t="s">
        <v>21</v>
      </c>
      <c r="D453" t="s">
        <v>12</v>
      </c>
      <c r="E453">
        <v>900</v>
      </c>
      <c r="F453">
        <v>88.9</v>
      </c>
      <c r="G453">
        <v>11.84</v>
      </c>
      <c r="H453">
        <v>5.2</v>
      </c>
      <c r="I453">
        <v>40.44</v>
      </c>
      <c r="J453">
        <v>18</v>
      </c>
      <c r="K453" t="s">
        <v>16</v>
      </c>
    </row>
    <row r="454" spans="1:11" x14ac:dyDescent="0.25">
      <c r="A454">
        <v>1200</v>
      </c>
      <c r="B454">
        <v>24.24</v>
      </c>
      <c r="C454" t="s">
        <v>14</v>
      </c>
      <c r="D454" t="s">
        <v>15</v>
      </c>
      <c r="E454">
        <v>900</v>
      </c>
      <c r="F454">
        <v>-34.4</v>
      </c>
      <c r="G454">
        <v>5.08</v>
      </c>
      <c r="H454">
        <v>8.5399999999999991</v>
      </c>
      <c r="I454">
        <v>35.229999999999997</v>
      </c>
      <c r="J454">
        <v>25</v>
      </c>
      <c r="K454" t="s">
        <v>16</v>
      </c>
    </row>
    <row r="455" spans="1:11" x14ac:dyDescent="0.25">
      <c r="A455">
        <v>150</v>
      </c>
      <c r="B455">
        <v>7.91</v>
      </c>
      <c r="C455" t="s">
        <v>14</v>
      </c>
      <c r="D455" t="s">
        <v>15</v>
      </c>
      <c r="E455">
        <v>600</v>
      </c>
      <c r="F455">
        <v>20.8</v>
      </c>
      <c r="G455">
        <v>2.12</v>
      </c>
      <c r="H455">
        <v>1.17</v>
      </c>
      <c r="I455">
        <v>14.79</v>
      </c>
      <c r="J455">
        <v>12</v>
      </c>
      <c r="K455" t="s">
        <v>23</v>
      </c>
    </row>
    <row r="456" spans="1:11" x14ac:dyDescent="0.25">
      <c r="A456">
        <v>200</v>
      </c>
      <c r="B456">
        <v>8.98</v>
      </c>
      <c r="C456" t="s">
        <v>21</v>
      </c>
      <c r="D456" t="s">
        <v>20</v>
      </c>
      <c r="E456">
        <v>900</v>
      </c>
      <c r="F456">
        <v>-38.6</v>
      </c>
      <c r="G456">
        <v>14.53</v>
      </c>
      <c r="H456">
        <v>9.2200000000000006</v>
      </c>
      <c r="I456">
        <v>102.67</v>
      </c>
      <c r="J456">
        <v>18</v>
      </c>
      <c r="K456" t="s">
        <v>16</v>
      </c>
    </row>
    <row r="457" spans="1:11" x14ac:dyDescent="0.25">
      <c r="A457">
        <v>1200</v>
      </c>
      <c r="B457">
        <v>38.03</v>
      </c>
      <c r="C457" t="s">
        <v>21</v>
      </c>
      <c r="D457" t="s">
        <v>17</v>
      </c>
      <c r="E457">
        <v>900</v>
      </c>
      <c r="F457">
        <v>-44.2</v>
      </c>
      <c r="G457">
        <v>4.74</v>
      </c>
      <c r="H457">
        <v>5.56</v>
      </c>
      <c r="I457">
        <v>14.62</v>
      </c>
      <c r="J457">
        <v>11</v>
      </c>
      <c r="K457" t="s">
        <v>16</v>
      </c>
    </row>
    <row r="458" spans="1:11" x14ac:dyDescent="0.25">
      <c r="A458">
        <v>1000</v>
      </c>
      <c r="B458">
        <v>26.98</v>
      </c>
      <c r="C458" t="s">
        <v>14</v>
      </c>
      <c r="D458" t="s">
        <v>15</v>
      </c>
      <c r="E458">
        <v>150</v>
      </c>
      <c r="F458">
        <v>43.9</v>
      </c>
      <c r="G458">
        <v>12.77</v>
      </c>
      <c r="H458">
        <v>9.99</v>
      </c>
      <c r="I458">
        <v>37.03</v>
      </c>
      <c r="J458">
        <v>16</v>
      </c>
      <c r="K458" t="s">
        <v>16</v>
      </c>
    </row>
    <row r="459" spans="1:11" x14ac:dyDescent="0.25">
      <c r="A459">
        <v>150</v>
      </c>
      <c r="B459">
        <v>9.73</v>
      </c>
      <c r="C459" t="s">
        <v>22</v>
      </c>
      <c r="D459" t="s">
        <v>15</v>
      </c>
      <c r="E459">
        <v>600</v>
      </c>
      <c r="F459">
        <v>56</v>
      </c>
      <c r="G459">
        <v>8.07</v>
      </c>
      <c r="H459">
        <v>3.18</v>
      </c>
      <c r="I459">
        <v>32.68</v>
      </c>
      <c r="J459">
        <v>2</v>
      </c>
      <c r="K459" t="s">
        <v>13</v>
      </c>
    </row>
    <row r="460" spans="1:11" x14ac:dyDescent="0.25">
      <c r="A460">
        <v>500</v>
      </c>
      <c r="B460">
        <v>22.49</v>
      </c>
      <c r="C460" t="s">
        <v>22</v>
      </c>
      <c r="D460" t="s">
        <v>20</v>
      </c>
      <c r="E460">
        <v>1500</v>
      </c>
      <c r="F460">
        <v>58.1</v>
      </c>
      <c r="G460">
        <v>3.1</v>
      </c>
      <c r="H460">
        <v>6.62</v>
      </c>
      <c r="I460">
        <v>29.44</v>
      </c>
      <c r="J460">
        <v>1</v>
      </c>
      <c r="K460" t="s">
        <v>16</v>
      </c>
    </row>
    <row r="461" spans="1:11" x14ac:dyDescent="0.25">
      <c r="A461">
        <v>300</v>
      </c>
      <c r="B461">
        <v>7.2</v>
      </c>
      <c r="C461" t="s">
        <v>11</v>
      </c>
      <c r="D461" t="s">
        <v>18</v>
      </c>
      <c r="E461">
        <v>300</v>
      </c>
      <c r="F461">
        <v>48.5</v>
      </c>
      <c r="G461">
        <v>17.27</v>
      </c>
      <c r="H461">
        <v>8.07</v>
      </c>
      <c r="I461">
        <v>112.08</v>
      </c>
      <c r="J461">
        <v>20</v>
      </c>
      <c r="K461" t="s">
        <v>16</v>
      </c>
    </row>
    <row r="462" spans="1:11" x14ac:dyDescent="0.25">
      <c r="A462">
        <v>500</v>
      </c>
      <c r="B462">
        <v>9.94</v>
      </c>
      <c r="C462" t="s">
        <v>14</v>
      </c>
      <c r="D462" t="s">
        <v>20</v>
      </c>
      <c r="E462">
        <v>150</v>
      </c>
      <c r="F462">
        <v>28.1</v>
      </c>
      <c r="G462">
        <v>12.68</v>
      </c>
      <c r="H462">
        <v>1.32</v>
      </c>
      <c r="I462">
        <v>13.28</v>
      </c>
      <c r="J462">
        <v>13</v>
      </c>
      <c r="K462" t="s">
        <v>23</v>
      </c>
    </row>
    <row r="463" spans="1:11" x14ac:dyDescent="0.25">
      <c r="A463">
        <v>150</v>
      </c>
      <c r="B463">
        <v>6.69</v>
      </c>
      <c r="C463" t="s">
        <v>11</v>
      </c>
      <c r="D463" t="s">
        <v>15</v>
      </c>
      <c r="E463">
        <v>300</v>
      </c>
      <c r="F463">
        <v>66.2</v>
      </c>
      <c r="G463">
        <v>2.1</v>
      </c>
      <c r="H463">
        <v>9.6</v>
      </c>
      <c r="I463">
        <v>143.5</v>
      </c>
      <c r="J463">
        <v>6</v>
      </c>
      <c r="K463" t="s">
        <v>16</v>
      </c>
    </row>
    <row r="464" spans="1:11" x14ac:dyDescent="0.25">
      <c r="A464">
        <v>200</v>
      </c>
      <c r="B464">
        <v>6.76</v>
      </c>
      <c r="C464" t="s">
        <v>21</v>
      </c>
      <c r="D464" t="s">
        <v>20</v>
      </c>
      <c r="E464">
        <v>300</v>
      </c>
      <c r="F464">
        <v>51.1</v>
      </c>
      <c r="G464">
        <v>15.15</v>
      </c>
      <c r="H464">
        <v>9.35</v>
      </c>
      <c r="I464">
        <v>138.31</v>
      </c>
      <c r="J464">
        <v>8</v>
      </c>
      <c r="K464" t="s">
        <v>16</v>
      </c>
    </row>
    <row r="465" spans="1:11" x14ac:dyDescent="0.25">
      <c r="A465">
        <v>200</v>
      </c>
      <c r="B465">
        <v>6.26</v>
      </c>
      <c r="C465" t="s">
        <v>14</v>
      </c>
      <c r="D465" t="s">
        <v>17</v>
      </c>
      <c r="E465">
        <v>2500</v>
      </c>
      <c r="F465">
        <v>74.8</v>
      </c>
      <c r="G465">
        <v>12.94</v>
      </c>
      <c r="H465">
        <v>8.02</v>
      </c>
      <c r="I465">
        <v>128.12</v>
      </c>
      <c r="J465">
        <v>24</v>
      </c>
      <c r="K465" t="s">
        <v>16</v>
      </c>
    </row>
    <row r="466" spans="1:11" x14ac:dyDescent="0.25">
      <c r="A466">
        <v>800</v>
      </c>
      <c r="B466">
        <v>14.7</v>
      </c>
      <c r="C466" t="s">
        <v>19</v>
      </c>
      <c r="D466" t="s">
        <v>17</v>
      </c>
      <c r="E466">
        <v>1500</v>
      </c>
      <c r="F466">
        <v>43.9</v>
      </c>
      <c r="G466">
        <v>1.44</v>
      </c>
      <c r="H466">
        <v>4.07</v>
      </c>
      <c r="I466">
        <v>27.69</v>
      </c>
      <c r="J466">
        <v>16</v>
      </c>
      <c r="K466" t="s">
        <v>13</v>
      </c>
    </row>
    <row r="467" spans="1:11" x14ac:dyDescent="0.25">
      <c r="A467">
        <v>600</v>
      </c>
      <c r="B467">
        <v>11.17</v>
      </c>
      <c r="C467" t="s">
        <v>19</v>
      </c>
      <c r="D467" t="s">
        <v>12</v>
      </c>
      <c r="E467">
        <v>1500</v>
      </c>
      <c r="F467">
        <v>115.7</v>
      </c>
      <c r="G467">
        <v>17.93</v>
      </c>
      <c r="H467">
        <v>0.81</v>
      </c>
      <c r="I467">
        <v>7.25</v>
      </c>
      <c r="J467">
        <v>15</v>
      </c>
      <c r="K467" t="s">
        <v>23</v>
      </c>
    </row>
    <row r="468" spans="1:11" x14ac:dyDescent="0.25">
      <c r="A468">
        <v>600</v>
      </c>
      <c r="B468">
        <v>14.15</v>
      </c>
      <c r="C468" t="s">
        <v>14</v>
      </c>
      <c r="D468" t="s">
        <v>18</v>
      </c>
      <c r="E468">
        <v>150</v>
      </c>
      <c r="F468">
        <v>86.4</v>
      </c>
      <c r="G468">
        <v>9.07</v>
      </c>
      <c r="H468">
        <v>4.49</v>
      </c>
      <c r="I468">
        <v>31.73</v>
      </c>
      <c r="J468">
        <v>18</v>
      </c>
      <c r="K468" t="s">
        <v>13</v>
      </c>
    </row>
    <row r="469" spans="1:11" x14ac:dyDescent="0.25">
      <c r="A469">
        <v>800</v>
      </c>
      <c r="B469">
        <v>17.149999999999999</v>
      </c>
      <c r="C469" t="s">
        <v>19</v>
      </c>
      <c r="D469" t="s">
        <v>20</v>
      </c>
      <c r="E469">
        <v>150</v>
      </c>
      <c r="F469">
        <v>93.4</v>
      </c>
      <c r="G469">
        <v>0.54</v>
      </c>
      <c r="H469">
        <v>2.54</v>
      </c>
      <c r="I469">
        <v>14.81</v>
      </c>
      <c r="J469">
        <v>7</v>
      </c>
      <c r="K469" t="s">
        <v>13</v>
      </c>
    </row>
    <row r="470" spans="1:11" x14ac:dyDescent="0.25">
      <c r="A470">
        <v>50</v>
      </c>
      <c r="B470">
        <v>3</v>
      </c>
      <c r="C470" t="s">
        <v>11</v>
      </c>
      <c r="D470" t="s">
        <v>12</v>
      </c>
      <c r="E470">
        <v>150</v>
      </c>
      <c r="F470">
        <v>30.9</v>
      </c>
      <c r="G470">
        <v>9.1999999999999993</v>
      </c>
      <c r="H470">
        <v>4.13</v>
      </c>
      <c r="I470">
        <v>137.66999999999999</v>
      </c>
      <c r="J470">
        <v>17</v>
      </c>
      <c r="K470" t="s">
        <v>13</v>
      </c>
    </row>
    <row r="471" spans="1:11" x14ac:dyDescent="0.25">
      <c r="A471">
        <v>500</v>
      </c>
      <c r="B471">
        <v>21.53</v>
      </c>
      <c r="C471" t="s">
        <v>19</v>
      </c>
      <c r="D471" t="s">
        <v>15</v>
      </c>
      <c r="E471">
        <v>300</v>
      </c>
      <c r="F471">
        <v>47.7</v>
      </c>
      <c r="G471">
        <v>16.95</v>
      </c>
      <c r="H471">
        <v>3.11</v>
      </c>
      <c r="I471">
        <v>14.44</v>
      </c>
      <c r="J471">
        <v>13</v>
      </c>
      <c r="K471" t="s">
        <v>13</v>
      </c>
    </row>
    <row r="472" spans="1:11" x14ac:dyDescent="0.25">
      <c r="A472">
        <v>1500</v>
      </c>
      <c r="B472">
        <v>34.19</v>
      </c>
      <c r="C472" t="s">
        <v>21</v>
      </c>
      <c r="D472" t="s">
        <v>20</v>
      </c>
      <c r="E472">
        <v>1500</v>
      </c>
      <c r="F472">
        <v>81.2</v>
      </c>
      <c r="G472">
        <v>10.4</v>
      </c>
      <c r="H472">
        <v>7.15</v>
      </c>
      <c r="I472">
        <v>20.91</v>
      </c>
      <c r="J472">
        <v>1</v>
      </c>
      <c r="K472" t="s">
        <v>16</v>
      </c>
    </row>
    <row r="473" spans="1:11" x14ac:dyDescent="0.25">
      <c r="A473">
        <v>50</v>
      </c>
      <c r="B473">
        <v>5.93</v>
      </c>
      <c r="C473" t="s">
        <v>21</v>
      </c>
      <c r="D473" t="s">
        <v>15</v>
      </c>
      <c r="E473">
        <v>2500</v>
      </c>
      <c r="F473">
        <v>75.099999999999994</v>
      </c>
      <c r="G473">
        <v>19.39</v>
      </c>
      <c r="H473">
        <v>7.2</v>
      </c>
      <c r="I473">
        <v>121.42</v>
      </c>
      <c r="J473">
        <v>15</v>
      </c>
      <c r="K473" t="s">
        <v>16</v>
      </c>
    </row>
    <row r="474" spans="1:11" x14ac:dyDescent="0.25">
      <c r="A474">
        <v>1200</v>
      </c>
      <c r="B474">
        <v>33.06</v>
      </c>
      <c r="C474" t="s">
        <v>11</v>
      </c>
      <c r="D474" t="s">
        <v>15</v>
      </c>
      <c r="E474">
        <v>900</v>
      </c>
      <c r="F474">
        <v>-9.6</v>
      </c>
      <c r="G474">
        <v>11.89</v>
      </c>
      <c r="H474">
        <v>8.15</v>
      </c>
      <c r="I474">
        <v>24.65</v>
      </c>
      <c r="J474">
        <v>18</v>
      </c>
      <c r="K474" t="s">
        <v>16</v>
      </c>
    </row>
    <row r="475" spans="1:11" x14ac:dyDescent="0.25">
      <c r="A475">
        <v>100</v>
      </c>
      <c r="B475">
        <v>6.31</v>
      </c>
      <c r="C475" t="s">
        <v>11</v>
      </c>
      <c r="D475" t="s">
        <v>20</v>
      </c>
      <c r="E475">
        <v>900</v>
      </c>
      <c r="F475">
        <v>30.5</v>
      </c>
      <c r="G475">
        <v>10.66</v>
      </c>
      <c r="H475">
        <v>5.74</v>
      </c>
      <c r="I475">
        <v>90.97</v>
      </c>
      <c r="J475">
        <v>12</v>
      </c>
      <c r="K475" t="s">
        <v>16</v>
      </c>
    </row>
    <row r="476" spans="1:11" x14ac:dyDescent="0.25">
      <c r="A476">
        <v>100</v>
      </c>
      <c r="B476">
        <v>4.72</v>
      </c>
      <c r="C476" t="s">
        <v>22</v>
      </c>
      <c r="D476" t="s">
        <v>15</v>
      </c>
      <c r="E476">
        <v>300</v>
      </c>
      <c r="F476">
        <v>55.8</v>
      </c>
      <c r="G476">
        <v>8.56</v>
      </c>
      <c r="H476">
        <v>0.97</v>
      </c>
      <c r="I476">
        <v>20.55</v>
      </c>
      <c r="J476">
        <v>16</v>
      </c>
      <c r="K476" t="s">
        <v>23</v>
      </c>
    </row>
    <row r="477" spans="1:11" x14ac:dyDescent="0.25">
      <c r="A477">
        <v>600</v>
      </c>
      <c r="B477">
        <v>22.4</v>
      </c>
      <c r="C477" t="s">
        <v>22</v>
      </c>
      <c r="D477" t="s">
        <v>20</v>
      </c>
      <c r="E477">
        <v>1500</v>
      </c>
      <c r="F477">
        <v>44.1</v>
      </c>
      <c r="G477">
        <v>1.5</v>
      </c>
      <c r="H477">
        <v>8.01</v>
      </c>
      <c r="I477">
        <v>35.76</v>
      </c>
      <c r="J477">
        <v>12</v>
      </c>
      <c r="K477" t="s">
        <v>16</v>
      </c>
    </row>
    <row r="478" spans="1:11" x14ac:dyDescent="0.25">
      <c r="A478">
        <v>300</v>
      </c>
      <c r="B478">
        <v>17.34</v>
      </c>
      <c r="C478" t="s">
        <v>22</v>
      </c>
      <c r="D478" t="s">
        <v>12</v>
      </c>
      <c r="E478">
        <v>1500</v>
      </c>
      <c r="F478">
        <v>46.2</v>
      </c>
      <c r="G478">
        <v>14.96</v>
      </c>
      <c r="H478">
        <v>4.8099999999999996</v>
      </c>
      <c r="I478">
        <v>27.74</v>
      </c>
      <c r="J478">
        <v>6</v>
      </c>
      <c r="K478" t="s">
        <v>13</v>
      </c>
    </row>
    <row r="479" spans="1:11" x14ac:dyDescent="0.25">
      <c r="A479">
        <v>400</v>
      </c>
      <c r="B479">
        <v>12.29</v>
      </c>
      <c r="C479" t="s">
        <v>14</v>
      </c>
      <c r="D479" t="s">
        <v>18</v>
      </c>
      <c r="E479">
        <v>300</v>
      </c>
      <c r="F479">
        <v>-9.6</v>
      </c>
      <c r="G479">
        <v>16</v>
      </c>
      <c r="H479">
        <v>3.22</v>
      </c>
      <c r="I479">
        <v>26.2</v>
      </c>
      <c r="J479">
        <v>8</v>
      </c>
      <c r="K479" t="s">
        <v>13</v>
      </c>
    </row>
    <row r="480" spans="1:11" x14ac:dyDescent="0.25">
      <c r="A480">
        <v>1500</v>
      </c>
      <c r="B480">
        <v>29.22</v>
      </c>
      <c r="C480" t="s">
        <v>22</v>
      </c>
      <c r="D480" t="s">
        <v>15</v>
      </c>
      <c r="E480">
        <v>2500</v>
      </c>
      <c r="F480">
        <v>-10.7</v>
      </c>
      <c r="G480">
        <v>8.17</v>
      </c>
      <c r="H480">
        <v>6.72</v>
      </c>
      <c r="I480">
        <v>23</v>
      </c>
      <c r="J480">
        <v>22</v>
      </c>
      <c r="K480" t="s">
        <v>16</v>
      </c>
    </row>
    <row r="481" spans="1:11" x14ac:dyDescent="0.25">
      <c r="A481">
        <v>100</v>
      </c>
      <c r="B481">
        <v>5.99</v>
      </c>
      <c r="C481" t="s">
        <v>11</v>
      </c>
      <c r="D481" t="s">
        <v>17</v>
      </c>
      <c r="E481">
        <v>900</v>
      </c>
      <c r="F481">
        <v>-6.7</v>
      </c>
      <c r="G481">
        <v>8.83</v>
      </c>
      <c r="H481">
        <v>3.77</v>
      </c>
      <c r="I481">
        <v>62.94</v>
      </c>
      <c r="J481">
        <v>14</v>
      </c>
      <c r="K481" t="s">
        <v>13</v>
      </c>
    </row>
    <row r="482" spans="1:11" x14ac:dyDescent="0.25">
      <c r="A482">
        <v>50</v>
      </c>
      <c r="B482">
        <v>3</v>
      </c>
      <c r="C482" t="s">
        <v>21</v>
      </c>
      <c r="D482" t="s">
        <v>17</v>
      </c>
      <c r="E482">
        <v>900</v>
      </c>
      <c r="F482">
        <v>22.8</v>
      </c>
      <c r="G482">
        <v>13.87</v>
      </c>
      <c r="H482">
        <v>0.47</v>
      </c>
      <c r="I482">
        <v>15.67</v>
      </c>
      <c r="J482">
        <v>18</v>
      </c>
      <c r="K482" t="s">
        <v>23</v>
      </c>
    </row>
    <row r="483" spans="1:11" x14ac:dyDescent="0.25">
      <c r="A483">
        <v>1500</v>
      </c>
      <c r="B483">
        <v>38.340000000000003</v>
      </c>
      <c r="C483" t="s">
        <v>11</v>
      </c>
      <c r="D483" t="s">
        <v>12</v>
      </c>
      <c r="E483">
        <v>2500</v>
      </c>
      <c r="F483">
        <v>22.3</v>
      </c>
      <c r="G483">
        <v>14.44</v>
      </c>
      <c r="H483">
        <v>5.57</v>
      </c>
      <c r="I483">
        <v>14.53</v>
      </c>
      <c r="J483">
        <v>21</v>
      </c>
      <c r="K483" t="s">
        <v>16</v>
      </c>
    </row>
    <row r="484" spans="1:11" x14ac:dyDescent="0.25">
      <c r="A484">
        <v>100</v>
      </c>
      <c r="B484">
        <v>7.37</v>
      </c>
      <c r="C484" t="s">
        <v>14</v>
      </c>
      <c r="D484" t="s">
        <v>15</v>
      </c>
      <c r="E484">
        <v>300</v>
      </c>
      <c r="F484">
        <v>56.5</v>
      </c>
      <c r="G484">
        <v>14.31</v>
      </c>
      <c r="H484">
        <v>2.35</v>
      </c>
      <c r="I484">
        <v>31.89</v>
      </c>
      <c r="J484">
        <v>2</v>
      </c>
      <c r="K484" t="s">
        <v>13</v>
      </c>
    </row>
    <row r="485" spans="1:11" x14ac:dyDescent="0.25">
      <c r="A485">
        <v>800</v>
      </c>
      <c r="B485">
        <v>27.17</v>
      </c>
      <c r="C485" t="s">
        <v>19</v>
      </c>
      <c r="D485" t="s">
        <v>12</v>
      </c>
      <c r="E485">
        <v>2500</v>
      </c>
      <c r="F485">
        <v>27</v>
      </c>
      <c r="G485">
        <v>16.100000000000001</v>
      </c>
      <c r="H485">
        <v>9.31</v>
      </c>
      <c r="I485">
        <v>34.270000000000003</v>
      </c>
      <c r="J485">
        <v>16</v>
      </c>
      <c r="K485" t="s">
        <v>16</v>
      </c>
    </row>
    <row r="486" spans="1:11" x14ac:dyDescent="0.25">
      <c r="A486">
        <v>800</v>
      </c>
      <c r="B486">
        <v>12.37</v>
      </c>
      <c r="C486" t="s">
        <v>19</v>
      </c>
      <c r="D486" t="s">
        <v>20</v>
      </c>
      <c r="E486">
        <v>900</v>
      </c>
      <c r="F486">
        <v>-11.7</v>
      </c>
      <c r="G486">
        <v>16.5</v>
      </c>
      <c r="H486">
        <v>7.51</v>
      </c>
      <c r="I486">
        <v>60.71</v>
      </c>
      <c r="J486">
        <v>23</v>
      </c>
      <c r="K486" t="s">
        <v>16</v>
      </c>
    </row>
    <row r="487" spans="1:11" x14ac:dyDescent="0.25">
      <c r="A487">
        <v>100</v>
      </c>
      <c r="B487">
        <v>5.58</v>
      </c>
      <c r="C487" t="s">
        <v>21</v>
      </c>
      <c r="D487" t="s">
        <v>18</v>
      </c>
      <c r="E487">
        <v>300</v>
      </c>
      <c r="F487">
        <v>43.4</v>
      </c>
      <c r="G487">
        <v>12.52</v>
      </c>
      <c r="H487">
        <v>4.45</v>
      </c>
      <c r="I487">
        <v>79.75</v>
      </c>
      <c r="J487">
        <v>21</v>
      </c>
      <c r="K487" t="s">
        <v>13</v>
      </c>
    </row>
    <row r="488" spans="1:11" x14ac:dyDescent="0.25">
      <c r="A488">
        <v>100</v>
      </c>
      <c r="B488">
        <v>6.08</v>
      </c>
      <c r="C488" t="s">
        <v>11</v>
      </c>
      <c r="D488" t="s">
        <v>18</v>
      </c>
      <c r="E488">
        <v>150</v>
      </c>
      <c r="F488">
        <v>86.7</v>
      </c>
      <c r="G488">
        <v>10.71</v>
      </c>
      <c r="H488">
        <v>2.81</v>
      </c>
      <c r="I488">
        <v>46.22</v>
      </c>
      <c r="J488">
        <v>21</v>
      </c>
      <c r="K488" t="s">
        <v>13</v>
      </c>
    </row>
    <row r="489" spans="1:11" x14ac:dyDescent="0.25">
      <c r="A489">
        <v>1200</v>
      </c>
      <c r="B489">
        <v>23.76</v>
      </c>
      <c r="C489" t="s">
        <v>21</v>
      </c>
      <c r="D489" t="s">
        <v>18</v>
      </c>
      <c r="E489">
        <v>300</v>
      </c>
      <c r="F489">
        <v>-29.9</v>
      </c>
      <c r="G489">
        <v>1.38</v>
      </c>
      <c r="H489">
        <v>6.01</v>
      </c>
      <c r="I489">
        <v>25.29</v>
      </c>
      <c r="J489">
        <v>16</v>
      </c>
      <c r="K489" t="s">
        <v>16</v>
      </c>
    </row>
    <row r="490" spans="1:11" x14ac:dyDescent="0.25">
      <c r="A490">
        <v>300</v>
      </c>
      <c r="B490">
        <v>9.39</v>
      </c>
      <c r="C490" t="s">
        <v>21</v>
      </c>
      <c r="D490" t="s">
        <v>17</v>
      </c>
      <c r="E490">
        <v>150</v>
      </c>
      <c r="F490">
        <v>41.2</v>
      </c>
      <c r="G490">
        <v>11.27</v>
      </c>
      <c r="H490">
        <v>4.09</v>
      </c>
      <c r="I490">
        <v>43.56</v>
      </c>
      <c r="J490">
        <v>20</v>
      </c>
      <c r="K490" t="s">
        <v>13</v>
      </c>
    </row>
    <row r="491" spans="1:11" x14ac:dyDescent="0.25">
      <c r="A491">
        <v>300</v>
      </c>
      <c r="B491">
        <v>10.42</v>
      </c>
      <c r="C491" t="s">
        <v>21</v>
      </c>
      <c r="D491" t="s">
        <v>12</v>
      </c>
      <c r="E491">
        <v>600</v>
      </c>
      <c r="F491">
        <v>32.5</v>
      </c>
      <c r="G491">
        <v>19.329999999999998</v>
      </c>
      <c r="H491">
        <v>4.6399999999999997</v>
      </c>
      <c r="I491">
        <v>44.53</v>
      </c>
      <c r="J491">
        <v>3</v>
      </c>
      <c r="K491" t="s">
        <v>13</v>
      </c>
    </row>
    <row r="492" spans="1:11" x14ac:dyDescent="0.25">
      <c r="A492">
        <v>800</v>
      </c>
      <c r="B492">
        <v>29.29</v>
      </c>
      <c r="C492" t="s">
        <v>19</v>
      </c>
      <c r="D492" t="s">
        <v>18</v>
      </c>
      <c r="E492">
        <v>150</v>
      </c>
      <c r="F492">
        <v>76.099999999999994</v>
      </c>
      <c r="G492">
        <v>10.210000000000001</v>
      </c>
      <c r="H492">
        <v>7</v>
      </c>
      <c r="I492">
        <v>23.9</v>
      </c>
      <c r="J492">
        <v>3</v>
      </c>
      <c r="K492" t="s">
        <v>16</v>
      </c>
    </row>
    <row r="493" spans="1:11" x14ac:dyDescent="0.25">
      <c r="A493">
        <v>1500</v>
      </c>
      <c r="B493">
        <v>32.909999999999997</v>
      </c>
      <c r="C493" t="s">
        <v>11</v>
      </c>
      <c r="D493" t="s">
        <v>20</v>
      </c>
      <c r="E493">
        <v>150</v>
      </c>
      <c r="F493">
        <v>112.7</v>
      </c>
      <c r="G493">
        <v>9.6199999999999992</v>
      </c>
      <c r="H493">
        <v>6.03</v>
      </c>
      <c r="I493">
        <v>18.32</v>
      </c>
      <c r="J493">
        <v>17</v>
      </c>
      <c r="K493" t="s">
        <v>16</v>
      </c>
    </row>
    <row r="494" spans="1:11" x14ac:dyDescent="0.25">
      <c r="A494">
        <v>200</v>
      </c>
      <c r="B494">
        <v>11.11</v>
      </c>
      <c r="C494" t="s">
        <v>11</v>
      </c>
      <c r="D494" t="s">
        <v>15</v>
      </c>
      <c r="E494">
        <v>150</v>
      </c>
      <c r="F494">
        <v>6.1</v>
      </c>
      <c r="G494">
        <v>14.49</v>
      </c>
      <c r="H494">
        <v>3.41</v>
      </c>
      <c r="I494">
        <v>30.69</v>
      </c>
      <c r="J494">
        <v>23</v>
      </c>
      <c r="K494" t="s">
        <v>13</v>
      </c>
    </row>
    <row r="495" spans="1:11" x14ac:dyDescent="0.25">
      <c r="A495">
        <v>300</v>
      </c>
      <c r="B495">
        <v>13.83</v>
      </c>
      <c r="C495" t="s">
        <v>11</v>
      </c>
      <c r="D495" t="s">
        <v>18</v>
      </c>
      <c r="E495">
        <v>300</v>
      </c>
      <c r="F495">
        <v>76</v>
      </c>
      <c r="G495">
        <v>11.2</v>
      </c>
      <c r="H495">
        <v>2.95</v>
      </c>
      <c r="I495">
        <v>21.33</v>
      </c>
      <c r="J495">
        <v>3</v>
      </c>
      <c r="K495" t="s">
        <v>13</v>
      </c>
    </row>
    <row r="496" spans="1:11" x14ac:dyDescent="0.25">
      <c r="A496">
        <v>1000</v>
      </c>
      <c r="B496">
        <v>29.05</v>
      </c>
      <c r="C496" t="s">
        <v>14</v>
      </c>
      <c r="D496" t="s">
        <v>15</v>
      </c>
      <c r="E496">
        <v>1500</v>
      </c>
      <c r="F496">
        <v>29.6</v>
      </c>
      <c r="G496">
        <v>7.47</v>
      </c>
      <c r="H496">
        <v>9.6300000000000008</v>
      </c>
      <c r="I496">
        <v>33.15</v>
      </c>
      <c r="J496">
        <v>14</v>
      </c>
      <c r="K496" t="s">
        <v>16</v>
      </c>
    </row>
    <row r="497" spans="1:11" x14ac:dyDescent="0.25">
      <c r="A497">
        <v>1500</v>
      </c>
      <c r="B497">
        <v>47.89</v>
      </c>
      <c r="C497" t="s">
        <v>19</v>
      </c>
      <c r="D497" t="s">
        <v>15</v>
      </c>
      <c r="E497">
        <v>2500</v>
      </c>
      <c r="F497">
        <v>56.1</v>
      </c>
      <c r="G497">
        <v>0.82</v>
      </c>
      <c r="H497">
        <v>9.49</v>
      </c>
      <c r="I497">
        <v>19.82</v>
      </c>
      <c r="J497">
        <v>7</v>
      </c>
      <c r="K497" t="s">
        <v>16</v>
      </c>
    </row>
    <row r="498" spans="1:11" x14ac:dyDescent="0.25">
      <c r="A498">
        <v>50</v>
      </c>
      <c r="B498">
        <v>5.33</v>
      </c>
      <c r="C498" t="s">
        <v>21</v>
      </c>
      <c r="D498" t="s">
        <v>18</v>
      </c>
      <c r="E498">
        <v>900</v>
      </c>
      <c r="F498">
        <v>95.9</v>
      </c>
      <c r="G498">
        <v>13.51</v>
      </c>
      <c r="H498">
        <v>3.77</v>
      </c>
      <c r="I498">
        <v>70.73</v>
      </c>
      <c r="J498">
        <v>13</v>
      </c>
      <c r="K498" t="s">
        <v>13</v>
      </c>
    </row>
    <row r="499" spans="1:11" x14ac:dyDescent="0.25">
      <c r="A499">
        <v>1000</v>
      </c>
      <c r="B499">
        <v>33.31</v>
      </c>
      <c r="C499" t="s">
        <v>11</v>
      </c>
      <c r="D499" t="s">
        <v>17</v>
      </c>
      <c r="E499">
        <v>300</v>
      </c>
      <c r="F499">
        <v>105.7</v>
      </c>
      <c r="G499">
        <v>3.86</v>
      </c>
      <c r="H499">
        <v>8.2899999999999991</v>
      </c>
      <c r="I499">
        <v>24.89</v>
      </c>
      <c r="J499">
        <v>20</v>
      </c>
      <c r="K499" t="s">
        <v>16</v>
      </c>
    </row>
    <row r="500" spans="1:11" x14ac:dyDescent="0.25">
      <c r="A500">
        <v>400</v>
      </c>
      <c r="B500">
        <v>18.41</v>
      </c>
      <c r="C500" t="s">
        <v>11</v>
      </c>
      <c r="D500" t="s">
        <v>15</v>
      </c>
      <c r="E500">
        <v>2500</v>
      </c>
      <c r="F500">
        <v>25.7</v>
      </c>
      <c r="G500">
        <v>5.31</v>
      </c>
      <c r="H500">
        <v>2.71</v>
      </c>
      <c r="I500">
        <v>14.72</v>
      </c>
      <c r="J500">
        <v>16</v>
      </c>
      <c r="K500" t="s">
        <v>13</v>
      </c>
    </row>
    <row r="501" spans="1:11" x14ac:dyDescent="0.25">
      <c r="A501">
        <v>150</v>
      </c>
      <c r="B501">
        <v>5.98</v>
      </c>
      <c r="C501" t="s">
        <v>22</v>
      </c>
      <c r="D501" t="s">
        <v>17</v>
      </c>
      <c r="E501">
        <v>2500</v>
      </c>
      <c r="F501">
        <v>-20.8</v>
      </c>
      <c r="G501">
        <v>6.05</v>
      </c>
      <c r="H501">
        <v>6.14</v>
      </c>
      <c r="I501">
        <v>102.68</v>
      </c>
      <c r="J501">
        <v>20</v>
      </c>
      <c r="K501" t="s">
        <v>16</v>
      </c>
    </row>
    <row r="502" spans="1:11" x14ac:dyDescent="0.25">
      <c r="A502">
        <v>800</v>
      </c>
      <c r="B502">
        <v>29.96</v>
      </c>
      <c r="C502" t="s">
        <v>21</v>
      </c>
      <c r="D502" t="s">
        <v>15</v>
      </c>
      <c r="E502">
        <v>2500</v>
      </c>
      <c r="F502">
        <v>29</v>
      </c>
      <c r="G502">
        <v>1.98</v>
      </c>
      <c r="H502">
        <v>2.13</v>
      </c>
      <c r="I502">
        <v>7.11</v>
      </c>
      <c r="J502">
        <v>15</v>
      </c>
      <c r="K502" t="s">
        <v>13</v>
      </c>
    </row>
    <row r="503" spans="1:11" x14ac:dyDescent="0.25">
      <c r="A503">
        <v>300</v>
      </c>
      <c r="B503">
        <v>8.74</v>
      </c>
      <c r="C503" t="s">
        <v>19</v>
      </c>
      <c r="D503" t="s">
        <v>15</v>
      </c>
      <c r="E503">
        <v>1500</v>
      </c>
      <c r="F503">
        <v>43.5</v>
      </c>
      <c r="G503">
        <v>15.97</v>
      </c>
      <c r="H503">
        <v>8.42</v>
      </c>
      <c r="I503">
        <v>96.34</v>
      </c>
      <c r="J503">
        <v>25</v>
      </c>
      <c r="K503" t="s">
        <v>16</v>
      </c>
    </row>
    <row r="504" spans="1:11" x14ac:dyDescent="0.25">
      <c r="A504">
        <v>150</v>
      </c>
      <c r="B504">
        <v>5.21</v>
      </c>
      <c r="C504" t="s">
        <v>22</v>
      </c>
      <c r="D504" t="s">
        <v>20</v>
      </c>
      <c r="E504">
        <v>150</v>
      </c>
      <c r="F504">
        <v>91.9</v>
      </c>
      <c r="G504">
        <v>5.83</v>
      </c>
      <c r="H504">
        <v>1.33</v>
      </c>
      <c r="I504">
        <v>25.53</v>
      </c>
      <c r="J504">
        <v>24</v>
      </c>
      <c r="K504" t="s">
        <v>23</v>
      </c>
    </row>
    <row r="505" spans="1:11" x14ac:dyDescent="0.25">
      <c r="A505">
        <v>600</v>
      </c>
      <c r="B505">
        <v>21.1</v>
      </c>
      <c r="C505" t="s">
        <v>11</v>
      </c>
      <c r="D505" t="s">
        <v>17</v>
      </c>
      <c r="E505">
        <v>1500</v>
      </c>
      <c r="F505">
        <v>12.8</v>
      </c>
      <c r="G505">
        <v>3.44</v>
      </c>
      <c r="H505">
        <v>9.8699999999999992</v>
      </c>
      <c r="I505">
        <v>46.78</v>
      </c>
      <c r="J505">
        <v>15</v>
      </c>
      <c r="K505" t="s">
        <v>16</v>
      </c>
    </row>
    <row r="506" spans="1:11" x14ac:dyDescent="0.25">
      <c r="A506">
        <v>1000</v>
      </c>
      <c r="B506">
        <v>32.07</v>
      </c>
      <c r="C506" t="s">
        <v>22</v>
      </c>
      <c r="D506" t="s">
        <v>17</v>
      </c>
      <c r="E506">
        <v>150</v>
      </c>
      <c r="F506">
        <v>100.7</v>
      </c>
      <c r="G506">
        <v>0.3</v>
      </c>
      <c r="H506">
        <v>4.46</v>
      </c>
      <c r="I506">
        <v>13.91</v>
      </c>
      <c r="J506">
        <v>22</v>
      </c>
      <c r="K506" t="s">
        <v>13</v>
      </c>
    </row>
    <row r="507" spans="1:11" x14ac:dyDescent="0.25">
      <c r="A507">
        <v>100</v>
      </c>
      <c r="B507">
        <v>5.72</v>
      </c>
      <c r="C507" t="s">
        <v>22</v>
      </c>
      <c r="D507" t="s">
        <v>15</v>
      </c>
      <c r="E507">
        <v>150</v>
      </c>
      <c r="F507">
        <v>-6.9</v>
      </c>
      <c r="G507">
        <v>9.07</v>
      </c>
      <c r="H507">
        <v>5.8</v>
      </c>
      <c r="I507">
        <v>101.4</v>
      </c>
      <c r="J507">
        <v>17</v>
      </c>
      <c r="K507" t="s">
        <v>16</v>
      </c>
    </row>
    <row r="508" spans="1:11" x14ac:dyDescent="0.25">
      <c r="A508">
        <v>250</v>
      </c>
      <c r="B508">
        <v>13.01</v>
      </c>
      <c r="C508" t="s">
        <v>19</v>
      </c>
      <c r="D508" t="s">
        <v>20</v>
      </c>
      <c r="E508">
        <v>600</v>
      </c>
      <c r="F508">
        <v>16.8</v>
      </c>
      <c r="G508">
        <v>18.32</v>
      </c>
      <c r="H508">
        <v>4.03</v>
      </c>
      <c r="I508">
        <v>30.98</v>
      </c>
      <c r="J508">
        <v>5</v>
      </c>
      <c r="K508" t="s">
        <v>13</v>
      </c>
    </row>
    <row r="509" spans="1:11" x14ac:dyDescent="0.25">
      <c r="A509">
        <v>500</v>
      </c>
      <c r="B509">
        <v>21.57</v>
      </c>
      <c r="C509" t="s">
        <v>22</v>
      </c>
      <c r="D509" t="s">
        <v>12</v>
      </c>
      <c r="E509">
        <v>2500</v>
      </c>
      <c r="F509">
        <v>-24.6</v>
      </c>
      <c r="G509">
        <v>4.97</v>
      </c>
      <c r="H509">
        <v>7.54</v>
      </c>
      <c r="I509">
        <v>34.96</v>
      </c>
      <c r="J509">
        <v>14</v>
      </c>
      <c r="K509" t="s">
        <v>16</v>
      </c>
    </row>
    <row r="510" spans="1:11" x14ac:dyDescent="0.25">
      <c r="A510">
        <v>200</v>
      </c>
      <c r="B510">
        <v>10.76</v>
      </c>
      <c r="C510" t="s">
        <v>21</v>
      </c>
      <c r="D510" t="s">
        <v>18</v>
      </c>
      <c r="E510">
        <v>1500</v>
      </c>
      <c r="F510">
        <v>4.0999999999999996</v>
      </c>
      <c r="G510">
        <v>14.69</v>
      </c>
      <c r="H510">
        <v>4.04</v>
      </c>
      <c r="I510">
        <v>37.549999999999997</v>
      </c>
      <c r="J510">
        <v>24</v>
      </c>
      <c r="K510" t="s">
        <v>13</v>
      </c>
    </row>
    <row r="511" spans="1:11" x14ac:dyDescent="0.25">
      <c r="A511">
        <v>400</v>
      </c>
      <c r="B511">
        <v>18.8</v>
      </c>
      <c r="C511" t="s">
        <v>14</v>
      </c>
      <c r="D511" t="s">
        <v>15</v>
      </c>
      <c r="E511">
        <v>900</v>
      </c>
      <c r="F511">
        <v>28.7</v>
      </c>
      <c r="G511">
        <v>3.18</v>
      </c>
      <c r="H511">
        <v>3.37</v>
      </c>
      <c r="I511">
        <v>17.93</v>
      </c>
      <c r="J511">
        <v>4</v>
      </c>
      <c r="K511" t="s">
        <v>13</v>
      </c>
    </row>
    <row r="512" spans="1:11" x14ac:dyDescent="0.25">
      <c r="A512">
        <v>600</v>
      </c>
      <c r="B512">
        <v>24.05</v>
      </c>
      <c r="C512" t="s">
        <v>14</v>
      </c>
      <c r="D512" t="s">
        <v>15</v>
      </c>
      <c r="E512">
        <v>2500</v>
      </c>
      <c r="F512">
        <v>76.400000000000006</v>
      </c>
      <c r="G512">
        <v>10.18</v>
      </c>
      <c r="H512">
        <v>2.64</v>
      </c>
      <c r="I512">
        <v>10.98</v>
      </c>
      <c r="J512">
        <v>21</v>
      </c>
      <c r="K512" t="s">
        <v>13</v>
      </c>
    </row>
    <row r="513" spans="1:11" x14ac:dyDescent="0.25">
      <c r="A513">
        <v>500</v>
      </c>
      <c r="B513">
        <v>17.53</v>
      </c>
      <c r="C513" t="s">
        <v>14</v>
      </c>
      <c r="D513" t="s">
        <v>15</v>
      </c>
      <c r="E513">
        <v>600</v>
      </c>
      <c r="F513">
        <v>61.3</v>
      </c>
      <c r="G513">
        <v>11.49</v>
      </c>
      <c r="H513">
        <v>3.24</v>
      </c>
      <c r="I513">
        <v>18.48</v>
      </c>
      <c r="J513">
        <v>18</v>
      </c>
      <c r="K513" t="s">
        <v>13</v>
      </c>
    </row>
    <row r="514" spans="1:11" x14ac:dyDescent="0.25">
      <c r="A514">
        <v>300</v>
      </c>
      <c r="B514">
        <v>7.53</v>
      </c>
      <c r="C514" t="s">
        <v>19</v>
      </c>
      <c r="D514" t="s">
        <v>15</v>
      </c>
      <c r="E514">
        <v>900</v>
      </c>
      <c r="F514">
        <v>0.5</v>
      </c>
      <c r="G514">
        <v>2.82</v>
      </c>
      <c r="H514">
        <v>1.99</v>
      </c>
      <c r="I514">
        <v>26.43</v>
      </c>
      <c r="J514">
        <v>7</v>
      </c>
      <c r="K514" t="s">
        <v>23</v>
      </c>
    </row>
    <row r="515" spans="1:11" x14ac:dyDescent="0.25">
      <c r="A515">
        <v>600</v>
      </c>
      <c r="B515">
        <v>26.89</v>
      </c>
      <c r="C515" t="s">
        <v>19</v>
      </c>
      <c r="D515" t="s">
        <v>17</v>
      </c>
      <c r="E515">
        <v>600</v>
      </c>
      <c r="F515">
        <v>34.5</v>
      </c>
      <c r="G515">
        <v>19.09</v>
      </c>
      <c r="H515">
        <v>3.55</v>
      </c>
      <c r="I515">
        <v>13.2</v>
      </c>
      <c r="J515">
        <v>5</v>
      </c>
      <c r="K515" t="s">
        <v>13</v>
      </c>
    </row>
    <row r="516" spans="1:11" x14ac:dyDescent="0.25">
      <c r="A516">
        <v>250</v>
      </c>
      <c r="B516">
        <v>11.74</v>
      </c>
      <c r="C516" t="s">
        <v>22</v>
      </c>
      <c r="D516" t="s">
        <v>20</v>
      </c>
      <c r="E516">
        <v>1500</v>
      </c>
      <c r="F516">
        <v>53.8</v>
      </c>
      <c r="G516">
        <v>7.49</v>
      </c>
      <c r="H516">
        <v>8.1300000000000008</v>
      </c>
      <c r="I516">
        <v>69.25</v>
      </c>
      <c r="J516">
        <v>19</v>
      </c>
      <c r="K516" t="s">
        <v>16</v>
      </c>
    </row>
    <row r="517" spans="1:11" x14ac:dyDescent="0.25">
      <c r="A517">
        <v>800</v>
      </c>
      <c r="B517">
        <v>14.26</v>
      </c>
      <c r="C517" t="s">
        <v>14</v>
      </c>
      <c r="D517" t="s">
        <v>15</v>
      </c>
      <c r="E517">
        <v>300</v>
      </c>
      <c r="F517">
        <v>-29.3</v>
      </c>
      <c r="G517">
        <v>11.27</v>
      </c>
      <c r="H517">
        <v>9.19</v>
      </c>
      <c r="I517">
        <v>64.45</v>
      </c>
      <c r="J517">
        <v>22</v>
      </c>
      <c r="K517" t="s">
        <v>16</v>
      </c>
    </row>
    <row r="518" spans="1:11" x14ac:dyDescent="0.25">
      <c r="A518">
        <v>400</v>
      </c>
      <c r="B518">
        <v>18.46</v>
      </c>
      <c r="C518" t="s">
        <v>19</v>
      </c>
      <c r="D518" t="s">
        <v>15</v>
      </c>
      <c r="E518">
        <v>300</v>
      </c>
      <c r="F518">
        <v>53.1</v>
      </c>
      <c r="G518">
        <v>15.98</v>
      </c>
      <c r="H518">
        <v>3.56</v>
      </c>
      <c r="I518">
        <v>19.28</v>
      </c>
      <c r="J518">
        <v>18</v>
      </c>
      <c r="K518" t="s">
        <v>13</v>
      </c>
    </row>
    <row r="519" spans="1:11" x14ac:dyDescent="0.25">
      <c r="A519">
        <v>1200</v>
      </c>
      <c r="B519">
        <v>33.729999999999997</v>
      </c>
      <c r="C519" t="s">
        <v>14</v>
      </c>
      <c r="D519" t="s">
        <v>20</v>
      </c>
      <c r="E519">
        <v>150</v>
      </c>
      <c r="F519">
        <v>45.3</v>
      </c>
      <c r="G519">
        <v>10.81</v>
      </c>
      <c r="H519">
        <v>7.41</v>
      </c>
      <c r="I519">
        <v>21.97</v>
      </c>
      <c r="J519">
        <v>20</v>
      </c>
      <c r="K519" t="s">
        <v>16</v>
      </c>
    </row>
    <row r="520" spans="1:11" x14ac:dyDescent="0.25">
      <c r="A520">
        <v>250</v>
      </c>
      <c r="B520">
        <v>8.5399999999999991</v>
      </c>
      <c r="C520" t="s">
        <v>21</v>
      </c>
      <c r="D520" t="s">
        <v>20</v>
      </c>
      <c r="E520">
        <v>300</v>
      </c>
      <c r="F520">
        <v>41</v>
      </c>
      <c r="G520">
        <v>12.97</v>
      </c>
      <c r="H520">
        <v>5.54</v>
      </c>
      <c r="I520">
        <v>64.87</v>
      </c>
      <c r="J520">
        <v>4</v>
      </c>
      <c r="K520" t="s">
        <v>16</v>
      </c>
    </row>
    <row r="521" spans="1:11" x14ac:dyDescent="0.25">
      <c r="A521">
        <v>800</v>
      </c>
      <c r="B521">
        <v>20.75</v>
      </c>
      <c r="C521" t="s">
        <v>19</v>
      </c>
      <c r="D521" t="s">
        <v>15</v>
      </c>
      <c r="E521">
        <v>150</v>
      </c>
      <c r="F521">
        <v>-0.9</v>
      </c>
      <c r="G521">
        <v>6.09</v>
      </c>
      <c r="H521">
        <v>9.77</v>
      </c>
      <c r="I521">
        <v>47.08</v>
      </c>
      <c r="J521">
        <v>24</v>
      </c>
      <c r="K521" t="s">
        <v>16</v>
      </c>
    </row>
    <row r="522" spans="1:11" x14ac:dyDescent="0.25">
      <c r="A522">
        <v>1000</v>
      </c>
      <c r="B522">
        <v>15.56</v>
      </c>
      <c r="C522" t="s">
        <v>22</v>
      </c>
      <c r="D522" t="s">
        <v>12</v>
      </c>
      <c r="E522">
        <v>300</v>
      </c>
      <c r="F522">
        <v>74.8</v>
      </c>
      <c r="G522">
        <v>3.19</v>
      </c>
      <c r="H522">
        <v>4.24</v>
      </c>
      <c r="I522">
        <v>27.25</v>
      </c>
      <c r="J522">
        <v>20</v>
      </c>
      <c r="K522" t="s">
        <v>13</v>
      </c>
    </row>
    <row r="523" spans="1:11" x14ac:dyDescent="0.25">
      <c r="A523">
        <v>50</v>
      </c>
      <c r="B523">
        <v>4.6900000000000004</v>
      </c>
      <c r="C523" t="s">
        <v>19</v>
      </c>
      <c r="D523" t="s">
        <v>18</v>
      </c>
      <c r="E523">
        <v>150</v>
      </c>
      <c r="F523">
        <v>13.4</v>
      </c>
      <c r="G523">
        <v>0.67</v>
      </c>
      <c r="H523">
        <v>2.4300000000000002</v>
      </c>
      <c r="I523">
        <v>51.81</v>
      </c>
      <c r="J523">
        <v>18</v>
      </c>
      <c r="K523" t="s">
        <v>13</v>
      </c>
    </row>
    <row r="524" spans="1:11" x14ac:dyDescent="0.25">
      <c r="A524">
        <v>150</v>
      </c>
      <c r="B524">
        <v>7.97</v>
      </c>
      <c r="C524" t="s">
        <v>21</v>
      </c>
      <c r="D524" t="s">
        <v>18</v>
      </c>
      <c r="E524">
        <v>150</v>
      </c>
      <c r="F524">
        <v>81.8</v>
      </c>
      <c r="G524">
        <v>5.16</v>
      </c>
      <c r="H524">
        <v>9.0500000000000007</v>
      </c>
      <c r="I524">
        <v>113.55</v>
      </c>
      <c r="J524">
        <v>20</v>
      </c>
      <c r="K524" t="s">
        <v>16</v>
      </c>
    </row>
    <row r="525" spans="1:11" x14ac:dyDescent="0.25">
      <c r="A525">
        <v>200</v>
      </c>
      <c r="B525">
        <v>8.6199999999999992</v>
      </c>
      <c r="C525" t="s">
        <v>14</v>
      </c>
      <c r="D525" t="s">
        <v>15</v>
      </c>
      <c r="E525">
        <v>2500</v>
      </c>
      <c r="F525">
        <v>50.6</v>
      </c>
      <c r="G525">
        <v>10.45</v>
      </c>
      <c r="H525">
        <v>5.2</v>
      </c>
      <c r="I525">
        <v>60.32</v>
      </c>
      <c r="J525">
        <v>17</v>
      </c>
      <c r="K525" t="s">
        <v>16</v>
      </c>
    </row>
    <row r="526" spans="1:11" x14ac:dyDescent="0.25">
      <c r="A526">
        <v>100</v>
      </c>
      <c r="B526">
        <v>4.13</v>
      </c>
      <c r="C526" t="s">
        <v>22</v>
      </c>
      <c r="D526" t="s">
        <v>20</v>
      </c>
      <c r="E526">
        <v>1500</v>
      </c>
      <c r="F526">
        <v>34</v>
      </c>
      <c r="G526">
        <v>13.27</v>
      </c>
      <c r="H526">
        <v>4.9800000000000004</v>
      </c>
      <c r="I526">
        <v>120.58</v>
      </c>
      <c r="J526">
        <v>21</v>
      </c>
      <c r="K526" t="s">
        <v>13</v>
      </c>
    </row>
    <row r="527" spans="1:11" x14ac:dyDescent="0.25">
      <c r="A527">
        <v>1000</v>
      </c>
      <c r="B527">
        <v>21.65</v>
      </c>
      <c r="C527" t="s">
        <v>14</v>
      </c>
      <c r="D527" t="s">
        <v>18</v>
      </c>
      <c r="E527">
        <v>600</v>
      </c>
      <c r="F527">
        <v>45.9</v>
      </c>
      <c r="G527">
        <v>14.74</v>
      </c>
      <c r="H527">
        <v>0.8</v>
      </c>
      <c r="I527">
        <v>3.7</v>
      </c>
      <c r="J527">
        <v>23</v>
      </c>
      <c r="K527" t="s">
        <v>23</v>
      </c>
    </row>
    <row r="528" spans="1:11" x14ac:dyDescent="0.25">
      <c r="A528">
        <v>1000</v>
      </c>
      <c r="B528">
        <v>21.54</v>
      </c>
      <c r="C528" t="s">
        <v>22</v>
      </c>
      <c r="D528" t="s">
        <v>20</v>
      </c>
      <c r="E528">
        <v>600</v>
      </c>
      <c r="F528">
        <v>33.299999999999997</v>
      </c>
      <c r="G528">
        <v>1.88</v>
      </c>
      <c r="H528">
        <v>2.09</v>
      </c>
      <c r="I528">
        <v>9.6999999999999993</v>
      </c>
      <c r="J528">
        <v>6</v>
      </c>
      <c r="K528" t="s">
        <v>13</v>
      </c>
    </row>
    <row r="529" spans="1:11" x14ac:dyDescent="0.25">
      <c r="A529">
        <v>250</v>
      </c>
      <c r="B529">
        <v>9.52</v>
      </c>
      <c r="C529" t="s">
        <v>19</v>
      </c>
      <c r="D529" t="s">
        <v>12</v>
      </c>
      <c r="E529">
        <v>600</v>
      </c>
      <c r="F529">
        <v>83.7</v>
      </c>
      <c r="G529">
        <v>19.54</v>
      </c>
      <c r="H529">
        <v>9.39</v>
      </c>
      <c r="I529">
        <v>98.63</v>
      </c>
      <c r="J529">
        <v>13</v>
      </c>
      <c r="K529" t="s">
        <v>16</v>
      </c>
    </row>
    <row r="530" spans="1:11" x14ac:dyDescent="0.25">
      <c r="A530">
        <v>250</v>
      </c>
      <c r="B530">
        <v>8.56</v>
      </c>
      <c r="C530" t="s">
        <v>22</v>
      </c>
      <c r="D530" t="s">
        <v>12</v>
      </c>
      <c r="E530">
        <v>600</v>
      </c>
      <c r="F530">
        <v>-2.6</v>
      </c>
      <c r="G530">
        <v>8.07</v>
      </c>
      <c r="H530">
        <v>8.43</v>
      </c>
      <c r="I530">
        <v>98.48</v>
      </c>
      <c r="J530">
        <v>7</v>
      </c>
      <c r="K530" t="s">
        <v>16</v>
      </c>
    </row>
    <row r="531" spans="1:11" x14ac:dyDescent="0.25">
      <c r="A531">
        <v>200</v>
      </c>
      <c r="B531">
        <v>8.86</v>
      </c>
      <c r="C531" t="s">
        <v>19</v>
      </c>
      <c r="D531" t="s">
        <v>15</v>
      </c>
      <c r="E531">
        <v>300</v>
      </c>
      <c r="F531">
        <v>-40.4</v>
      </c>
      <c r="G531">
        <v>9.44</v>
      </c>
      <c r="H531">
        <v>7.99</v>
      </c>
      <c r="I531">
        <v>90.18</v>
      </c>
      <c r="J531">
        <v>3</v>
      </c>
      <c r="K531" t="s">
        <v>16</v>
      </c>
    </row>
    <row r="532" spans="1:11" x14ac:dyDescent="0.25">
      <c r="A532">
        <v>100</v>
      </c>
      <c r="B532">
        <v>7.89</v>
      </c>
      <c r="C532" t="s">
        <v>22</v>
      </c>
      <c r="D532" t="s">
        <v>15</v>
      </c>
      <c r="E532">
        <v>600</v>
      </c>
      <c r="F532">
        <v>-32.200000000000003</v>
      </c>
      <c r="G532">
        <v>19.920000000000002</v>
      </c>
      <c r="H532">
        <v>3.05</v>
      </c>
      <c r="I532">
        <v>38.659999999999997</v>
      </c>
      <c r="J532">
        <v>11</v>
      </c>
      <c r="K532" t="s">
        <v>13</v>
      </c>
    </row>
    <row r="533" spans="1:11" x14ac:dyDescent="0.25">
      <c r="A533">
        <v>100</v>
      </c>
      <c r="B533">
        <v>5.25</v>
      </c>
      <c r="C533" t="s">
        <v>11</v>
      </c>
      <c r="D533" t="s">
        <v>17</v>
      </c>
      <c r="E533">
        <v>600</v>
      </c>
      <c r="F533">
        <v>-19.8</v>
      </c>
      <c r="G533">
        <v>17.61</v>
      </c>
      <c r="H533">
        <v>9.9600000000000009</v>
      </c>
      <c r="I533">
        <v>189.71</v>
      </c>
      <c r="J533">
        <v>19</v>
      </c>
      <c r="K533" t="s">
        <v>16</v>
      </c>
    </row>
    <row r="534" spans="1:11" x14ac:dyDescent="0.25">
      <c r="A534">
        <v>100</v>
      </c>
      <c r="B534">
        <v>7.07</v>
      </c>
      <c r="C534" t="s">
        <v>11</v>
      </c>
      <c r="D534" t="s">
        <v>18</v>
      </c>
      <c r="E534">
        <v>150</v>
      </c>
      <c r="F534">
        <v>27.4</v>
      </c>
      <c r="G534">
        <v>1.45</v>
      </c>
      <c r="H534">
        <v>7.91</v>
      </c>
      <c r="I534">
        <v>111.88</v>
      </c>
      <c r="J534">
        <v>4</v>
      </c>
      <c r="K534" t="s">
        <v>16</v>
      </c>
    </row>
    <row r="535" spans="1:11" x14ac:dyDescent="0.25">
      <c r="A535">
        <v>200</v>
      </c>
      <c r="B535">
        <v>11.23</v>
      </c>
      <c r="C535" t="s">
        <v>11</v>
      </c>
      <c r="D535" t="s">
        <v>17</v>
      </c>
      <c r="E535">
        <v>1500</v>
      </c>
      <c r="F535">
        <v>33.4</v>
      </c>
      <c r="G535">
        <v>19.23</v>
      </c>
      <c r="H535">
        <v>8.5500000000000007</v>
      </c>
      <c r="I535">
        <v>76.14</v>
      </c>
      <c r="J535">
        <v>22</v>
      </c>
      <c r="K535" t="s">
        <v>16</v>
      </c>
    </row>
    <row r="536" spans="1:11" x14ac:dyDescent="0.25">
      <c r="A536">
        <v>250</v>
      </c>
      <c r="B536">
        <v>14.41</v>
      </c>
      <c r="C536" t="s">
        <v>19</v>
      </c>
      <c r="D536" t="s">
        <v>17</v>
      </c>
      <c r="E536">
        <v>2500</v>
      </c>
      <c r="F536">
        <v>-0.2</v>
      </c>
      <c r="G536">
        <v>2.77</v>
      </c>
      <c r="H536">
        <v>5.32</v>
      </c>
      <c r="I536">
        <v>36.92</v>
      </c>
      <c r="J536">
        <v>24</v>
      </c>
      <c r="K536" t="s">
        <v>16</v>
      </c>
    </row>
    <row r="537" spans="1:11" x14ac:dyDescent="0.25">
      <c r="A537">
        <v>1000</v>
      </c>
      <c r="B537">
        <v>27.26</v>
      </c>
      <c r="C537" t="s">
        <v>19</v>
      </c>
      <c r="D537" t="s">
        <v>15</v>
      </c>
      <c r="E537">
        <v>600</v>
      </c>
      <c r="F537">
        <v>54</v>
      </c>
      <c r="G537">
        <v>7.23</v>
      </c>
      <c r="H537">
        <v>2.15</v>
      </c>
      <c r="I537">
        <v>7.89</v>
      </c>
      <c r="J537">
        <v>5</v>
      </c>
      <c r="K537" t="s">
        <v>13</v>
      </c>
    </row>
    <row r="538" spans="1:11" x14ac:dyDescent="0.25">
      <c r="A538">
        <v>600</v>
      </c>
      <c r="B538">
        <v>13.68</v>
      </c>
      <c r="C538" t="s">
        <v>11</v>
      </c>
      <c r="D538" t="s">
        <v>12</v>
      </c>
      <c r="E538">
        <v>300</v>
      </c>
      <c r="F538">
        <v>84.8</v>
      </c>
      <c r="G538">
        <v>2.0499999999999998</v>
      </c>
      <c r="H538">
        <v>7.14</v>
      </c>
      <c r="I538">
        <v>52.19</v>
      </c>
      <c r="J538">
        <v>6</v>
      </c>
      <c r="K538" t="s">
        <v>16</v>
      </c>
    </row>
    <row r="539" spans="1:11" x14ac:dyDescent="0.25">
      <c r="A539">
        <v>1500</v>
      </c>
      <c r="B539">
        <v>47.8</v>
      </c>
      <c r="C539" t="s">
        <v>22</v>
      </c>
      <c r="D539" t="s">
        <v>12</v>
      </c>
      <c r="E539">
        <v>300</v>
      </c>
      <c r="F539">
        <v>10.1</v>
      </c>
      <c r="G539">
        <v>15.3</v>
      </c>
      <c r="H539">
        <v>9.43</v>
      </c>
      <c r="I539">
        <v>19.73</v>
      </c>
      <c r="J539">
        <v>6</v>
      </c>
      <c r="K539" t="s">
        <v>16</v>
      </c>
    </row>
    <row r="540" spans="1:11" x14ac:dyDescent="0.25">
      <c r="A540">
        <v>800</v>
      </c>
      <c r="B540">
        <v>29.51</v>
      </c>
      <c r="C540" t="s">
        <v>19</v>
      </c>
      <c r="D540" t="s">
        <v>12</v>
      </c>
      <c r="E540">
        <v>300</v>
      </c>
      <c r="F540">
        <v>128.80000000000001</v>
      </c>
      <c r="G540">
        <v>3.09</v>
      </c>
      <c r="H540">
        <v>9.75</v>
      </c>
      <c r="I540">
        <v>33.04</v>
      </c>
      <c r="J540">
        <v>1</v>
      </c>
      <c r="K540" t="s">
        <v>16</v>
      </c>
    </row>
    <row r="541" spans="1:11" x14ac:dyDescent="0.25">
      <c r="A541">
        <v>150</v>
      </c>
      <c r="B541">
        <v>7.48</v>
      </c>
      <c r="C541" t="s">
        <v>22</v>
      </c>
      <c r="D541" t="s">
        <v>20</v>
      </c>
      <c r="E541">
        <v>900</v>
      </c>
      <c r="F541">
        <v>80.5</v>
      </c>
      <c r="G541">
        <v>8.07</v>
      </c>
      <c r="H541">
        <v>0.18</v>
      </c>
      <c r="I541">
        <v>2.41</v>
      </c>
      <c r="J541">
        <v>11</v>
      </c>
      <c r="K541" t="s">
        <v>23</v>
      </c>
    </row>
    <row r="542" spans="1:11" x14ac:dyDescent="0.25">
      <c r="A542">
        <v>600</v>
      </c>
      <c r="B542">
        <v>26.47</v>
      </c>
      <c r="C542" t="s">
        <v>19</v>
      </c>
      <c r="D542" t="s">
        <v>12</v>
      </c>
      <c r="E542">
        <v>2500</v>
      </c>
      <c r="F542">
        <v>36.200000000000003</v>
      </c>
      <c r="G542">
        <v>7.17</v>
      </c>
      <c r="H542">
        <v>8.48</v>
      </c>
      <c r="I542">
        <v>32.04</v>
      </c>
      <c r="J542">
        <v>18</v>
      </c>
      <c r="K542" t="s">
        <v>16</v>
      </c>
    </row>
    <row r="543" spans="1:11" x14ac:dyDescent="0.25">
      <c r="A543">
        <v>300</v>
      </c>
      <c r="B543">
        <v>13.68</v>
      </c>
      <c r="C543" t="s">
        <v>11</v>
      </c>
      <c r="D543" t="s">
        <v>20</v>
      </c>
      <c r="E543">
        <v>900</v>
      </c>
      <c r="F543">
        <v>12.3</v>
      </c>
      <c r="G543">
        <v>17.18</v>
      </c>
      <c r="H543">
        <v>4.66</v>
      </c>
      <c r="I543">
        <v>34.06</v>
      </c>
      <c r="J543">
        <v>21</v>
      </c>
      <c r="K543" t="s">
        <v>13</v>
      </c>
    </row>
    <row r="544" spans="1:11" x14ac:dyDescent="0.25">
      <c r="A544">
        <v>300</v>
      </c>
      <c r="B544">
        <v>9.59</v>
      </c>
      <c r="C544" t="s">
        <v>11</v>
      </c>
      <c r="D544" t="s">
        <v>15</v>
      </c>
      <c r="E544">
        <v>1500</v>
      </c>
      <c r="F544">
        <v>73</v>
      </c>
      <c r="G544">
        <v>13.07</v>
      </c>
      <c r="H544">
        <v>0.19</v>
      </c>
      <c r="I544">
        <v>1.98</v>
      </c>
      <c r="J544">
        <v>7</v>
      </c>
      <c r="K544" t="s">
        <v>23</v>
      </c>
    </row>
    <row r="545" spans="1:11" x14ac:dyDescent="0.25">
      <c r="A545">
        <v>100</v>
      </c>
      <c r="B545">
        <v>4.28</v>
      </c>
      <c r="C545" t="s">
        <v>22</v>
      </c>
      <c r="D545" t="s">
        <v>12</v>
      </c>
      <c r="E545">
        <v>900</v>
      </c>
      <c r="F545">
        <v>83.1</v>
      </c>
      <c r="G545">
        <v>5.1100000000000003</v>
      </c>
      <c r="H545">
        <v>7.92</v>
      </c>
      <c r="I545">
        <v>185.05</v>
      </c>
      <c r="J545">
        <v>1</v>
      </c>
      <c r="K545" t="s">
        <v>16</v>
      </c>
    </row>
    <row r="546" spans="1:11" x14ac:dyDescent="0.25">
      <c r="A546">
        <v>800</v>
      </c>
      <c r="B546">
        <v>21.96</v>
      </c>
      <c r="C546" t="s">
        <v>21</v>
      </c>
      <c r="D546" t="s">
        <v>18</v>
      </c>
      <c r="E546">
        <v>600</v>
      </c>
      <c r="F546">
        <v>19</v>
      </c>
      <c r="G546">
        <v>10.82</v>
      </c>
      <c r="H546">
        <v>0.43</v>
      </c>
      <c r="I546">
        <v>1.96</v>
      </c>
      <c r="J546">
        <v>12</v>
      </c>
      <c r="K546" t="s">
        <v>23</v>
      </c>
    </row>
    <row r="547" spans="1:11" x14ac:dyDescent="0.25">
      <c r="A547">
        <v>500</v>
      </c>
      <c r="B547">
        <v>10.210000000000001</v>
      </c>
      <c r="C547" t="s">
        <v>11</v>
      </c>
      <c r="D547" t="s">
        <v>12</v>
      </c>
      <c r="E547">
        <v>300</v>
      </c>
      <c r="F547">
        <v>68.3</v>
      </c>
      <c r="G547">
        <v>16.88</v>
      </c>
      <c r="H547">
        <v>9.25</v>
      </c>
      <c r="I547">
        <v>90.6</v>
      </c>
      <c r="J547">
        <v>19</v>
      </c>
      <c r="K547" t="s">
        <v>16</v>
      </c>
    </row>
    <row r="548" spans="1:11" x14ac:dyDescent="0.25">
      <c r="A548">
        <v>500</v>
      </c>
      <c r="B548">
        <v>19.32</v>
      </c>
      <c r="C548" t="s">
        <v>19</v>
      </c>
      <c r="D548" t="s">
        <v>20</v>
      </c>
      <c r="E548">
        <v>900</v>
      </c>
      <c r="F548">
        <v>90.4</v>
      </c>
      <c r="G548">
        <v>18.760000000000002</v>
      </c>
      <c r="H548">
        <v>4.4000000000000004</v>
      </c>
      <c r="I548">
        <v>22.77</v>
      </c>
      <c r="J548">
        <v>4</v>
      </c>
      <c r="K548" t="s">
        <v>13</v>
      </c>
    </row>
    <row r="549" spans="1:11" x14ac:dyDescent="0.25">
      <c r="A549">
        <v>250</v>
      </c>
      <c r="B549">
        <v>13.65</v>
      </c>
      <c r="C549" t="s">
        <v>21</v>
      </c>
      <c r="D549" t="s">
        <v>20</v>
      </c>
      <c r="E549">
        <v>150</v>
      </c>
      <c r="F549">
        <v>37.4</v>
      </c>
      <c r="G549">
        <v>6.56</v>
      </c>
      <c r="H549">
        <v>3.7</v>
      </c>
      <c r="I549">
        <v>27.11</v>
      </c>
      <c r="J549">
        <v>18</v>
      </c>
      <c r="K549" t="s">
        <v>13</v>
      </c>
    </row>
    <row r="550" spans="1:11" x14ac:dyDescent="0.25">
      <c r="A550">
        <v>200</v>
      </c>
      <c r="B550">
        <v>10.98</v>
      </c>
      <c r="C550" t="s">
        <v>19</v>
      </c>
      <c r="D550" t="s">
        <v>12</v>
      </c>
      <c r="E550">
        <v>600</v>
      </c>
      <c r="F550">
        <v>20.6</v>
      </c>
      <c r="G550">
        <v>9.9</v>
      </c>
      <c r="H550">
        <v>6.62</v>
      </c>
      <c r="I550">
        <v>60.29</v>
      </c>
      <c r="J550">
        <v>6</v>
      </c>
      <c r="K550" t="s">
        <v>16</v>
      </c>
    </row>
    <row r="551" spans="1:11" x14ac:dyDescent="0.25">
      <c r="A551">
        <v>800</v>
      </c>
      <c r="B551">
        <v>31.24</v>
      </c>
      <c r="C551" t="s">
        <v>21</v>
      </c>
      <c r="D551" t="s">
        <v>15</v>
      </c>
      <c r="E551">
        <v>300</v>
      </c>
      <c r="F551">
        <v>108.5</v>
      </c>
      <c r="G551">
        <v>3.05</v>
      </c>
      <c r="H551">
        <v>9.35</v>
      </c>
      <c r="I551">
        <v>29.93</v>
      </c>
      <c r="J551">
        <v>13</v>
      </c>
      <c r="K551" t="s">
        <v>16</v>
      </c>
    </row>
    <row r="552" spans="1:11" x14ac:dyDescent="0.25">
      <c r="A552">
        <v>500</v>
      </c>
      <c r="B552">
        <v>20.02</v>
      </c>
      <c r="C552" t="s">
        <v>22</v>
      </c>
      <c r="D552" t="s">
        <v>20</v>
      </c>
      <c r="E552">
        <v>900</v>
      </c>
      <c r="F552">
        <v>17.100000000000001</v>
      </c>
      <c r="G552">
        <v>9.57</v>
      </c>
      <c r="H552">
        <v>1.08</v>
      </c>
      <c r="I552">
        <v>5.39</v>
      </c>
      <c r="J552">
        <v>7</v>
      </c>
      <c r="K552" t="s">
        <v>23</v>
      </c>
    </row>
    <row r="553" spans="1:11" x14ac:dyDescent="0.25">
      <c r="A553">
        <v>500</v>
      </c>
      <c r="B553">
        <v>11.35</v>
      </c>
      <c r="C553" t="s">
        <v>22</v>
      </c>
      <c r="D553" t="s">
        <v>20</v>
      </c>
      <c r="E553">
        <v>600</v>
      </c>
      <c r="F553">
        <v>57.8</v>
      </c>
      <c r="G553">
        <v>18.93</v>
      </c>
      <c r="H553">
        <v>2.5</v>
      </c>
      <c r="I553">
        <v>22.03</v>
      </c>
      <c r="J553">
        <v>17</v>
      </c>
      <c r="K553" t="s">
        <v>13</v>
      </c>
    </row>
    <row r="554" spans="1:11" x14ac:dyDescent="0.25">
      <c r="A554">
        <v>600</v>
      </c>
      <c r="B554">
        <v>29.1</v>
      </c>
      <c r="C554" t="s">
        <v>21</v>
      </c>
      <c r="D554" t="s">
        <v>20</v>
      </c>
      <c r="E554">
        <v>1500</v>
      </c>
      <c r="F554">
        <v>3.4</v>
      </c>
      <c r="G554">
        <v>19.05</v>
      </c>
      <c r="H554">
        <v>8.1999999999999993</v>
      </c>
      <c r="I554">
        <v>28.18</v>
      </c>
      <c r="J554">
        <v>7</v>
      </c>
      <c r="K554" t="s">
        <v>16</v>
      </c>
    </row>
    <row r="555" spans="1:11" x14ac:dyDescent="0.25">
      <c r="A555">
        <v>600</v>
      </c>
      <c r="B555">
        <v>17.64</v>
      </c>
      <c r="C555" t="s">
        <v>11</v>
      </c>
      <c r="D555" t="s">
        <v>12</v>
      </c>
      <c r="E555">
        <v>150</v>
      </c>
      <c r="F555">
        <v>44.9</v>
      </c>
      <c r="G555">
        <v>0.62</v>
      </c>
      <c r="H555">
        <v>5.22</v>
      </c>
      <c r="I555">
        <v>29.59</v>
      </c>
      <c r="J555">
        <v>10</v>
      </c>
      <c r="K555" t="s">
        <v>16</v>
      </c>
    </row>
    <row r="556" spans="1:11" x14ac:dyDescent="0.25">
      <c r="A556">
        <v>150</v>
      </c>
      <c r="B556">
        <v>8.75</v>
      </c>
      <c r="C556" t="s">
        <v>21</v>
      </c>
      <c r="D556" t="s">
        <v>12</v>
      </c>
      <c r="E556">
        <v>900</v>
      </c>
      <c r="F556">
        <v>3.7</v>
      </c>
      <c r="G556">
        <v>16.84</v>
      </c>
      <c r="H556">
        <v>3.84</v>
      </c>
      <c r="I556">
        <v>43.89</v>
      </c>
      <c r="J556">
        <v>17</v>
      </c>
      <c r="K556" t="s">
        <v>13</v>
      </c>
    </row>
    <row r="557" spans="1:11" x14ac:dyDescent="0.25">
      <c r="A557">
        <v>400</v>
      </c>
      <c r="B557">
        <v>11.43</v>
      </c>
      <c r="C557" t="s">
        <v>21</v>
      </c>
      <c r="D557" t="s">
        <v>15</v>
      </c>
      <c r="E557">
        <v>1500</v>
      </c>
      <c r="F557">
        <v>77.599999999999994</v>
      </c>
      <c r="G557">
        <v>16.88</v>
      </c>
      <c r="H557">
        <v>0.56000000000000005</v>
      </c>
      <c r="I557">
        <v>4.9000000000000004</v>
      </c>
      <c r="J557">
        <v>10</v>
      </c>
      <c r="K557" t="s">
        <v>23</v>
      </c>
    </row>
    <row r="558" spans="1:11" x14ac:dyDescent="0.25">
      <c r="A558">
        <v>500</v>
      </c>
      <c r="B558">
        <v>15.27</v>
      </c>
      <c r="C558" t="s">
        <v>19</v>
      </c>
      <c r="D558" t="s">
        <v>15</v>
      </c>
      <c r="E558">
        <v>150</v>
      </c>
      <c r="F558">
        <v>43.7</v>
      </c>
      <c r="G558">
        <v>19.41</v>
      </c>
      <c r="H558">
        <v>8.01</v>
      </c>
      <c r="I558">
        <v>52.46</v>
      </c>
      <c r="J558">
        <v>25</v>
      </c>
      <c r="K558" t="s">
        <v>16</v>
      </c>
    </row>
    <row r="559" spans="1:11" x14ac:dyDescent="0.25">
      <c r="A559">
        <v>100</v>
      </c>
      <c r="B559">
        <v>5.45</v>
      </c>
      <c r="C559" t="s">
        <v>22</v>
      </c>
      <c r="D559" t="s">
        <v>15</v>
      </c>
      <c r="E559">
        <v>600</v>
      </c>
      <c r="F559">
        <v>12.4</v>
      </c>
      <c r="G559">
        <v>14.13</v>
      </c>
      <c r="H559">
        <v>8.86</v>
      </c>
      <c r="I559">
        <v>162.57</v>
      </c>
      <c r="J559">
        <v>11</v>
      </c>
      <c r="K559" t="s">
        <v>16</v>
      </c>
    </row>
    <row r="560" spans="1:11" x14ac:dyDescent="0.25">
      <c r="A560">
        <v>100</v>
      </c>
      <c r="B560">
        <v>5.78</v>
      </c>
      <c r="C560" t="s">
        <v>11</v>
      </c>
      <c r="D560" t="s">
        <v>20</v>
      </c>
      <c r="E560">
        <v>900</v>
      </c>
      <c r="F560">
        <v>49.4</v>
      </c>
      <c r="G560">
        <v>13.28</v>
      </c>
      <c r="H560">
        <v>7.0000000000000007E-2</v>
      </c>
      <c r="I560">
        <v>1.21</v>
      </c>
      <c r="J560">
        <v>14</v>
      </c>
      <c r="K560" t="s">
        <v>23</v>
      </c>
    </row>
    <row r="561" spans="1:11" x14ac:dyDescent="0.25">
      <c r="A561">
        <v>150</v>
      </c>
      <c r="B561">
        <v>7.52</v>
      </c>
      <c r="C561" t="s">
        <v>22</v>
      </c>
      <c r="D561" t="s">
        <v>20</v>
      </c>
      <c r="E561">
        <v>600</v>
      </c>
      <c r="F561">
        <v>3.9</v>
      </c>
      <c r="G561">
        <v>6.91</v>
      </c>
      <c r="H561">
        <v>3.12</v>
      </c>
      <c r="I561">
        <v>41.49</v>
      </c>
      <c r="J561">
        <v>16</v>
      </c>
      <c r="K561" t="s">
        <v>13</v>
      </c>
    </row>
    <row r="562" spans="1:11" x14ac:dyDescent="0.25">
      <c r="A562">
        <v>50</v>
      </c>
      <c r="B562">
        <v>4.7300000000000004</v>
      </c>
      <c r="C562" t="s">
        <v>19</v>
      </c>
      <c r="D562" t="s">
        <v>15</v>
      </c>
      <c r="E562">
        <v>150</v>
      </c>
      <c r="F562">
        <v>-26.1</v>
      </c>
      <c r="G562">
        <v>6.97</v>
      </c>
      <c r="H562">
        <v>1.24</v>
      </c>
      <c r="I562">
        <v>26.22</v>
      </c>
      <c r="J562">
        <v>11</v>
      </c>
      <c r="K562" t="s">
        <v>23</v>
      </c>
    </row>
    <row r="563" spans="1:11" x14ac:dyDescent="0.25">
      <c r="A563">
        <v>150</v>
      </c>
      <c r="B563">
        <v>9.06</v>
      </c>
      <c r="C563" t="s">
        <v>14</v>
      </c>
      <c r="D563" t="s">
        <v>17</v>
      </c>
      <c r="E563">
        <v>300</v>
      </c>
      <c r="F563">
        <v>41.6</v>
      </c>
      <c r="G563">
        <v>8.06</v>
      </c>
      <c r="H563">
        <v>5.92</v>
      </c>
      <c r="I563">
        <v>65.34</v>
      </c>
      <c r="J563">
        <v>23</v>
      </c>
      <c r="K563" t="s">
        <v>16</v>
      </c>
    </row>
    <row r="564" spans="1:11" x14ac:dyDescent="0.25">
      <c r="A564">
        <v>250</v>
      </c>
      <c r="B564">
        <v>11.12</v>
      </c>
      <c r="C564" t="s">
        <v>14</v>
      </c>
      <c r="D564" t="s">
        <v>17</v>
      </c>
      <c r="E564">
        <v>150</v>
      </c>
      <c r="F564">
        <v>50.1</v>
      </c>
      <c r="G564">
        <v>10.85</v>
      </c>
      <c r="H564">
        <v>0.34</v>
      </c>
      <c r="I564">
        <v>3.06</v>
      </c>
      <c r="J564">
        <v>21</v>
      </c>
      <c r="K564" t="s">
        <v>23</v>
      </c>
    </row>
    <row r="565" spans="1:11" x14ac:dyDescent="0.25">
      <c r="A565">
        <v>200</v>
      </c>
      <c r="B565">
        <v>7.76</v>
      </c>
      <c r="C565" t="s">
        <v>14</v>
      </c>
      <c r="D565" t="s">
        <v>15</v>
      </c>
      <c r="E565">
        <v>600</v>
      </c>
      <c r="F565">
        <v>73.900000000000006</v>
      </c>
      <c r="G565">
        <v>6.25</v>
      </c>
      <c r="H565">
        <v>0.82</v>
      </c>
      <c r="I565">
        <v>10.57</v>
      </c>
      <c r="J565">
        <v>10</v>
      </c>
      <c r="K565" t="s">
        <v>23</v>
      </c>
    </row>
    <row r="566" spans="1:11" x14ac:dyDescent="0.25">
      <c r="A566">
        <v>1000</v>
      </c>
      <c r="B566">
        <v>28.91</v>
      </c>
      <c r="C566" t="s">
        <v>21</v>
      </c>
      <c r="D566" t="s">
        <v>17</v>
      </c>
      <c r="E566">
        <v>600</v>
      </c>
      <c r="F566">
        <v>69.599999999999994</v>
      </c>
      <c r="G566">
        <v>16.07</v>
      </c>
      <c r="H566">
        <v>6.87</v>
      </c>
      <c r="I566">
        <v>23.76</v>
      </c>
      <c r="J566">
        <v>22</v>
      </c>
      <c r="K566" t="s">
        <v>16</v>
      </c>
    </row>
    <row r="567" spans="1:11" x14ac:dyDescent="0.25">
      <c r="A567">
        <v>200</v>
      </c>
      <c r="B567">
        <v>11.71</v>
      </c>
      <c r="C567" t="s">
        <v>22</v>
      </c>
      <c r="D567" t="s">
        <v>15</v>
      </c>
      <c r="E567">
        <v>300</v>
      </c>
      <c r="F567">
        <v>104.8</v>
      </c>
      <c r="G567">
        <v>0.59</v>
      </c>
      <c r="H567">
        <v>8.2899999999999991</v>
      </c>
      <c r="I567">
        <v>70.790000000000006</v>
      </c>
      <c r="J567">
        <v>21</v>
      </c>
      <c r="K567" t="s">
        <v>16</v>
      </c>
    </row>
    <row r="568" spans="1:11" x14ac:dyDescent="0.25">
      <c r="A568">
        <v>150</v>
      </c>
      <c r="B568">
        <v>9.6199999999999992</v>
      </c>
      <c r="C568" t="s">
        <v>21</v>
      </c>
      <c r="D568" t="s">
        <v>15</v>
      </c>
      <c r="E568">
        <v>150</v>
      </c>
      <c r="F568">
        <v>126</v>
      </c>
      <c r="G568">
        <v>8.4700000000000006</v>
      </c>
      <c r="H568">
        <v>3.19</v>
      </c>
      <c r="I568">
        <v>33.159999999999997</v>
      </c>
      <c r="J568">
        <v>10</v>
      </c>
      <c r="K568" t="s">
        <v>13</v>
      </c>
    </row>
    <row r="569" spans="1:11" x14ac:dyDescent="0.25">
      <c r="A569">
        <v>150</v>
      </c>
      <c r="B569">
        <v>5.71</v>
      </c>
      <c r="C569" t="s">
        <v>19</v>
      </c>
      <c r="D569" t="s">
        <v>12</v>
      </c>
      <c r="E569">
        <v>600</v>
      </c>
      <c r="F569">
        <v>50.1</v>
      </c>
      <c r="G569">
        <v>2.81</v>
      </c>
      <c r="H569">
        <v>5.52</v>
      </c>
      <c r="I569">
        <v>96.67</v>
      </c>
      <c r="J569">
        <v>16</v>
      </c>
      <c r="K569" t="s">
        <v>16</v>
      </c>
    </row>
    <row r="570" spans="1:11" x14ac:dyDescent="0.25">
      <c r="A570">
        <v>250</v>
      </c>
      <c r="B570">
        <v>8.98</v>
      </c>
      <c r="C570" t="s">
        <v>19</v>
      </c>
      <c r="D570" t="s">
        <v>18</v>
      </c>
      <c r="E570">
        <v>2500</v>
      </c>
      <c r="F570">
        <v>3</v>
      </c>
      <c r="G570">
        <v>15.03</v>
      </c>
      <c r="H570">
        <v>2.72</v>
      </c>
      <c r="I570">
        <v>30.29</v>
      </c>
      <c r="J570">
        <v>25</v>
      </c>
      <c r="K570" t="s">
        <v>13</v>
      </c>
    </row>
    <row r="571" spans="1:11" x14ac:dyDescent="0.25">
      <c r="A571">
        <v>200</v>
      </c>
      <c r="B571">
        <v>9.26</v>
      </c>
      <c r="C571" t="s">
        <v>19</v>
      </c>
      <c r="D571" t="s">
        <v>12</v>
      </c>
      <c r="E571">
        <v>300</v>
      </c>
      <c r="F571">
        <v>95.9</v>
      </c>
      <c r="G571">
        <v>15.17</v>
      </c>
      <c r="H571">
        <v>0.39</v>
      </c>
      <c r="I571">
        <v>4.21</v>
      </c>
      <c r="J571">
        <v>11</v>
      </c>
      <c r="K571" t="s">
        <v>23</v>
      </c>
    </row>
    <row r="572" spans="1:11" x14ac:dyDescent="0.25">
      <c r="A572">
        <v>50</v>
      </c>
      <c r="B572">
        <v>4.88</v>
      </c>
      <c r="C572" t="s">
        <v>11</v>
      </c>
      <c r="D572" t="s">
        <v>18</v>
      </c>
      <c r="E572">
        <v>600</v>
      </c>
      <c r="F572">
        <v>23.9</v>
      </c>
      <c r="G572">
        <v>12.19</v>
      </c>
      <c r="H572">
        <v>1.94</v>
      </c>
      <c r="I572">
        <v>39.75</v>
      </c>
      <c r="J572">
        <v>2</v>
      </c>
      <c r="K572" t="s">
        <v>23</v>
      </c>
    </row>
    <row r="573" spans="1:11" x14ac:dyDescent="0.25">
      <c r="A573">
        <v>800</v>
      </c>
      <c r="B573">
        <v>26.68</v>
      </c>
      <c r="C573" t="s">
        <v>22</v>
      </c>
      <c r="D573" t="s">
        <v>15</v>
      </c>
      <c r="E573">
        <v>150</v>
      </c>
      <c r="F573">
        <v>77.3</v>
      </c>
      <c r="G573">
        <v>1.72</v>
      </c>
      <c r="H573">
        <v>1.7</v>
      </c>
      <c r="I573">
        <v>6.37</v>
      </c>
      <c r="J573">
        <v>2</v>
      </c>
      <c r="K573" t="s">
        <v>23</v>
      </c>
    </row>
    <row r="574" spans="1:11" x14ac:dyDescent="0.25">
      <c r="A574">
        <v>800</v>
      </c>
      <c r="B574">
        <v>28.91</v>
      </c>
      <c r="C574" t="s">
        <v>19</v>
      </c>
      <c r="D574" t="s">
        <v>17</v>
      </c>
      <c r="E574">
        <v>2500</v>
      </c>
      <c r="F574">
        <v>113.9</v>
      </c>
      <c r="G574">
        <v>7.13</v>
      </c>
      <c r="H574">
        <v>6.97</v>
      </c>
      <c r="I574">
        <v>24.11</v>
      </c>
      <c r="J574">
        <v>11</v>
      </c>
      <c r="K574" t="s">
        <v>16</v>
      </c>
    </row>
    <row r="575" spans="1:11" x14ac:dyDescent="0.25">
      <c r="A575">
        <v>1200</v>
      </c>
      <c r="B575">
        <v>19.059999999999999</v>
      </c>
      <c r="C575" t="s">
        <v>11</v>
      </c>
      <c r="D575" t="s">
        <v>12</v>
      </c>
      <c r="E575">
        <v>600</v>
      </c>
      <c r="F575">
        <v>10</v>
      </c>
      <c r="G575">
        <v>18.3</v>
      </c>
      <c r="H575">
        <v>0.64</v>
      </c>
      <c r="I575">
        <v>3.36</v>
      </c>
      <c r="J575">
        <v>24</v>
      </c>
      <c r="K575" t="s">
        <v>23</v>
      </c>
    </row>
    <row r="576" spans="1:11" x14ac:dyDescent="0.25">
      <c r="A576">
        <v>600</v>
      </c>
      <c r="B576">
        <v>17.16</v>
      </c>
      <c r="C576" t="s">
        <v>19</v>
      </c>
      <c r="D576" t="s">
        <v>17</v>
      </c>
      <c r="E576">
        <v>150</v>
      </c>
      <c r="F576">
        <v>47</v>
      </c>
      <c r="G576">
        <v>4.92</v>
      </c>
      <c r="H576">
        <v>7.12</v>
      </c>
      <c r="I576">
        <v>41.49</v>
      </c>
      <c r="J576">
        <v>2</v>
      </c>
      <c r="K576" t="s">
        <v>16</v>
      </c>
    </row>
    <row r="577" spans="1:11" x14ac:dyDescent="0.25">
      <c r="A577">
        <v>150</v>
      </c>
      <c r="B577">
        <v>5.41</v>
      </c>
      <c r="C577" t="s">
        <v>21</v>
      </c>
      <c r="D577" t="s">
        <v>12</v>
      </c>
      <c r="E577">
        <v>1500</v>
      </c>
      <c r="F577">
        <v>44.1</v>
      </c>
      <c r="G577">
        <v>9.25</v>
      </c>
      <c r="H577">
        <v>8.4</v>
      </c>
      <c r="I577">
        <v>155.27000000000001</v>
      </c>
      <c r="J577">
        <v>8</v>
      </c>
      <c r="K577" t="s">
        <v>16</v>
      </c>
    </row>
    <row r="578" spans="1:11" x14ac:dyDescent="0.25">
      <c r="A578">
        <v>300</v>
      </c>
      <c r="B578">
        <v>17.739999999999998</v>
      </c>
      <c r="C578" t="s">
        <v>19</v>
      </c>
      <c r="D578" t="s">
        <v>18</v>
      </c>
      <c r="E578">
        <v>2500</v>
      </c>
      <c r="F578">
        <v>28.4</v>
      </c>
      <c r="G578">
        <v>1.77</v>
      </c>
      <c r="H578">
        <v>0.85</v>
      </c>
      <c r="I578">
        <v>4.79</v>
      </c>
      <c r="J578">
        <v>15</v>
      </c>
      <c r="K578" t="s">
        <v>23</v>
      </c>
    </row>
    <row r="579" spans="1:11" x14ac:dyDescent="0.25">
      <c r="A579">
        <v>1200</v>
      </c>
      <c r="B579">
        <v>35.19</v>
      </c>
      <c r="C579" t="s">
        <v>19</v>
      </c>
      <c r="D579" t="s">
        <v>12</v>
      </c>
      <c r="E579">
        <v>600</v>
      </c>
      <c r="F579">
        <v>45.8</v>
      </c>
      <c r="G579">
        <v>7.81</v>
      </c>
      <c r="H579">
        <v>3.15</v>
      </c>
      <c r="I579">
        <v>8.9499999999999993</v>
      </c>
      <c r="J579">
        <v>22</v>
      </c>
      <c r="K579" t="s">
        <v>13</v>
      </c>
    </row>
    <row r="580" spans="1:11" x14ac:dyDescent="0.25">
      <c r="A580">
        <v>300</v>
      </c>
      <c r="B580">
        <v>13.22</v>
      </c>
      <c r="C580" t="s">
        <v>11</v>
      </c>
      <c r="D580" t="s">
        <v>20</v>
      </c>
      <c r="E580">
        <v>300</v>
      </c>
      <c r="F580">
        <v>-25</v>
      </c>
      <c r="G580">
        <v>17.489999999999998</v>
      </c>
      <c r="H580">
        <v>1.06</v>
      </c>
      <c r="I580">
        <v>8.02</v>
      </c>
      <c r="J580">
        <v>12</v>
      </c>
      <c r="K580" t="s">
        <v>23</v>
      </c>
    </row>
    <row r="581" spans="1:11" x14ac:dyDescent="0.25">
      <c r="A581">
        <v>1500</v>
      </c>
      <c r="B581">
        <v>42.02</v>
      </c>
      <c r="C581" t="s">
        <v>14</v>
      </c>
      <c r="D581" t="s">
        <v>17</v>
      </c>
      <c r="E581">
        <v>900</v>
      </c>
      <c r="F581">
        <v>21.2</v>
      </c>
      <c r="G581">
        <v>9.66</v>
      </c>
      <c r="H581">
        <v>7.87</v>
      </c>
      <c r="I581">
        <v>18.73</v>
      </c>
      <c r="J581">
        <v>10</v>
      </c>
      <c r="K581" t="s">
        <v>16</v>
      </c>
    </row>
    <row r="582" spans="1:11" x14ac:dyDescent="0.25">
      <c r="A582">
        <v>250</v>
      </c>
      <c r="B582">
        <v>12.72</v>
      </c>
      <c r="C582" t="s">
        <v>19</v>
      </c>
      <c r="D582" t="s">
        <v>12</v>
      </c>
      <c r="E582">
        <v>150</v>
      </c>
      <c r="F582">
        <v>49</v>
      </c>
      <c r="G582">
        <v>8.1199999999999992</v>
      </c>
      <c r="H582">
        <v>2.68</v>
      </c>
      <c r="I582">
        <v>21.07</v>
      </c>
      <c r="J582">
        <v>13</v>
      </c>
      <c r="K582" t="s">
        <v>13</v>
      </c>
    </row>
    <row r="583" spans="1:11" x14ac:dyDescent="0.25">
      <c r="A583">
        <v>500</v>
      </c>
      <c r="B583">
        <v>21.07</v>
      </c>
      <c r="C583" t="s">
        <v>19</v>
      </c>
      <c r="D583" t="s">
        <v>12</v>
      </c>
      <c r="E583">
        <v>600</v>
      </c>
      <c r="F583">
        <v>83.4</v>
      </c>
      <c r="G583">
        <v>9.5399999999999991</v>
      </c>
      <c r="H583">
        <v>1.1599999999999999</v>
      </c>
      <c r="I583">
        <v>5.51</v>
      </c>
      <c r="J583">
        <v>1</v>
      </c>
      <c r="K583" t="s">
        <v>23</v>
      </c>
    </row>
    <row r="584" spans="1:11" x14ac:dyDescent="0.25">
      <c r="A584">
        <v>100</v>
      </c>
      <c r="B584">
        <v>4.5199999999999996</v>
      </c>
      <c r="C584" t="s">
        <v>22</v>
      </c>
      <c r="D584" t="s">
        <v>18</v>
      </c>
      <c r="E584">
        <v>300</v>
      </c>
      <c r="F584">
        <v>-25.5</v>
      </c>
      <c r="G584">
        <v>0.61</v>
      </c>
      <c r="H584">
        <v>7.73</v>
      </c>
      <c r="I584">
        <v>171.02</v>
      </c>
      <c r="J584">
        <v>21</v>
      </c>
      <c r="K584" t="s">
        <v>16</v>
      </c>
    </row>
    <row r="585" spans="1:11" x14ac:dyDescent="0.25">
      <c r="A585">
        <v>600</v>
      </c>
      <c r="B585">
        <v>12.67</v>
      </c>
      <c r="C585" t="s">
        <v>11</v>
      </c>
      <c r="D585" t="s">
        <v>17</v>
      </c>
      <c r="E585">
        <v>600</v>
      </c>
      <c r="F585">
        <v>60</v>
      </c>
      <c r="G585">
        <v>0.91</v>
      </c>
      <c r="H585">
        <v>8.3000000000000007</v>
      </c>
      <c r="I585">
        <v>65.510000000000005</v>
      </c>
      <c r="J585">
        <v>20</v>
      </c>
      <c r="K585" t="s">
        <v>16</v>
      </c>
    </row>
    <row r="586" spans="1:11" x14ac:dyDescent="0.25">
      <c r="A586">
        <v>400</v>
      </c>
      <c r="B586">
        <v>15.28</v>
      </c>
      <c r="C586" t="s">
        <v>11</v>
      </c>
      <c r="D586" t="s">
        <v>17</v>
      </c>
      <c r="E586">
        <v>600</v>
      </c>
      <c r="F586">
        <v>13.1</v>
      </c>
      <c r="G586">
        <v>4.66</v>
      </c>
      <c r="H586">
        <v>0.1</v>
      </c>
      <c r="I586">
        <v>0.65</v>
      </c>
      <c r="J586">
        <v>22</v>
      </c>
      <c r="K586" t="s">
        <v>23</v>
      </c>
    </row>
    <row r="587" spans="1:11" x14ac:dyDescent="0.25">
      <c r="A587">
        <v>1000</v>
      </c>
      <c r="B587">
        <v>26.76</v>
      </c>
      <c r="C587" t="s">
        <v>21</v>
      </c>
      <c r="D587" t="s">
        <v>18</v>
      </c>
      <c r="E587">
        <v>2500</v>
      </c>
      <c r="F587">
        <v>44.5</v>
      </c>
      <c r="G587">
        <v>19.02</v>
      </c>
      <c r="H587">
        <v>3.99</v>
      </c>
      <c r="I587">
        <v>14.91</v>
      </c>
      <c r="J587">
        <v>2</v>
      </c>
      <c r="K587" t="s">
        <v>13</v>
      </c>
    </row>
    <row r="588" spans="1:11" x14ac:dyDescent="0.25">
      <c r="A588">
        <v>1200</v>
      </c>
      <c r="B588">
        <v>31.17</v>
      </c>
      <c r="C588" t="s">
        <v>11</v>
      </c>
      <c r="D588" t="s">
        <v>12</v>
      </c>
      <c r="E588">
        <v>150</v>
      </c>
      <c r="F588">
        <v>6.4</v>
      </c>
      <c r="G588">
        <v>17.64</v>
      </c>
      <c r="H588">
        <v>0.37</v>
      </c>
      <c r="I588">
        <v>1.19</v>
      </c>
      <c r="J588">
        <v>10</v>
      </c>
      <c r="K588" t="s">
        <v>23</v>
      </c>
    </row>
    <row r="589" spans="1:11" x14ac:dyDescent="0.25">
      <c r="A589">
        <v>250</v>
      </c>
      <c r="B589">
        <v>8.39</v>
      </c>
      <c r="C589" t="s">
        <v>19</v>
      </c>
      <c r="D589" t="s">
        <v>18</v>
      </c>
      <c r="E589">
        <v>900</v>
      </c>
      <c r="F589">
        <v>-18</v>
      </c>
      <c r="G589">
        <v>19.43</v>
      </c>
      <c r="H589">
        <v>4.67</v>
      </c>
      <c r="I589">
        <v>55.66</v>
      </c>
      <c r="J589">
        <v>14</v>
      </c>
      <c r="K589" t="s">
        <v>13</v>
      </c>
    </row>
    <row r="590" spans="1:11" x14ac:dyDescent="0.25">
      <c r="A590">
        <v>1200</v>
      </c>
      <c r="B590">
        <v>27.97</v>
      </c>
      <c r="C590" t="s">
        <v>22</v>
      </c>
      <c r="D590" t="s">
        <v>15</v>
      </c>
      <c r="E590">
        <v>150</v>
      </c>
      <c r="F590">
        <v>22.8</v>
      </c>
      <c r="G590">
        <v>8.2799999999999994</v>
      </c>
      <c r="H590">
        <v>5.33</v>
      </c>
      <c r="I590">
        <v>19.059999999999999</v>
      </c>
      <c r="J590">
        <v>18</v>
      </c>
      <c r="K590" t="s">
        <v>16</v>
      </c>
    </row>
    <row r="591" spans="1:11" x14ac:dyDescent="0.25">
      <c r="A591">
        <v>300</v>
      </c>
      <c r="B591">
        <v>14.98</v>
      </c>
      <c r="C591" t="s">
        <v>14</v>
      </c>
      <c r="D591" t="s">
        <v>20</v>
      </c>
      <c r="E591">
        <v>150</v>
      </c>
      <c r="F591">
        <v>-36.299999999999997</v>
      </c>
      <c r="G591">
        <v>8.76</v>
      </c>
      <c r="H591">
        <v>9.4499999999999993</v>
      </c>
      <c r="I591">
        <v>63.08</v>
      </c>
      <c r="J591">
        <v>13</v>
      </c>
      <c r="K591" t="s">
        <v>16</v>
      </c>
    </row>
    <row r="592" spans="1:11" x14ac:dyDescent="0.25">
      <c r="A592">
        <v>1000</v>
      </c>
      <c r="B592">
        <v>19.34</v>
      </c>
      <c r="C592" t="s">
        <v>14</v>
      </c>
      <c r="D592" t="s">
        <v>15</v>
      </c>
      <c r="E592">
        <v>300</v>
      </c>
      <c r="F592">
        <v>33.5</v>
      </c>
      <c r="G592">
        <v>5.84</v>
      </c>
      <c r="H592">
        <v>8.8699999999999992</v>
      </c>
      <c r="I592">
        <v>45.86</v>
      </c>
      <c r="J592">
        <v>23</v>
      </c>
      <c r="K592" t="s">
        <v>16</v>
      </c>
    </row>
    <row r="593" spans="1:11" x14ac:dyDescent="0.25">
      <c r="A593">
        <v>500</v>
      </c>
      <c r="B593">
        <v>21.07</v>
      </c>
      <c r="C593" t="s">
        <v>22</v>
      </c>
      <c r="D593" t="s">
        <v>12</v>
      </c>
      <c r="E593">
        <v>900</v>
      </c>
      <c r="F593">
        <v>121.1</v>
      </c>
      <c r="G593">
        <v>19.73</v>
      </c>
      <c r="H593">
        <v>6.19</v>
      </c>
      <c r="I593">
        <v>29.38</v>
      </c>
      <c r="J593">
        <v>9</v>
      </c>
      <c r="K593" t="s">
        <v>16</v>
      </c>
    </row>
    <row r="594" spans="1:11" x14ac:dyDescent="0.25">
      <c r="A594">
        <v>400</v>
      </c>
      <c r="B594">
        <v>17.350000000000001</v>
      </c>
      <c r="C594" t="s">
        <v>11</v>
      </c>
      <c r="D594" t="s">
        <v>12</v>
      </c>
      <c r="E594">
        <v>900</v>
      </c>
      <c r="F594">
        <v>9.6</v>
      </c>
      <c r="G594">
        <v>13.27</v>
      </c>
      <c r="H594">
        <v>7.76</v>
      </c>
      <c r="I594">
        <v>44.73</v>
      </c>
      <c r="J594">
        <v>20</v>
      </c>
      <c r="K594" t="s">
        <v>16</v>
      </c>
    </row>
    <row r="595" spans="1:11" x14ac:dyDescent="0.25">
      <c r="A595">
        <v>1500</v>
      </c>
      <c r="B595">
        <v>32.520000000000003</v>
      </c>
      <c r="C595" t="s">
        <v>22</v>
      </c>
      <c r="D595" t="s">
        <v>18</v>
      </c>
      <c r="E595">
        <v>300</v>
      </c>
      <c r="F595">
        <v>50.3</v>
      </c>
      <c r="G595">
        <v>16.559999999999999</v>
      </c>
      <c r="H595">
        <v>1.61</v>
      </c>
      <c r="I595">
        <v>4.95</v>
      </c>
      <c r="J595">
        <v>4</v>
      </c>
      <c r="K595" t="s">
        <v>23</v>
      </c>
    </row>
    <row r="596" spans="1:11" x14ac:dyDescent="0.25">
      <c r="A596">
        <v>150</v>
      </c>
      <c r="B596">
        <v>5.67</v>
      </c>
      <c r="C596" t="s">
        <v>22</v>
      </c>
      <c r="D596" t="s">
        <v>17</v>
      </c>
      <c r="E596">
        <v>300</v>
      </c>
      <c r="F596">
        <v>21.1</v>
      </c>
      <c r="G596">
        <v>14.81</v>
      </c>
      <c r="H596">
        <v>2.16</v>
      </c>
      <c r="I596">
        <v>38.1</v>
      </c>
      <c r="J596">
        <v>2</v>
      </c>
      <c r="K596" t="s">
        <v>13</v>
      </c>
    </row>
    <row r="597" spans="1:11" x14ac:dyDescent="0.25">
      <c r="A597">
        <v>50</v>
      </c>
      <c r="B597">
        <v>5.84</v>
      </c>
      <c r="C597" t="s">
        <v>14</v>
      </c>
      <c r="D597" t="s">
        <v>12</v>
      </c>
      <c r="E597">
        <v>1500</v>
      </c>
      <c r="F597">
        <v>63.9</v>
      </c>
      <c r="G597">
        <v>19.37</v>
      </c>
      <c r="H597">
        <v>4.08</v>
      </c>
      <c r="I597">
        <v>69.86</v>
      </c>
      <c r="J597">
        <v>18</v>
      </c>
      <c r="K597" t="s">
        <v>13</v>
      </c>
    </row>
    <row r="598" spans="1:11" x14ac:dyDescent="0.25">
      <c r="A598">
        <v>250</v>
      </c>
      <c r="B598">
        <v>7.48</v>
      </c>
      <c r="C598" t="s">
        <v>22</v>
      </c>
      <c r="D598" t="s">
        <v>12</v>
      </c>
      <c r="E598">
        <v>2500</v>
      </c>
      <c r="F598">
        <v>22.4</v>
      </c>
      <c r="G598">
        <v>16.239999999999998</v>
      </c>
      <c r="H598">
        <v>1.07</v>
      </c>
      <c r="I598">
        <v>14.3</v>
      </c>
      <c r="J598">
        <v>8</v>
      </c>
      <c r="K598" t="s">
        <v>23</v>
      </c>
    </row>
    <row r="599" spans="1:11" x14ac:dyDescent="0.25">
      <c r="A599">
        <v>50</v>
      </c>
      <c r="B599">
        <v>5.0999999999999996</v>
      </c>
      <c r="C599" t="s">
        <v>11</v>
      </c>
      <c r="D599" t="s">
        <v>18</v>
      </c>
      <c r="E599">
        <v>1500</v>
      </c>
      <c r="F599">
        <v>123.1</v>
      </c>
      <c r="G599">
        <v>16.93</v>
      </c>
      <c r="H599">
        <v>5.24</v>
      </c>
      <c r="I599">
        <v>102.75</v>
      </c>
      <c r="J599">
        <v>21</v>
      </c>
      <c r="K599" t="s">
        <v>16</v>
      </c>
    </row>
    <row r="600" spans="1:11" x14ac:dyDescent="0.25">
      <c r="A600">
        <v>600</v>
      </c>
      <c r="B600">
        <v>26.1</v>
      </c>
      <c r="C600" t="s">
        <v>11</v>
      </c>
      <c r="D600" t="s">
        <v>12</v>
      </c>
      <c r="E600">
        <v>900</v>
      </c>
      <c r="F600">
        <v>-34</v>
      </c>
      <c r="G600">
        <v>7.16</v>
      </c>
      <c r="H600">
        <v>7</v>
      </c>
      <c r="I600">
        <v>26.82</v>
      </c>
      <c r="J600">
        <v>3</v>
      </c>
      <c r="K600" t="s">
        <v>16</v>
      </c>
    </row>
    <row r="601" spans="1:11" x14ac:dyDescent="0.25">
      <c r="A601">
        <v>800</v>
      </c>
      <c r="B601">
        <v>17.68</v>
      </c>
      <c r="C601" t="s">
        <v>11</v>
      </c>
      <c r="D601" t="s">
        <v>17</v>
      </c>
      <c r="E601">
        <v>600</v>
      </c>
      <c r="F601">
        <v>-8.1</v>
      </c>
      <c r="G601">
        <v>11.35</v>
      </c>
      <c r="H601">
        <v>9.76</v>
      </c>
      <c r="I601">
        <v>55.2</v>
      </c>
      <c r="J601">
        <v>15</v>
      </c>
      <c r="K601" t="s">
        <v>16</v>
      </c>
    </row>
    <row r="602" spans="1:11" x14ac:dyDescent="0.25">
      <c r="A602">
        <v>150</v>
      </c>
      <c r="B602">
        <v>8.14</v>
      </c>
      <c r="C602" t="s">
        <v>19</v>
      </c>
      <c r="D602" t="s">
        <v>18</v>
      </c>
      <c r="E602">
        <v>600</v>
      </c>
      <c r="F602">
        <v>80.5</v>
      </c>
      <c r="G602">
        <v>0.6</v>
      </c>
      <c r="H602">
        <v>3.07</v>
      </c>
      <c r="I602">
        <v>37.71</v>
      </c>
      <c r="J602">
        <v>20</v>
      </c>
      <c r="K602" t="s">
        <v>13</v>
      </c>
    </row>
    <row r="603" spans="1:11" x14ac:dyDescent="0.25">
      <c r="A603">
        <v>300</v>
      </c>
      <c r="B603">
        <v>8.61</v>
      </c>
      <c r="C603" t="s">
        <v>22</v>
      </c>
      <c r="D603" t="s">
        <v>15</v>
      </c>
      <c r="E603">
        <v>600</v>
      </c>
      <c r="F603">
        <v>89.5</v>
      </c>
      <c r="G603">
        <v>6.63</v>
      </c>
      <c r="H603">
        <v>0.01</v>
      </c>
      <c r="I603">
        <v>0.12</v>
      </c>
      <c r="J603">
        <v>21</v>
      </c>
      <c r="K603" t="s">
        <v>23</v>
      </c>
    </row>
    <row r="604" spans="1:11" x14ac:dyDescent="0.25">
      <c r="A604">
        <v>1200</v>
      </c>
      <c r="B604">
        <v>29.77</v>
      </c>
      <c r="C604" t="s">
        <v>11</v>
      </c>
      <c r="D604" t="s">
        <v>18</v>
      </c>
      <c r="E604">
        <v>150</v>
      </c>
      <c r="F604">
        <v>124.8</v>
      </c>
      <c r="G604">
        <v>6.59</v>
      </c>
      <c r="H604">
        <v>7.7</v>
      </c>
      <c r="I604">
        <v>25.86</v>
      </c>
      <c r="J604">
        <v>17</v>
      </c>
      <c r="K604" t="s">
        <v>16</v>
      </c>
    </row>
    <row r="605" spans="1:11" x14ac:dyDescent="0.25">
      <c r="A605">
        <v>1500</v>
      </c>
      <c r="B605">
        <v>33.67</v>
      </c>
      <c r="C605" t="s">
        <v>11</v>
      </c>
      <c r="D605" t="s">
        <v>20</v>
      </c>
      <c r="E605">
        <v>900</v>
      </c>
      <c r="F605">
        <v>63</v>
      </c>
      <c r="G605">
        <v>18.34</v>
      </c>
      <c r="H605">
        <v>3.72</v>
      </c>
      <c r="I605">
        <v>11.05</v>
      </c>
      <c r="J605">
        <v>8</v>
      </c>
      <c r="K605" t="s">
        <v>13</v>
      </c>
    </row>
    <row r="606" spans="1:11" x14ac:dyDescent="0.25">
      <c r="A606">
        <v>1200</v>
      </c>
      <c r="B606">
        <v>34.1</v>
      </c>
      <c r="C606" t="s">
        <v>14</v>
      </c>
      <c r="D606" t="s">
        <v>20</v>
      </c>
      <c r="E606">
        <v>150</v>
      </c>
      <c r="F606">
        <v>75.2</v>
      </c>
      <c r="G606">
        <v>13.57</v>
      </c>
      <c r="H606">
        <v>0.53</v>
      </c>
      <c r="I606">
        <v>1.55</v>
      </c>
      <c r="J606">
        <v>10</v>
      </c>
      <c r="K606" t="s">
        <v>23</v>
      </c>
    </row>
    <row r="607" spans="1:11" x14ac:dyDescent="0.25">
      <c r="A607">
        <v>250</v>
      </c>
      <c r="B607">
        <v>14.04</v>
      </c>
      <c r="C607" t="s">
        <v>11</v>
      </c>
      <c r="D607" t="s">
        <v>15</v>
      </c>
      <c r="E607">
        <v>900</v>
      </c>
      <c r="F607">
        <v>14.2</v>
      </c>
      <c r="G607">
        <v>18.329999999999998</v>
      </c>
      <c r="H607">
        <v>5</v>
      </c>
      <c r="I607">
        <v>35.61</v>
      </c>
      <c r="J607">
        <v>5</v>
      </c>
      <c r="K607" t="s">
        <v>13</v>
      </c>
    </row>
    <row r="608" spans="1:11" x14ac:dyDescent="0.25">
      <c r="A608">
        <v>500</v>
      </c>
      <c r="B608">
        <v>11.64</v>
      </c>
      <c r="C608" t="s">
        <v>14</v>
      </c>
      <c r="D608" t="s">
        <v>15</v>
      </c>
      <c r="E608">
        <v>300</v>
      </c>
      <c r="F608">
        <v>25</v>
      </c>
      <c r="G608">
        <v>10.3</v>
      </c>
      <c r="H608">
        <v>7.78</v>
      </c>
      <c r="I608">
        <v>66.84</v>
      </c>
      <c r="J608">
        <v>24</v>
      </c>
      <c r="K608" t="s">
        <v>16</v>
      </c>
    </row>
    <row r="609" spans="1:11" x14ac:dyDescent="0.25">
      <c r="A609">
        <v>150</v>
      </c>
      <c r="B609">
        <v>7.88</v>
      </c>
      <c r="C609" t="s">
        <v>22</v>
      </c>
      <c r="D609" t="s">
        <v>20</v>
      </c>
      <c r="E609">
        <v>600</v>
      </c>
      <c r="F609">
        <v>25.2</v>
      </c>
      <c r="G609">
        <v>2.58</v>
      </c>
      <c r="H609">
        <v>1.79</v>
      </c>
      <c r="I609">
        <v>22.72</v>
      </c>
      <c r="J609">
        <v>2</v>
      </c>
      <c r="K609" t="s">
        <v>23</v>
      </c>
    </row>
    <row r="610" spans="1:11" x14ac:dyDescent="0.25">
      <c r="A610">
        <v>600</v>
      </c>
      <c r="B610">
        <v>15.66</v>
      </c>
      <c r="C610" t="s">
        <v>22</v>
      </c>
      <c r="D610" t="s">
        <v>12</v>
      </c>
      <c r="E610">
        <v>900</v>
      </c>
      <c r="F610">
        <v>37.799999999999997</v>
      </c>
      <c r="G610">
        <v>6.92</v>
      </c>
      <c r="H610">
        <v>0.44</v>
      </c>
      <c r="I610">
        <v>2.81</v>
      </c>
      <c r="J610">
        <v>5</v>
      </c>
      <c r="K610" t="s">
        <v>23</v>
      </c>
    </row>
    <row r="611" spans="1:11" x14ac:dyDescent="0.25">
      <c r="A611">
        <v>400</v>
      </c>
      <c r="B611">
        <v>18.59</v>
      </c>
      <c r="C611" t="s">
        <v>19</v>
      </c>
      <c r="D611" t="s">
        <v>17</v>
      </c>
      <c r="E611">
        <v>150</v>
      </c>
      <c r="F611">
        <v>45.5</v>
      </c>
      <c r="G611">
        <v>7.49</v>
      </c>
      <c r="H611">
        <v>8.65</v>
      </c>
      <c r="I611">
        <v>46.53</v>
      </c>
      <c r="J611">
        <v>11</v>
      </c>
      <c r="K611" t="s">
        <v>16</v>
      </c>
    </row>
    <row r="612" spans="1:11" x14ac:dyDescent="0.25">
      <c r="A612">
        <v>300</v>
      </c>
      <c r="B612">
        <v>13.55</v>
      </c>
      <c r="C612" t="s">
        <v>19</v>
      </c>
      <c r="D612" t="s">
        <v>18</v>
      </c>
      <c r="E612">
        <v>1500</v>
      </c>
      <c r="F612">
        <v>29</v>
      </c>
      <c r="G612">
        <v>7.94</v>
      </c>
      <c r="H612">
        <v>4.79</v>
      </c>
      <c r="I612">
        <v>35.35</v>
      </c>
      <c r="J612">
        <v>7</v>
      </c>
      <c r="K612" t="s">
        <v>13</v>
      </c>
    </row>
    <row r="613" spans="1:11" x14ac:dyDescent="0.25">
      <c r="A613">
        <v>250</v>
      </c>
      <c r="B613">
        <v>9.01</v>
      </c>
      <c r="C613" t="s">
        <v>19</v>
      </c>
      <c r="D613" t="s">
        <v>20</v>
      </c>
      <c r="E613">
        <v>1500</v>
      </c>
      <c r="F613">
        <v>8.1</v>
      </c>
      <c r="G613">
        <v>14.67</v>
      </c>
      <c r="H613">
        <v>7.8</v>
      </c>
      <c r="I613">
        <v>86.57</v>
      </c>
      <c r="J613">
        <v>16</v>
      </c>
      <c r="K613" t="s">
        <v>16</v>
      </c>
    </row>
    <row r="614" spans="1:11" x14ac:dyDescent="0.25">
      <c r="A614">
        <v>400</v>
      </c>
      <c r="B614">
        <v>12.1</v>
      </c>
      <c r="C614" t="s">
        <v>19</v>
      </c>
      <c r="D614" t="s">
        <v>17</v>
      </c>
      <c r="E614">
        <v>2500</v>
      </c>
      <c r="F614">
        <v>51.2</v>
      </c>
      <c r="G614">
        <v>3.4</v>
      </c>
      <c r="H614">
        <v>4.5199999999999996</v>
      </c>
      <c r="I614">
        <v>37.36</v>
      </c>
      <c r="J614">
        <v>16</v>
      </c>
      <c r="K614" t="s">
        <v>13</v>
      </c>
    </row>
    <row r="615" spans="1:11" x14ac:dyDescent="0.25">
      <c r="A615">
        <v>600</v>
      </c>
      <c r="B615">
        <v>22.48</v>
      </c>
      <c r="C615" t="s">
        <v>21</v>
      </c>
      <c r="D615" t="s">
        <v>12</v>
      </c>
      <c r="E615">
        <v>600</v>
      </c>
      <c r="F615">
        <v>73.3</v>
      </c>
      <c r="G615">
        <v>14.86</v>
      </c>
      <c r="H615">
        <v>5.51</v>
      </c>
      <c r="I615">
        <v>24.51</v>
      </c>
      <c r="J615">
        <v>12</v>
      </c>
      <c r="K615" t="s">
        <v>16</v>
      </c>
    </row>
    <row r="616" spans="1:11" x14ac:dyDescent="0.25">
      <c r="A616">
        <v>300</v>
      </c>
      <c r="B616">
        <v>10.32</v>
      </c>
      <c r="C616" t="s">
        <v>11</v>
      </c>
      <c r="D616" t="s">
        <v>15</v>
      </c>
      <c r="E616">
        <v>150</v>
      </c>
      <c r="F616">
        <v>10</v>
      </c>
      <c r="G616">
        <v>13.16</v>
      </c>
      <c r="H616">
        <v>5.12</v>
      </c>
      <c r="I616">
        <v>49.61</v>
      </c>
      <c r="J616">
        <v>19</v>
      </c>
      <c r="K616" t="s">
        <v>16</v>
      </c>
    </row>
    <row r="617" spans="1:11" x14ac:dyDescent="0.25">
      <c r="A617">
        <v>500</v>
      </c>
      <c r="B617">
        <v>14.46</v>
      </c>
      <c r="C617" t="s">
        <v>14</v>
      </c>
      <c r="D617" t="s">
        <v>15</v>
      </c>
      <c r="E617">
        <v>600</v>
      </c>
      <c r="F617">
        <v>-15.3</v>
      </c>
      <c r="G617">
        <v>15.12</v>
      </c>
      <c r="H617">
        <v>2.94</v>
      </c>
      <c r="I617">
        <v>20.329999999999998</v>
      </c>
      <c r="J617">
        <v>23</v>
      </c>
      <c r="K617" t="s">
        <v>13</v>
      </c>
    </row>
    <row r="618" spans="1:11" x14ac:dyDescent="0.25">
      <c r="A618">
        <v>1200</v>
      </c>
      <c r="B618">
        <v>21.53</v>
      </c>
      <c r="C618" t="s">
        <v>19</v>
      </c>
      <c r="D618" t="s">
        <v>17</v>
      </c>
      <c r="E618">
        <v>900</v>
      </c>
      <c r="F618">
        <v>17.2</v>
      </c>
      <c r="G618">
        <v>19.61</v>
      </c>
      <c r="H618">
        <v>6.89</v>
      </c>
      <c r="I618">
        <v>32</v>
      </c>
      <c r="J618">
        <v>24</v>
      </c>
      <c r="K618" t="s">
        <v>16</v>
      </c>
    </row>
    <row r="619" spans="1:11" x14ac:dyDescent="0.25">
      <c r="A619">
        <v>100</v>
      </c>
      <c r="B619">
        <v>4.0999999999999996</v>
      </c>
      <c r="C619" t="s">
        <v>19</v>
      </c>
      <c r="D619" t="s">
        <v>15</v>
      </c>
      <c r="E619">
        <v>900</v>
      </c>
      <c r="F619">
        <v>-36.6</v>
      </c>
      <c r="G619">
        <v>9.98</v>
      </c>
      <c r="H619">
        <v>5.68</v>
      </c>
      <c r="I619">
        <v>138.54</v>
      </c>
      <c r="J619">
        <v>19</v>
      </c>
      <c r="K619" t="s">
        <v>16</v>
      </c>
    </row>
    <row r="620" spans="1:11" x14ac:dyDescent="0.25">
      <c r="A620">
        <v>1500</v>
      </c>
      <c r="B620">
        <v>40.479999999999997</v>
      </c>
      <c r="C620" t="s">
        <v>14</v>
      </c>
      <c r="D620" t="s">
        <v>20</v>
      </c>
      <c r="E620">
        <v>1500</v>
      </c>
      <c r="F620">
        <v>98.3</v>
      </c>
      <c r="G620">
        <v>9.9499999999999993</v>
      </c>
      <c r="H620">
        <v>4.6100000000000003</v>
      </c>
      <c r="I620">
        <v>11.39</v>
      </c>
      <c r="J620">
        <v>18</v>
      </c>
      <c r="K620" t="s">
        <v>13</v>
      </c>
    </row>
    <row r="621" spans="1:11" x14ac:dyDescent="0.25">
      <c r="A621">
        <v>150</v>
      </c>
      <c r="B621">
        <v>6.56</v>
      </c>
      <c r="C621" t="s">
        <v>22</v>
      </c>
      <c r="D621" t="s">
        <v>12</v>
      </c>
      <c r="E621">
        <v>150</v>
      </c>
      <c r="F621">
        <v>76.900000000000006</v>
      </c>
      <c r="G621">
        <v>9.65</v>
      </c>
      <c r="H621">
        <v>6.62</v>
      </c>
      <c r="I621">
        <v>100.91</v>
      </c>
      <c r="J621">
        <v>18</v>
      </c>
      <c r="K621" t="s">
        <v>16</v>
      </c>
    </row>
    <row r="622" spans="1:11" x14ac:dyDescent="0.25">
      <c r="A622">
        <v>1200</v>
      </c>
      <c r="B622">
        <v>33.44</v>
      </c>
      <c r="C622" t="s">
        <v>21</v>
      </c>
      <c r="D622" t="s">
        <v>20</v>
      </c>
      <c r="E622">
        <v>300</v>
      </c>
      <c r="F622">
        <v>69.900000000000006</v>
      </c>
      <c r="G622">
        <v>8.39</v>
      </c>
      <c r="H622">
        <v>7.09</v>
      </c>
      <c r="I622">
        <v>21.2</v>
      </c>
      <c r="J622">
        <v>5</v>
      </c>
      <c r="K622" t="s">
        <v>16</v>
      </c>
    </row>
    <row r="623" spans="1:11" x14ac:dyDescent="0.25">
      <c r="A623">
        <v>250</v>
      </c>
      <c r="B623">
        <v>14.39</v>
      </c>
      <c r="C623" t="s">
        <v>22</v>
      </c>
      <c r="D623" t="s">
        <v>17</v>
      </c>
      <c r="E623">
        <v>1500</v>
      </c>
      <c r="F623">
        <v>53.2</v>
      </c>
      <c r="G623">
        <v>17.670000000000002</v>
      </c>
      <c r="H623">
        <v>9.08</v>
      </c>
      <c r="I623">
        <v>63.1</v>
      </c>
      <c r="J623">
        <v>10</v>
      </c>
      <c r="K623" t="s">
        <v>16</v>
      </c>
    </row>
    <row r="624" spans="1:11" x14ac:dyDescent="0.25">
      <c r="A624">
        <v>800</v>
      </c>
      <c r="B624">
        <v>19.010000000000002</v>
      </c>
      <c r="C624" t="s">
        <v>22</v>
      </c>
      <c r="D624" t="s">
        <v>15</v>
      </c>
      <c r="E624">
        <v>150</v>
      </c>
      <c r="F624">
        <v>67.599999999999994</v>
      </c>
      <c r="G624">
        <v>16.13</v>
      </c>
      <c r="H624">
        <v>7.98</v>
      </c>
      <c r="I624">
        <v>41.98</v>
      </c>
      <c r="J624">
        <v>5</v>
      </c>
      <c r="K624" t="s">
        <v>16</v>
      </c>
    </row>
    <row r="625" spans="1:11" x14ac:dyDescent="0.25">
      <c r="A625">
        <v>400</v>
      </c>
      <c r="B625">
        <v>15.24</v>
      </c>
      <c r="C625" t="s">
        <v>11</v>
      </c>
      <c r="D625" t="s">
        <v>17</v>
      </c>
      <c r="E625">
        <v>150</v>
      </c>
      <c r="F625">
        <v>38.5</v>
      </c>
      <c r="G625">
        <v>7.57</v>
      </c>
      <c r="H625">
        <v>1.6</v>
      </c>
      <c r="I625">
        <v>10.5</v>
      </c>
      <c r="J625">
        <v>13</v>
      </c>
      <c r="K625" t="s">
        <v>23</v>
      </c>
    </row>
    <row r="626" spans="1:11" x14ac:dyDescent="0.25">
      <c r="A626">
        <v>50</v>
      </c>
      <c r="B626">
        <v>3.27</v>
      </c>
      <c r="C626" t="s">
        <v>22</v>
      </c>
      <c r="D626" t="s">
        <v>18</v>
      </c>
      <c r="E626">
        <v>300</v>
      </c>
      <c r="F626">
        <v>41</v>
      </c>
      <c r="G626">
        <v>0.64</v>
      </c>
      <c r="H626">
        <v>3.03</v>
      </c>
      <c r="I626">
        <v>92.66</v>
      </c>
      <c r="J626">
        <v>9</v>
      </c>
      <c r="K626" t="s">
        <v>13</v>
      </c>
    </row>
    <row r="627" spans="1:11" x14ac:dyDescent="0.25">
      <c r="A627">
        <v>300</v>
      </c>
      <c r="B627">
        <v>7.91</v>
      </c>
      <c r="C627" t="s">
        <v>19</v>
      </c>
      <c r="D627" t="s">
        <v>18</v>
      </c>
      <c r="E627">
        <v>1500</v>
      </c>
      <c r="F627">
        <v>20.7</v>
      </c>
      <c r="G627">
        <v>10.81</v>
      </c>
      <c r="H627">
        <v>2.29</v>
      </c>
      <c r="I627">
        <v>28.95</v>
      </c>
      <c r="J627">
        <v>12</v>
      </c>
      <c r="K627" t="s">
        <v>13</v>
      </c>
    </row>
    <row r="628" spans="1:11" x14ac:dyDescent="0.25">
      <c r="A628">
        <v>400</v>
      </c>
      <c r="B628">
        <v>19.86</v>
      </c>
      <c r="C628" t="s">
        <v>11</v>
      </c>
      <c r="D628" t="s">
        <v>12</v>
      </c>
      <c r="E628">
        <v>2500</v>
      </c>
      <c r="F628">
        <v>43.1</v>
      </c>
      <c r="G628">
        <v>2.27</v>
      </c>
      <c r="H628">
        <v>2.1800000000000002</v>
      </c>
      <c r="I628">
        <v>10.98</v>
      </c>
      <c r="J628">
        <v>1</v>
      </c>
      <c r="K628" t="s">
        <v>13</v>
      </c>
    </row>
    <row r="629" spans="1:11" x14ac:dyDescent="0.25">
      <c r="A629">
        <v>50</v>
      </c>
      <c r="B629">
        <v>4.4400000000000004</v>
      </c>
      <c r="C629" t="s">
        <v>11</v>
      </c>
      <c r="D629" t="s">
        <v>20</v>
      </c>
      <c r="E629">
        <v>900</v>
      </c>
      <c r="F629">
        <v>79.400000000000006</v>
      </c>
      <c r="G629">
        <v>6.13</v>
      </c>
      <c r="H629">
        <v>6.24</v>
      </c>
      <c r="I629">
        <v>140.54</v>
      </c>
      <c r="J629">
        <v>24</v>
      </c>
      <c r="K629" t="s">
        <v>16</v>
      </c>
    </row>
    <row r="630" spans="1:11" x14ac:dyDescent="0.25">
      <c r="A630">
        <v>800</v>
      </c>
      <c r="B630">
        <v>19.04</v>
      </c>
      <c r="C630" t="s">
        <v>14</v>
      </c>
      <c r="D630" t="s">
        <v>20</v>
      </c>
      <c r="E630">
        <v>150</v>
      </c>
      <c r="F630">
        <v>111</v>
      </c>
      <c r="G630">
        <v>0.01</v>
      </c>
      <c r="H630">
        <v>5.01</v>
      </c>
      <c r="I630">
        <v>26.31</v>
      </c>
      <c r="J630">
        <v>6</v>
      </c>
      <c r="K630" t="s">
        <v>16</v>
      </c>
    </row>
    <row r="631" spans="1:11" x14ac:dyDescent="0.25">
      <c r="A631">
        <v>250</v>
      </c>
      <c r="B631">
        <v>9.98</v>
      </c>
      <c r="C631" t="s">
        <v>19</v>
      </c>
      <c r="D631" t="s">
        <v>17</v>
      </c>
      <c r="E631">
        <v>900</v>
      </c>
      <c r="F631">
        <v>53.2</v>
      </c>
      <c r="G631">
        <v>3.57</v>
      </c>
      <c r="H631">
        <v>3.4</v>
      </c>
      <c r="I631">
        <v>34.07</v>
      </c>
      <c r="J631">
        <v>11</v>
      </c>
      <c r="K631" t="s">
        <v>13</v>
      </c>
    </row>
    <row r="632" spans="1:11" x14ac:dyDescent="0.25">
      <c r="A632">
        <v>100</v>
      </c>
      <c r="B632">
        <v>4.34</v>
      </c>
      <c r="C632" t="s">
        <v>21</v>
      </c>
      <c r="D632" t="s">
        <v>12</v>
      </c>
      <c r="E632">
        <v>1500</v>
      </c>
      <c r="F632">
        <v>22.6</v>
      </c>
      <c r="G632">
        <v>7.12</v>
      </c>
      <c r="H632">
        <v>1.62</v>
      </c>
      <c r="I632">
        <v>37.33</v>
      </c>
      <c r="J632">
        <v>3</v>
      </c>
      <c r="K632" t="s">
        <v>23</v>
      </c>
    </row>
    <row r="633" spans="1:11" x14ac:dyDescent="0.25">
      <c r="A633">
        <v>150</v>
      </c>
      <c r="B633">
        <v>9.3800000000000008</v>
      </c>
      <c r="C633" t="s">
        <v>22</v>
      </c>
      <c r="D633" t="s">
        <v>17</v>
      </c>
      <c r="E633">
        <v>1500</v>
      </c>
      <c r="F633">
        <v>29.5</v>
      </c>
      <c r="G633">
        <v>10.11</v>
      </c>
      <c r="H633">
        <v>2.41</v>
      </c>
      <c r="I633">
        <v>25.69</v>
      </c>
      <c r="J633">
        <v>1</v>
      </c>
      <c r="K633" t="s">
        <v>13</v>
      </c>
    </row>
    <row r="634" spans="1:11" x14ac:dyDescent="0.25">
      <c r="A634">
        <v>400</v>
      </c>
      <c r="B634">
        <v>15.39</v>
      </c>
      <c r="C634" t="s">
        <v>21</v>
      </c>
      <c r="D634" t="s">
        <v>12</v>
      </c>
      <c r="E634">
        <v>150</v>
      </c>
      <c r="F634">
        <v>119.6</v>
      </c>
      <c r="G634">
        <v>16.37</v>
      </c>
      <c r="H634">
        <v>8</v>
      </c>
      <c r="I634">
        <v>51.98</v>
      </c>
      <c r="J634">
        <v>14</v>
      </c>
      <c r="K634" t="s">
        <v>16</v>
      </c>
    </row>
    <row r="635" spans="1:11" x14ac:dyDescent="0.25">
      <c r="A635">
        <v>1500</v>
      </c>
      <c r="B635">
        <v>37.590000000000003</v>
      </c>
      <c r="C635" t="s">
        <v>22</v>
      </c>
      <c r="D635" t="s">
        <v>18</v>
      </c>
      <c r="E635">
        <v>900</v>
      </c>
      <c r="F635">
        <v>69.7</v>
      </c>
      <c r="G635">
        <v>11.87</v>
      </c>
      <c r="H635">
        <v>1.39</v>
      </c>
      <c r="I635">
        <v>3.7</v>
      </c>
      <c r="J635">
        <v>7</v>
      </c>
      <c r="K635" t="s">
        <v>23</v>
      </c>
    </row>
    <row r="636" spans="1:11" x14ac:dyDescent="0.25">
      <c r="A636">
        <v>1500</v>
      </c>
      <c r="B636">
        <v>30.85</v>
      </c>
      <c r="C636" t="s">
        <v>11</v>
      </c>
      <c r="D636" t="s">
        <v>15</v>
      </c>
      <c r="E636">
        <v>900</v>
      </c>
      <c r="F636">
        <v>18.5</v>
      </c>
      <c r="G636">
        <v>12.39</v>
      </c>
      <c r="H636">
        <v>8.3699999999999992</v>
      </c>
      <c r="I636">
        <v>27.13</v>
      </c>
      <c r="J636">
        <v>24</v>
      </c>
      <c r="K636" t="s">
        <v>16</v>
      </c>
    </row>
    <row r="637" spans="1:11" x14ac:dyDescent="0.25">
      <c r="A637">
        <v>1200</v>
      </c>
      <c r="B637">
        <v>36.08</v>
      </c>
      <c r="C637" t="s">
        <v>11</v>
      </c>
      <c r="D637" t="s">
        <v>17</v>
      </c>
      <c r="E637">
        <v>1500</v>
      </c>
      <c r="F637">
        <v>17.7</v>
      </c>
      <c r="G637">
        <v>10.34</v>
      </c>
      <c r="H637">
        <v>4.6100000000000003</v>
      </c>
      <c r="I637">
        <v>12.78</v>
      </c>
      <c r="J637">
        <v>14</v>
      </c>
      <c r="K637" t="s">
        <v>13</v>
      </c>
    </row>
    <row r="638" spans="1:11" x14ac:dyDescent="0.25">
      <c r="A638">
        <v>1500</v>
      </c>
      <c r="B638">
        <v>40.659999999999997</v>
      </c>
      <c r="C638" t="s">
        <v>22</v>
      </c>
      <c r="D638" t="s">
        <v>18</v>
      </c>
      <c r="E638">
        <v>1500</v>
      </c>
      <c r="F638">
        <v>90.8</v>
      </c>
      <c r="G638">
        <v>8.74</v>
      </c>
      <c r="H638">
        <v>0.53</v>
      </c>
      <c r="I638">
        <v>1.3</v>
      </c>
      <c r="J638">
        <v>17</v>
      </c>
      <c r="K638" t="s">
        <v>23</v>
      </c>
    </row>
    <row r="639" spans="1:11" x14ac:dyDescent="0.25">
      <c r="A639">
        <v>200</v>
      </c>
      <c r="B639">
        <v>7.73</v>
      </c>
      <c r="C639" t="s">
        <v>22</v>
      </c>
      <c r="D639" t="s">
        <v>12</v>
      </c>
      <c r="E639">
        <v>150</v>
      </c>
      <c r="F639">
        <v>51.4</v>
      </c>
      <c r="G639">
        <v>17</v>
      </c>
      <c r="H639">
        <v>0.49</v>
      </c>
      <c r="I639">
        <v>6.34</v>
      </c>
      <c r="J639">
        <v>4</v>
      </c>
      <c r="K639" t="s">
        <v>23</v>
      </c>
    </row>
    <row r="640" spans="1:11" x14ac:dyDescent="0.25">
      <c r="A640">
        <v>250</v>
      </c>
      <c r="B640">
        <v>10.72</v>
      </c>
      <c r="C640" t="s">
        <v>19</v>
      </c>
      <c r="D640" t="s">
        <v>12</v>
      </c>
      <c r="E640">
        <v>900</v>
      </c>
      <c r="F640">
        <v>-8.5</v>
      </c>
      <c r="G640">
        <v>5.3</v>
      </c>
      <c r="H640">
        <v>5.51</v>
      </c>
      <c r="I640">
        <v>51.4</v>
      </c>
      <c r="J640">
        <v>13</v>
      </c>
      <c r="K640" t="s">
        <v>16</v>
      </c>
    </row>
    <row r="641" spans="1:11" x14ac:dyDescent="0.25">
      <c r="A641">
        <v>250</v>
      </c>
      <c r="B641">
        <v>9.25</v>
      </c>
      <c r="C641" t="s">
        <v>14</v>
      </c>
      <c r="D641" t="s">
        <v>20</v>
      </c>
      <c r="E641">
        <v>150</v>
      </c>
      <c r="F641">
        <v>28.1</v>
      </c>
      <c r="G641">
        <v>9.1999999999999993</v>
      </c>
      <c r="H641">
        <v>4.5599999999999996</v>
      </c>
      <c r="I641">
        <v>49.3</v>
      </c>
      <c r="J641">
        <v>18</v>
      </c>
      <c r="K641" t="s">
        <v>13</v>
      </c>
    </row>
    <row r="642" spans="1:11" x14ac:dyDescent="0.25">
      <c r="A642">
        <v>50</v>
      </c>
      <c r="B642">
        <v>5.61</v>
      </c>
      <c r="C642" t="s">
        <v>21</v>
      </c>
      <c r="D642" t="s">
        <v>12</v>
      </c>
      <c r="E642">
        <v>2500</v>
      </c>
      <c r="F642">
        <v>1.3</v>
      </c>
      <c r="G642">
        <v>3.5</v>
      </c>
      <c r="H642">
        <v>9.5299999999999994</v>
      </c>
      <c r="I642">
        <v>169.88</v>
      </c>
      <c r="J642">
        <v>8</v>
      </c>
      <c r="K642" t="s">
        <v>16</v>
      </c>
    </row>
    <row r="643" spans="1:11" x14ac:dyDescent="0.25">
      <c r="A643">
        <v>150</v>
      </c>
      <c r="B643">
        <v>9.7100000000000009</v>
      </c>
      <c r="C643" t="s">
        <v>19</v>
      </c>
      <c r="D643" t="s">
        <v>20</v>
      </c>
      <c r="E643">
        <v>900</v>
      </c>
      <c r="F643">
        <v>11.6</v>
      </c>
      <c r="G643">
        <v>3.38</v>
      </c>
      <c r="H643">
        <v>2.72</v>
      </c>
      <c r="I643">
        <v>28.01</v>
      </c>
      <c r="J643">
        <v>24</v>
      </c>
      <c r="K643" t="s">
        <v>13</v>
      </c>
    </row>
    <row r="644" spans="1:11" x14ac:dyDescent="0.25">
      <c r="A644">
        <v>100</v>
      </c>
      <c r="B644">
        <v>6.21</v>
      </c>
      <c r="C644" t="s">
        <v>14</v>
      </c>
      <c r="D644" t="s">
        <v>17</v>
      </c>
      <c r="E644">
        <v>1500</v>
      </c>
      <c r="F644">
        <v>50.5</v>
      </c>
      <c r="G644">
        <v>19.940000000000001</v>
      </c>
      <c r="H644">
        <v>4.78</v>
      </c>
      <c r="I644">
        <v>76.97</v>
      </c>
      <c r="J644">
        <v>4</v>
      </c>
      <c r="K644" t="s">
        <v>13</v>
      </c>
    </row>
    <row r="645" spans="1:11" x14ac:dyDescent="0.25">
      <c r="A645">
        <v>1500</v>
      </c>
      <c r="B645">
        <v>22.39</v>
      </c>
      <c r="C645" t="s">
        <v>19</v>
      </c>
      <c r="D645" t="s">
        <v>17</v>
      </c>
      <c r="E645">
        <v>1500</v>
      </c>
      <c r="F645">
        <v>57.9</v>
      </c>
      <c r="G645">
        <v>12.28</v>
      </c>
      <c r="H645">
        <v>2.8</v>
      </c>
      <c r="I645">
        <v>12.51</v>
      </c>
      <c r="J645">
        <v>20</v>
      </c>
      <c r="K645" t="s">
        <v>13</v>
      </c>
    </row>
    <row r="646" spans="1:11" x14ac:dyDescent="0.25">
      <c r="A646">
        <v>1500</v>
      </c>
      <c r="B646">
        <v>45.28</v>
      </c>
      <c r="C646" t="s">
        <v>11</v>
      </c>
      <c r="D646" t="s">
        <v>17</v>
      </c>
      <c r="E646">
        <v>900</v>
      </c>
      <c r="F646">
        <v>9.1999999999999993</v>
      </c>
      <c r="G646">
        <v>17.55</v>
      </c>
      <c r="H646">
        <v>1.1299999999999999</v>
      </c>
      <c r="I646">
        <v>2.5</v>
      </c>
      <c r="J646">
        <v>6</v>
      </c>
      <c r="K646" t="s">
        <v>23</v>
      </c>
    </row>
    <row r="647" spans="1:11" x14ac:dyDescent="0.25">
      <c r="A647">
        <v>1000</v>
      </c>
      <c r="B647">
        <v>22.05</v>
      </c>
      <c r="C647" t="s">
        <v>22</v>
      </c>
      <c r="D647" t="s">
        <v>17</v>
      </c>
      <c r="E647">
        <v>1500</v>
      </c>
      <c r="F647">
        <v>29.4</v>
      </c>
      <c r="G647">
        <v>0.25</v>
      </c>
      <c r="H647">
        <v>7.56</v>
      </c>
      <c r="I647">
        <v>34.29</v>
      </c>
      <c r="J647">
        <v>4</v>
      </c>
      <c r="K647" t="s">
        <v>16</v>
      </c>
    </row>
    <row r="648" spans="1:11" x14ac:dyDescent="0.25">
      <c r="A648">
        <v>250</v>
      </c>
      <c r="B648">
        <v>11.53</v>
      </c>
      <c r="C648" t="s">
        <v>21</v>
      </c>
      <c r="D648" t="s">
        <v>15</v>
      </c>
      <c r="E648">
        <v>300</v>
      </c>
      <c r="F648">
        <v>-9</v>
      </c>
      <c r="G648">
        <v>9.6</v>
      </c>
      <c r="H648">
        <v>1.84</v>
      </c>
      <c r="I648">
        <v>15.96</v>
      </c>
      <c r="J648">
        <v>22</v>
      </c>
      <c r="K648" t="s">
        <v>23</v>
      </c>
    </row>
    <row r="649" spans="1:11" x14ac:dyDescent="0.25">
      <c r="A649">
        <v>50</v>
      </c>
      <c r="B649">
        <v>5.28</v>
      </c>
      <c r="C649" t="s">
        <v>11</v>
      </c>
      <c r="D649" t="s">
        <v>15</v>
      </c>
      <c r="E649">
        <v>900</v>
      </c>
      <c r="F649">
        <v>53.5</v>
      </c>
      <c r="G649">
        <v>19.260000000000002</v>
      </c>
      <c r="H649">
        <v>0.86</v>
      </c>
      <c r="I649">
        <v>16.29</v>
      </c>
      <c r="J649">
        <v>17</v>
      </c>
      <c r="K649" t="s">
        <v>23</v>
      </c>
    </row>
    <row r="650" spans="1:11" x14ac:dyDescent="0.25">
      <c r="A650">
        <v>1200</v>
      </c>
      <c r="B650">
        <v>30.85</v>
      </c>
      <c r="C650" t="s">
        <v>22</v>
      </c>
      <c r="D650" t="s">
        <v>12</v>
      </c>
      <c r="E650">
        <v>2500</v>
      </c>
      <c r="F650">
        <v>67.599999999999994</v>
      </c>
      <c r="G650">
        <v>7.07</v>
      </c>
      <c r="H650">
        <v>8.9</v>
      </c>
      <c r="I650">
        <v>28.85</v>
      </c>
      <c r="J650">
        <v>19</v>
      </c>
      <c r="K650" t="s">
        <v>16</v>
      </c>
    </row>
    <row r="651" spans="1:11" x14ac:dyDescent="0.25">
      <c r="A651">
        <v>1200</v>
      </c>
      <c r="B651">
        <v>38.85</v>
      </c>
      <c r="C651" t="s">
        <v>14</v>
      </c>
      <c r="D651" t="s">
        <v>15</v>
      </c>
      <c r="E651">
        <v>900</v>
      </c>
      <c r="F651">
        <v>77.400000000000006</v>
      </c>
      <c r="G651">
        <v>11.5</v>
      </c>
      <c r="H651">
        <v>0.03</v>
      </c>
      <c r="I651">
        <v>0.08</v>
      </c>
      <c r="J651">
        <v>18</v>
      </c>
      <c r="K651" t="s">
        <v>23</v>
      </c>
    </row>
    <row r="652" spans="1:11" x14ac:dyDescent="0.25">
      <c r="A652">
        <v>1000</v>
      </c>
      <c r="B652">
        <v>31.79</v>
      </c>
      <c r="C652" t="s">
        <v>19</v>
      </c>
      <c r="D652" t="s">
        <v>12</v>
      </c>
      <c r="E652">
        <v>2500</v>
      </c>
      <c r="F652">
        <v>19.899999999999999</v>
      </c>
      <c r="G652">
        <v>7.87</v>
      </c>
      <c r="H652">
        <v>8.4499999999999993</v>
      </c>
      <c r="I652">
        <v>26.58</v>
      </c>
      <c r="J652">
        <v>12</v>
      </c>
      <c r="K652" t="s">
        <v>16</v>
      </c>
    </row>
    <row r="653" spans="1:11" x14ac:dyDescent="0.25">
      <c r="A653">
        <v>100</v>
      </c>
      <c r="B653">
        <v>5.28</v>
      </c>
      <c r="C653" t="s">
        <v>19</v>
      </c>
      <c r="D653" t="s">
        <v>17</v>
      </c>
      <c r="E653">
        <v>1500</v>
      </c>
      <c r="F653">
        <v>-0.5</v>
      </c>
      <c r="G653">
        <v>0.88</v>
      </c>
      <c r="H653">
        <v>2.37</v>
      </c>
      <c r="I653">
        <v>44.89</v>
      </c>
      <c r="J653">
        <v>18</v>
      </c>
      <c r="K653" t="s">
        <v>13</v>
      </c>
    </row>
    <row r="654" spans="1:11" x14ac:dyDescent="0.25">
      <c r="A654">
        <v>50</v>
      </c>
      <c r="B654">
        <v>3.72</v>
      </c>
      <c r="C654" t="s">
        <v>21</v>
      </c>
      <c r="D654" t="s">
        <v>18</v>
      </c>
      <c r="E654">
        <v>1500</v>
      </c>
      <c r="F654">
        <v>89.2</v>
      </c>
      <c r="G654">
        <v>7.29</v>
      </c>
      <c r="H654">
        <v>2.2799999999999998</v>
      </c>
      <c r="I654">
        <v>61.29</v>
      </c>
      <c r="J654">
        <v>6</v>
      </c>
      <c r="K654" t="s">
        <v>13</v>
      </c>
    </row>
    <row r="655" spans="1:11" x14ac:dyDescent="0.25">
      <c r="A655">
        <v>300</v>
      </c>
      <c r="B655">
        <v>12.36</v>
      </c>
      <c r="C655" t="s">
        <v>22</v>
      </c>
      <c r="D655" t="s">
        <v>20</v>
      </c>
      <c r="E655">
        <v>1500</v>
      </c>
      <c r="F655">
        <v>10.199999999999999</v>
      </c>
      <c r="G655">
        <v>1.58</v>
      </c>
      <c r="H655">
        <v>2.06</v>
      </c>
      <c r="I655">
        <v>16.670000000000002</v>
      </c>
      <c r="J655">
        <v>4</v>
      </c>
      <c r="K655" t="s">
        <v>13</v>
      </c>
    </row>
    <row r="656" spans="1:11" x14ac:dyDescent="0.25">
      <c r="A656">
        <v>800</v>
      </c>
      <c r="B656">
        <v>14.93</v>
      </c>
      <c r="C656" t="s">
        <v>22</v>
      </c>
      <c r="D656" t="s">
        <v>18</v>
      </c>
      <c r="E656">
        <v>150</v>
      </c>
      <c r="F656">
        <v>76.7</v>
      </c>
      <c r="G656">
        <v>1.74</v>
      </c>
      <c r="H656">
        <v>7.64</v>
      </c>
      <c r="I656">
        <v>51.17</v>
      </c>
      <c r="J656">
        <v>5</v>
      </c>
      <c r="K656" t="s">
        <v>16</v>
      </c>
    </row>
    <row r="657" spans="1:11" x14ac:dyDescent="0.25">
      <c r="A657">
        <v>250</v>
      </c>
      <c r="B657">
        <v>13.81</v>
      </c>
      <c r="C657" t="s">
        <v>22</v>
      </c>
      <c r="D657" t="s">
        <v>12</v>
      </c>
      <c r="E657">
        <v>300</v>
      </c>
      <c r="F657">
        <v>-2.9</v>
      </c>
      <c r="G657">
        <v>5.82</v>
      </c>
      <c r="H657">
        <v>3.7</v>
      </c>
      <c r="I657">
        <v>26.79</v>
      </c>
      <c r="J657">
        <v>1</v>
      </c>
      <c r="K657" t="s">
        <v>13</v>
      </c>
    </row>
    <row r="658" spans="1:11" x14ac:dyDescent="0.25">
      <c r="A658">
        <v>150</v>
      </c>
      <c r="B658">
        <v>9.06</v>
      </c>
      <c r="C658" t="s">
        <v>22</v>
      </c>
      <c r="D658" t="s">
        <v>18</v>
      </c>
      <c r="E658">
        <v>1500</v>
      </c>
      <c r="F658">
        <v>36.5</v>
      </c>
      <c r="G658">
        <v>3.74</v>
      </c>
      <c r="H658">
        <v>3.59</v>
      </c>
      <c r="I658">
        <v>39.619999999999997</v>
      </c>
      <c r="J658">
        <v>6</v>
      </c>
      <c r="K658" t="s">
        <v>13</v>
      </c>
    </row>
    <row r="659" spans="1:11" x14ac:dyDescent="0.25">
      <c r="A659">
        <v>800</v>
      </c>
      <c r="B659">
        <v>30.08</v>
      </c>
      <c r="C659" t="s">
        <v>22</v>
      </c>
      <c r="D659" t="s">
        <v>17</v>
      </c>
      <c r="E659">
        <v>2500</v>
      </c>
      <c r="F659">
        <v>78.400000000000006</v>
      </c>
      <c r="G659">
        <v>0.68</v>
      </c>
      <c r="H659">
        <v>3.95</v>
      </c>
      <c r="I659">
        <v>13.13</v>
      </c>
      <c r="J659">
        <v>7</v>
      </c>
      <c r="K659" t="s">
        <v>13</v>
      </c>
    </row>
    <row r="660" spans="1:11" x14ac:dyDescent="0.25">
      <c r="A660">
        <v>600</v>
      </c>
      <c r="B660">
        <v>12.87</v>
      </c>
      <c r="C660" t="s">
        <v>19</v>
      </c>
      <c r="D660" t="s">
        <v>20</v>
      </c>
      <c r="E660">
        <v>150</v>
      </c>
      <c r="F660">
        <v>59.2</v>
      </c>
      <c r="G660">
        <v>1.96</v>
      </c>
      <c r="H660">
        <v>5.9</v>
      </c>
      <c r="I660">
        <v>45.84</v>
      </c>
      <c r="J660">
        <v>10</v>
      </c>
      <c r="K660" t="s">
        <v>16</v>
      </c>
    </row>
    <row r="661" spans="1:11" x14ac:dyDescent="0.25">
      <c r="A661">
        <v>50</v>
      </c>
      <c r="B661">
        <v>5.1100000000000003</v>
      </c>
      <c r="C661" t="s">
        <v>19</v>
      </c>
      <c r="D661" t="s">
        <v>18</v>
      </c>
      <c r="E661">
        <v>300</v>
      </c>
      <c r="F661">
        <v>2</v>
      </c>
      <c r="G661">
        <v>16.71</v>
      </c>
      <c r="H661">
        <v>1.89</v>
      </c>
      <c r="I661">
        <v>36.99</v>
      </c>
      <c r="J661">
        <v>22</v>
      </c>
      <c r="K661" t="s">
        <v>23</v>
      </c>
    </row>
    <row r="662" spans="1:11" x14ac:dyDescent="0.25">
      <c r="A662">
        <v>250</v>
      </c>
      <c r="B662">
        <v>9.91</v>
      </c>
      <c r="C662" t="s">
        <v>11</v>
      </c>
      <c r="D662" t="s">
        <v>15</v>
      </c>
      <c r="E662">
        <v>2500</v>
      </c>
      <c r="F662">
        <v>42.7</v>
      </c>
      <c r="G662">
        <v>10.050000000000001</v>
      </c>
      <c r="H662">
        <v>0.38</v>
      </c>
      <c r="I662">
        <v>3.83</v>
      </c>
      <c r="J662">
        <v>25</v>
      </c>
      <c r="K662" t="s">
        <v>23</v>
      </c>
    </row>
    <row r="663" spans="1:11" x14ac:dyDescent="0.25">
      <c r="A663">
        <v>300</v>
      </c>
      <c r="B663">
        <v>10.62</v>
      </c>
      <c r="C663" t="s">
        <v>21</v>
      </c>
      <c r="D663" t="s">
        <v>20</v>
      </c>
      <c r="E663">
        <v>2500</v>
      </c>
      <c r="F663">
        <v>30.6</v>
      </c>
      <c r="G663">
        <v>4.55</v>
      </c>
      <c r="H663">
        <v>7.18</v>
      </c>
      <c r="I663">
        <v>67.61</v>
      </c>
      <c r="J663">
        <v>7</v>
      </c>
      <c r="K663" t="s">
        <v>16</v>
      </c>
    </row>
    <row r="664" spans="1:11" x14ac:dyDescent="0.25">
      <c r="A664">
        <v>250</v>
      </c>
      <c r="B664">
        <v>13.79</v>
      </c>
      <c r="C664" t="s">
        <v>21</v>
      </c>
      <c r="D664" t="s">
        <v>18</v>
      </c>
      <c r="E664">
        <v>300</v>
      </c>
      <c r="F664">
        <v>93.5</v>
      </c>
      <c r="G664">
        <v>12.87</v>
      </c>
      <c r="H664">
        <v>4.1399999999999997</v>
      </c>
      <c r="I664">
        <v>30.02</v>
      </c>
      <c r="J664">
        <v>17</v>
      </c>
      <c r="K664" t="s">
        <v>13</v>
      </c>
    </row>
    <row r="665" spans="1:11" x14ac:dyDescent="0.25">
      <c r="A665">
        <v>500</v>
      </c>
      <c r="B665">
        <v>21.72</v>
      </c>
      <c r="C665" t="s">
        <v>22</v>
      </c>
      <c r="D665" t="s">
        <v>20</v>
      </c>
      <c r="E665">
        <v>600</v>
      </c>
      <c r="F665">
        <v>51.8</v>
      </c>
      <c r="G665">
        <v>3.16</v>
      </c>
      <c r="H665">
        <v>8.67</v>
      </c>
      <c r="I665">
        <v>39.92</v>
      </c>
      <c r="J665">
        <v>13</v>
      </c>
      <c r="K665" t="s">
        <v>16</v>
      </c>
    </row>
    <row r="666" spans="1:11" x14ac:dyDescent="0.25">
      <c r="A666">
        <v>200</v>
      </c>
      <c r="B666">
        <v>7.2</v>
      </c>
      <c r="C666" t="s">
        <v>14</v>
      </c>
      <c r="D666" t="s">
        <v>20</v>
      </c>
      <c r="E666">
        <v>900</v>
      </c>
      <c r="F666">
        <v>26.3</v>
      </c>
      <c r="G666">
        <v>5.64</v>
      </c>
      <c r="H666">
        <v>8.76</v>
      </c>
      <c r="I666">
        <v>121.67</v>
      </c>
      <c r="J666">
        <v>14</v>
      </c>
      <c r="K666" t="s">
        <v>16</v>
      </c>
    </row>
    <row r="667" spans="1:11" x14ac:dyDescent="0.25">
      <c r="A667">
        <v>100</v>
      </c>
      <c r="B667">
        <v>6.92</v>
      </c>
      <c r="C667" t="s">
        <v>21</v>
      </c>
      <c r="D667" t="s">
        <v>12</v>
      </c>
      <c r="E667">
        <v>150</v>
      </c>
      <c r="F667">
        <v>48.5</v>
      </c>
      <c r="G667">
        <v>19.88</v>
      </c>
      <c r="H667">
        <v>2.12</v>
      </c>
      <c r="I667">
        <v>30.64</v>
      </c>
      <c r="J667">
        <v>21</v>
      </c>
      <c r="K667" t="s">
        <v>13</v>
      </c>
    </row>
    <row r="668" spans="1:11" x14ac:dyDescent="0.25">
      <c r="A668">
        <v>800</v>
      </c>
      <c r="B668">
        <v>26.21</v>
      </c>
      <c r="C668" t="s">
        <v>21</v>
      </c>
      <c r="D668" t="s">
        <v>12</v>
      </c>
      <c r="E668">
        <v>600</v>
      </c>
      <c r="F668">
        <v>117.5</v>
      </c>
      <c r="G668">
        <v>3.85</v>
      </c>
      <c r="H668">
        <v>7.0000000000000007E-2</v>
      </c>
      <c r="I668">
        <v>0.27</v>
      </c>
      <c r="J668">
        <v>10</v>
      </c>
      <c r="K668" t="s">
        <v>23</v>
      </c>
    </row>
    <row r="669" spans="1:11" x14ac:dyDescent="0.25">
      <c r="A669">
        <v>800</v>
      </c>
      <c r="B669">
        <v>22.69</v>
      </c>
      <c r="C669" t="s">
        <v>22</v>
      </c>
      <c r="D669" t="s">
        <v>15</v>
      </c>
      <c r="E669">
        <v>900</v>
      </c>
      <c r="F669">
        <v>55.8</v>
      </c>
      <c r="G669">
        <v>10.82</v>
      </c>
      <c r="H669">
        <v>2.11</v>
      </c>
      <c r="I669">
        <v>9.3000000000000007</v>
      </c>
      <c r="J669">
        <v>19</v>
      </c>
      <c r="K669" t="s">
        <v>13</v>
      </c>
    </row>
    <row r="670" spans="1:11" x14ac:dyDescent="0.25">
      <c r="A670">
        <v>150</v>
      </c>
      <c r="B670">
        <v>9.5</v>
      </c>
      <c r="C670" t="s">
        <v>11</v>
      </c>
      <c r="D670" t="s">
        <v>15</v>
      </c>
      <c r="E670">
        <v>300</v>
      </c>
      <c r="F670">
        <v>-14.4</v>
      </c>
      <c r="G670">
        <v>15.66</v>
      </c>
      <c r="H670">
        <v>2.94</v>
      </c>
      <c r="I670">
        <v>30.95</v>
      </c>
      <c r="J670">
        <v>11</v>
      </c>
      <c r="K670" t="s">
        <v>13</v>
      </c>
    </row>
    <row r="671" spans="1:11" x14ac:dyDescent="0.25">
      <c r="A671">
        <v>150</v>
      </c>
      <c r="B671">
        <v>7.12</v>
      </c>
      <c r="C671" t="s">
        <v>11</v>
      </c>
      <c r="D671" t="s">
        <v>17</v>
      </c>
      <c r="E671">
        <v>150</v>
      </c>
      <c r="F671">
        <v>43.5</v>
      </c>
      <c r="G671">
        <v>11.39</v>
      </c>
      <c r="H671">
        <v>5.19</v>
      </c>
      <c r="I671">
        <v>72.89</v>
      </c>
      <c r="J671">
        <v>22</v>
      </c>
      <c r="K671" t="s">
        <v>16</v>
      </c>
    </row>
    <row r="672" spans="1:11" x14ac:dyDescent="0.25">
      <c r="A672">
        <v>250</v>
      </c>
      <c r="B672">
        <v>8.5299999999999994</v>
      </c>
      <c r="C672" t="s">
        <v>22</v>
      </c>
      <c r="D672" t="s">
        <v>15</v>
      </c>
      <c r="E672">
        <v>300</v>
      </c>
      <c r="F672">
        <v>51.8</v>
      </c>
      <c r="G672">
        <v>18.04</v>
      </c>
      <c r="H672">
        <v>8.17</v>
      </c>
      <c r="I672">
        <v>95.78</v>
      </c>
      <c r="J672">
        <v>6</v>
      </c>
      <c r="K672" t="s">
        <v>16</v>
      </c>
    </row>
    <row r="673" spans="1:11" x14ac:dyDescent="0.25">
      <c r="A673">
        <v>600</v>
      </c>
      <c r="B673">
        <v>16.64</v>
      </c>
      <c r="C673" t="s">
        <v>22</v>
      </c>
      <c r="D673" t="s">
        <v>18</v>
      </c>
      <c r="E673">
        <v>2500</v>
      </c>
      <c r="F673">
        <v>45.3</v>
      </c>
      <c r="G673">
        <v>8.27</v>
      </c>
      <c r="H673">
        <v>7.75</v>
      </c>
      <c r="I673">
        <v>46.57</v>
      </c>
      <c r="J673">
        <v>14</v>
      </c>
      <c r="K673" t="s">
        <v>16</v>
      </c>
    </row>
    <row r="674" spans="1:11" x14ac:dyDescent="0.25">
      <c r="A674">
        <v>150</v>
      </c>
      <c r="B674">
        <v>5.43</v>
      </c>
      <c r="C674" t="s">
        <v>19</v>
      </c>
      <c r="D674" t="s">
        <v>18</v>
      </c>
      <c r="E674">
        <v>2500</v>
      </c>
      <c r="F674">
        <v>93</v>
      </c>
      <c r="G674">
        <v>14.89</v>
      </c>
      <c r="H674">
        <v>7.94</v>
      </c>
      <c r="I674">
        <v>146.22</v>
      </c>
      <c r="J674">
        <v>11</v>
      </c>
      <c r="K674" t="s">
        <v>16</v>
      </c>
    </row>
    <row r="675" spans="1:11" x14ac:dyDescent="0.25">
      <c r="A675">
        <v>50</v>
      </c>
      <c r="B675">
        <v>5</v>
      </c>
      <c r="C675" t="s">
        <v>14</v>
      </c>
      <c r="D675" t="s">
        <v>15</v>
      </c>
      <c r="E675">
        <v>900</v>
      </c>
      <c r="F675">
        <v>12.8</v>
      </c>
      <c r="G675">
        <v>7.87</v>
      </c>
      <c r="H675">
        <v>4.72</v>
      </c>
      <c r="I675">
        <v>94.4</v>
      </c>
      <c r="J675">
        <v>4</v>
      </c>
      <c r="K675" t="s">
        <v>13</v>
      </c>
    </row>
    <row r="676" spans="1:11" x14ac:dyDescent="0.25">
      <c r="A676">
        <v>400</v>
      </c>
      <c r="B676">
        <v>18.8</v>
      </c>
      <c r="C676" t="s">
        <v>21</v>
      </c>
      <c r="D676" t="s">
        <v>17</v>
      </c>
      <c r="E676">
        <v>600</v>
      </c>
      <c r="F676">
        <v>84.4</v>
      </c>
      <c r="G676">
        <v>13.84</v>
      </c>
      <c r="H676">
        <v>6.85</v>
      </c>
      <c r="I676">
        <v>36.44</v>
      </c>
      <c r="J676">
        <v>8</v>
      </c>
      <c r="K676" t="s">
        <v>16</v>
      </c>
    </row>
    <row r="677" spans="1:11" x14ac:dyDescent="0.25">
      <c r="A677">
        <v>150</v>
      </c>
      <c r="B677">
        <v>7.25</v>
      </c>
      <c r="C677" t="s">
        <v>11</v>
      </c>
      <c r="D677" t="s">
        <v>12</v>
      </c>
      <c r="E677">
        <v>600</v>
      </c>
      <c r="F677">
        <v>11</v>
      </c>
      <c r="G677">
        <v>1.34</v>
      </c>
      <c r="H677">
        <v>0.78</v>
      </c>
      <c r="I677">
        <v>10.76</v>
      </c>
      <c r="J677">
        <v>12</v>
      </c>
      <c r="K677" t="s">
        <v>23</v>
      </c>
    </row>
    <row r="678" spans="1:11" x14ac:dyDescent="0.25">
      <c r="A678">
        <v>150</v>
      </c>
      <c r="B678">
        <v>5.7</v>
      </c>
      <c r="C678" t="s">
        <v>19</v>
      </c>
      <c r="D678" t="s">
        <v>20</v>
      </c>
      <c r="E678">
        <v>2500</v>
      </c>
      <c r="F678">
        <v>37.299999999999997</v>
      </c>
      <c r="G678">
        <v>19.64</v>
      </c>
      <c r="H678">
        <v>3.25</v>
      </c>
      <c r="I678">
        <v>57.02</v>
      </c>
      <c r="J678">
        <v>9</v>
      </c>
      <c r="K678" t="s">
        <v>13</v>
      </c>
    </row>
    <row r="679" spans="1:11" x14ac:dyDescent="0.25">
      <c r="A679">
        <v>1500</v>
      </c>
      <c r="B679">
        <v>36.36</v>
      </c>
      <c r="C679" t="s">
        <v>14</v>
      </c>
      <c r="D679" t="s">
        <v>12</v>
      </c>
      <c r="E679">
        <v>300</v>
      </c>
      <c r="F679">
        <v>53.7</v>
      </c>
      <c r="G679">
        <v>15.07</v>
      </c>
      <c r="H679">
        <v>3.33</v>
      </c>
      <c r="I679">
        <v>9.16</v>
      </c>
      <c r="J679">
        <v>4</v>
      </c>
      <c r="K679" t="s">
        <v>13</v>
      </c>
    </row>
    <row r="680" spans="1:11" x14ac:dyDescent="0.25">
      <c r="A680">
        <v>300</v>
      </c>
      <c r="B680">
        <v>17.100000000000001</v>
      </c>
      <c r="C680" t="s">
        <v>21</v>
      </c>
      <c r="D680" t="s">
        <v>17</v>
      </c>
      <c r="E680">
        <v>900</v>
      </c>
      <c r="F680">
        <v>94.3</v>
      </c>
      <c r="G680">
        <v>1.3</v>
      </c>
      <c r="H680">
        <v>2.8</v>
      </c>
      <c r="I680">
        <v>16.37</v>
      </c>
      <c r="J680">
        <v>16</v>
      </c>
      <c r="K680" t="s">
        <v>13</v>
      </c>
    </row>
    <row r="681" spans="1:11" x14ac:dyDescent="0.25">
      <c r="A681">
        <v>1200</v>
      </c>
      <c r="B681">
        <v>35.94</v>
      </c>
      <c r="C681" t="s">
        <v>21</v>
      </c>
      <c r="D681" t="s">
        <v>18</v>
      </c>
      <c r="E681">
        <v>2500</v>
      </c>
      <c r="F681">
        <v>59.7</v>
      </c>
      <c r="G681">
        <v>2.46</v>
      </c>
      <c r="H681">
        <v>8.74</v>
      </c>
      <c r="I681">
        <v>24.32</v>
      </c>
      <c r="J681">
        <v>23</v>
      </c>
      <c r="K681" t="s">
        <v>16</v>
      </c>
    </row>
    <row r="682" spans="1:11" x14ac:dyDescent="0.25">
      <c r="A682">
        <v>250</v>
      </c>
      <c r="B682">
        <v>9.07</v>
      </c>
      <c r="C682" t="s">
        <v>14</v>
      </c>
      <c r="D682" t="s">
        <v>12</v>
      </c>
      <c r="E682">
        <v>300</v>
      </c>
      <c r="F682">
        <v>4.5999999999999996</v>
      </c>
      <c r="G682">
        <v>10.86</v>
      </c>
      <c r="H682">
        <v>7.99</v>
      </c>
      <c r="I682">
        <v>88.09</v>
      </c>
      <c r="J682">
        <v>9</v>
      </c>
      <c r="K682" t="s">
        <v>16</v>
      </c>
    </row>
    <row r="683" spans="1:11" x14ac:dyDescent="0.25">
      <c r="A683">
        <v>400</v>
      </c>
      <c r="B683">
        <v>18.5</v>
      </c>
      <c r="C683" t="s">
        <v>14</v>
      </c>
      <c r="D683" t="s">
        <v>12</v>
      </c>
      <c r="E683">
        <v>1500</v>
      </c>
      <c r="F683">
        <v>20.100000000000001</v>
      </c>
      <c r="G683">
        <v>2.13</v>
      </c>
      <c r="H683">
        <v>7.4</v>
      </c>
      <c r="I683">
        <v>40</v>
      </c>
      <c r="J683">
        <v>14</v>
      </c>
      <c r="K683" t="s">
        <v>16</v>
      </c>
    </row>
    <row r="684" spans="1:11" x14ac:dyDescent="0.25">
      <c r="A684">
        <v>50</v>
      </c>
      <c r="B684">
        <v>3.84</v>
      </c>
      <c r="C684" t="s">
        <v>22</v>
      </c>
      <c r="D684" t="s">
        <v>15</v>
      </c>
      <c r="E684">
        <v>150</v>
      </c>
      <c r="F684">
        <v>103.8</v>
      </c>
      <c r="G684">
        <v>10.56</v>
      </c>
      <c r="H684">
        <v>6.08</v>
      </c>
      <c r="I684">
        <v>158.33000000000001</v>
      </c>
      <c r="J684">
        <v>25</v>
      </c>
      <c r="K684" t="s">
        <v>16</v>
      </c>
    </row>
    <row r="685" spans="1:11" x14ac:dyDescent="0.25">
      <c r="A685">
        <v>600</v>
      </c>
      <c r="B685">
        <v>28.54</v>
      </c>
      <c r="C685" t="s">
        <v>21</v>
      </c>
      <c r="D685" t="s">
        <v>17</v>
      </c>
      <c r="E685">
        <v>300</v>
      </c>
      <c r="F685">
        <v>-16.8</v>
      </c>
      <c r="G685">
        <v>9.59</v>
      </c>
      <c r="H685">
        <v>7.41</v>
      </c>
      <c r="I685">
        <v>25.96</v>
      </c>
      <c r="J685">
        <v>22</v>
      </c>
      <c r="K685" t="s">
        <v>16</v>
      </c>
    </row>
    <row r="686" spans="1:11" x14ac:dyDescent="0.25">
      <c r="A686">
        <v>150</v>
      </c>
      <c r="B686">
        <v>9.8000000000000007</v>
      </c>
      <c r="C686" t="s">
        <v>19</v>
      </c>
      <c r="D686" t="s">
        <v>15</v>
      </c>
      <c r="E686">
        <v>900</v>
      </c>
      <c r="F686">
        <v>15</v>
      </c>
      <c r="G686">
        <v>19.89</v>
      </c>
      <c r="H686">
        <v>2.78</v>
      </c>
      <c r="I686">
        <v>28.37</v>
      </c>
      <c r="J686">
        <v>24</v>
      </c>
      <c r="K686" t="s">
        <v>13</v>
      </c>
    </row>
    <row r="687" spans="1:11" x14ac:dyDescent="0.25">
      <c r="A687">
        <v>400</v>
      </c>
      <c r="B687">
        <v>10.84</v>
      </c>
      <c r="C687" t="s">
        <v>22</v>
      </c>
      <c r="D687" t="s">
        <v>17</v>
      </c>
      <c r="E687">
        <v>600</v>
      </c>
      <c r="F687">
        <v>52.6</v>
      </c>
      <c r="G687">
        <v>19.760000000000002</v>
      </c>
      <c r="H687">
        <v>0.73</v>
      </c>
      <c r="I687">
        <v>6.73</v>
      </c>
      <c r="J687">
        <v>11</v>
      </c>
      <c r="K687" t="s">
        <v>23</v>
      </c>
    </row>
    <row r="688" spans="1:11" x14ac:dyDescent="0.25">
      <c r="A688">
        <v>300</v>
      </c>
      <c r="B688">
        <v>7.26</v>
      </c>
      <c r="C688" t="s">
        <v>21</v>
      </c>
      <c r="D688" t="s">
        <v>17</v>
      </c>
      <c r="E688">
        <v>900</v>
      </c>
      <c r="F688">
        <v>-42.6</v>
      </c>
      <c r="G688">
        <v>4.7699999999999996</v>
      </c>
      <c r="H688">
        <v>2.94</v>
      </c>
      <c r="I688">
        <v>40.5</v>
      </c>
      <c r="J688">
        <v>14</v>
      </c>
      <c r="K688" t="s">
        <v>13</v>
      </c>
    </row>
    <row r="689" spans="1:11" x14ac:dyDescent="0.25">
      <c r="A689">
        <v>1000</v>
      </c>
      <c r="B689">
        <v>33.909999999999997</v>
      </c>
      <c r="C689" t="s">
        <v>22</v>
      </c>
      <c r="D689" t="s">
        <v>12</v>
      </c>
      <c r="E689">
        <v>600</v>
      </c>
      <c r="F689">
        <v>22.2</v>
      </c>
      <c r="G689">
        <v>17.02</v>
      </c>
      <c r="H689">
        <v>0.54</v>
      </c>
      <c r="I689">
        <v>1.59</v>
      </c>
      <c r="J689">
        <v>13</v>
      </c>
      <c r="K689" t="s">
        <v>23</v>
      </c>
    </row>
    <row r="690" spans="1:11" x14ac:dyDescent="0.25">
      <c r="A690">
        <v>200</v>
      </c>
      <c r="B690">
        <v>11.46</v>
      </c>
      <c r="C690" t="s">
        <v>22</v>
      </c>
      <c r="D690" t="s">
        <v>12</v>
      </c>
      <c r="E690">
        <v>900</v>
      </c>
      <c r="F690">
        <v>65.900000000000006</v>
      </c>
      <c r="G690">
        <v>7.26</v>
      </c>
      <c r="H690">
        <v>6.64</v>
      </c>
      <c r="I690">
        <v>57.94</v>
      </c>
      <c r="J690">
        <v>24</v>
      </c>
      <c r="K690" t="s">
        <v>16</v>
      </c>
    </row>
    <row r="691" spans="1:11" x14ac:dyDescent="0.25">
      <c r="A691">
        <v>1200</v>
      </c>
      <c r="B691">
        <v>37.409999999999997</v>
      </c>
      <c r="C691" t="s">
        <v>11</v>
      </c>
      <c r="D691" t="s">
        <v>20</v>
      </c>
      <c r="E691">
        <v>2500</v>
      </c>
      <c r="F691">
        <v>37.299999999999997</v>
      </c>
      <c r="G691">
        <v>1.59</v>
      </c>
      <c r="H691">
        <v>1.39</v>
      </c>
      <c r="I691">
        <v>3.72</v>
      </c>
      <c r="J691">
        <v>15</v>
      </c>
      <c r="K691" t="s">
        <v>23</v>
      </c>
    </row>
    <row r="692" spans="1:11" x14ac:dyDescent="0.25">
      <c r="A692">
        <v>800</v>
      </c>
      <c r="B692">
        <v>19.489999999999998</v>
      </c>
      <c r="C692" t="s">
        <v>21</v>
      </c>
      <c r="D692" t="s">
        <v>17</v>
      </c>
      <c r="E692">
        <v>600</v>
      </c>
      <c r="F692">
        <v>12.4</v>
      </c>
      <c r="G692">
        <v>18.09</v>
      </c>
      <c r="H692">
        <v>6.92</v>
      </c>
      <c r="I692">
        <v>35.51</v>
      </c>
      <c r="J692">
        <v>13</v>
      </c>
      <c r="K692" t="s">
        <v>16</v>
      </c>
    </row>
    <row r="693" spans="1:11" x14ac:dyDescent="0.25">
      <c r="A693">
        <v>200</v>
      </c>
      <c r="B693">
        <v>8.69</v>
      </c>
      <c r="C693" t="s">
        <v>11</v>
      </c>
      <c r="D693" t="s">
        <v>20</v>
      </c>
      <c r="E693">
        <v>2500</v>
      </c>
      <c r="F693">
        <v>45.2</v>
      </c>
      <c r="G693">
        <v>1.94</v>
      </c>
      <c r="H693">
        <v>0.46</v>
      </c>
      <c r="I693">
        <v>5.29</v>
      </c>
      <c r="J693">
        <v>23</v>
      </c>
      <c r="K693" t="s">
        <v>23</v>
      </c>
    </row>
    <row r="694" spans="1:11" x14ac:dyDescent="0.25">
      <c r="A694">
        <v>1000</v>
      </c>
      <c r="B694">
        <v>26.68</v>
      </c>
      <c r="C694" t="s">
        <v>22</v>
      </c>
      <c r="D694" t="s">
        <v>12</v>
      </c>
      <c r="E694">
        <v>900</v>
      </c>
      <c r="F694">
        <v>28.9</v>
      </c>
      <c r="G694">
        <v>10.81</v>
      </c>
      <c r="H694">
        <v>7.59</v>
      </c>
      <c r="I694">
        <v>28.45</v>
      </c>
      <c r="J694">
        <v>16</v>
      </c>
      <c r="K694" t="s">
        <v>16</v>
      </c>
    </row>
    <row r="695" spans="1:11" x14ac:dyDescent="0.25">
      <c r="A695">
        <v>1200</v>
      </c>
      <c r="B695">
        <v>39.24</v>
      </c>
      <c r="C695" t="s">
        <v>11</v>
      </c>
      <c r="D695" t="s">
        <v>18</v>
      </c>
      <c r="E695">
        <v>900</v>
      </c>
      <c r="F695">
        <v>64.900000000000006</v>
      </c>
      <c r="G695">
        <v>14.05</v>
      </c>
      <c r="H695">
        <v>0.71</v>
      </c>
      <c r="I695">
        <v>1.81</v>
      </c>
      <c r="J695">
        <v>7</v>
      </c>
      <c r="K695" t="s">
        <v>23</v>
      </c>
    </row>
    <row r="696" spans="1:11" x14ac:dyDescent="0.25">
      <c r="A696">
        <v>1200</v>
      </c>
      <c r="B696">
        <v>22.11</v>
      </c>
      <c r="C696" t="s">
        <v>14</v>
      </c>
      <c r="D696" t="s">
        <v>15</v>
      </c>
      <c r="E696">
        <v>150</v>
      </c>
      <c r="F696">
        <v>130.30000000000001</v>
      </c>
      <c r="G696">
        <v>2.48</v>
      </c>
      <c r="H696">
        <v>7.65</v>
      </c>
      <c r="I696">
        <v>34.6</v>
      </c>
      <c r="J696">
        <v>12</v>
      </c>
      <c r="K696" t="s">
        <v>16</v>
      </c>
    </row>
    <row r="697" spans="1:11" x14ac:dyDescent="0.25">
      <c r="A697">
        <v>300</v>
      </c>
      <c r="B697">
        <v>8.06</v>
      </c>
      <c r="C697" t="s">
        <v>21</v>
      </c>
      <c r="D697" t="s">
        <v>18</v>
      </c>
      <c r="E697">
        <v>600</v>
      </c>
      <c r="F697">
        <v>25.1</v>
      </c>
      <c r="G697">
        <v>6.17</v>
      </c>
      <c r="H697">
        <v>3.02</v>
      </c>
      <c r="I697">
        <v>37.47</v>
      </c>
      <c r="J697">
        <v>7</v>
      </c>
      <c r="K697" t="s">
        <v>13</v>
      </c>
    </row>
    <row r="698" spans="1:11" x14ac:dyDescent="0.25">
      <c r="A698">
        <v>150</v>
      </c>
      <c r="B698">
        <v>6.44</v>
      </c>
      <c r="C698" t="s">
        <v>11</v>
      </c>
      <c r="D698" t="s">
        <v>12</v>
      </c>
      <c r="E698">
        <v>600</v>
      </c>
      <c r="F698">
        <v>54.6</v>
      </c>
      <c r="G698">
        <v>3.36</v>
      </c>
      <c r="H698">
        <v>9.07</v>
      </c>
      <c r="I698">
        <v>140.84</v>
      </c>
      <c r="J698">
        <v>25</v>
      </c>
      <c r="K698" t="s">
        <v>16</v>
      </c>
    </row>
    <row r="699" spans="1:11" x14ac:dyDescent="0.25">
      <c r="A699">
        <v>400</v>
      </c>
      <c r="B699">
        <v>16.46</v>
      </c>
      <c r="C699" t="s">
        <v>14</v>
      </c>
      <c r="D699" t="s">
        <v>18</v>
      </c>
      <c r="E699">
        <v>600</v>
      </c>
      <c r="F699">
        <v>83.5</v>
      </c>
      <c r="G699">
        <v>8.7200000000000006</v>
      </c>
      <c r="H699">
        <v>0.47</v>
      </c>
      <c r="I699">
        <v>2.86</v>
      </c>
      <c r="J699">
        <v>23</v>
      </c>
      <c r="K699" t="s">
        <v>23</v>
      </c>
    </row>
    <row r="700" spans="1:11" x14ac:dyDescent="0.25">
      <c r="A700">
        <v>1500</v>
      </c>
      <c r="B700">
        <v>31.01</v>
      </c>
      <c r="C700" t="s">
        <v>11</v>
      </c>
      <c r="D700" t="s">
        <v>15</v>
      </c>
      <c r="E700">
        <v>2500</v>
      </c>
      <c r="F700">
        <v>23.6</v>
      </c>
      <c r="G700">
        <v>7.25</v>
      </c>
      <c r="H700">
        <v>1.59</v>
      </c>
      <c r="I700">
        <v>5.13</v>
      </c>
      <c r="J700">
        <v>23</v>
      </c>
      <c r="K700" t="s">
        <v>23</v>
      </c>
    </row>
    <row r="701" spans="1:11" x14ac:dyDescent="0.25">
      <c r="A701">
        <v>1200</v>
      </c>
      <c r="B701">
        <v>19.22</v>
      </c>
      <c r="C701" t="s">
        <v>11</v>
      </c>
      <c r="D701" t="s">
        <v>17</v>
      </c>
      <c r="E701">
        <v>2500</v>
      </c>
      <c r="F701">
        <v>77.7</v>
      </c>
      <c r="G701">
        <v>14.18</v>
      </c>
      <c r="H701">
        <v>6.42</v>
      </c>
      <c r="I701">
        <v>33.4</v>
      </c>
      <c r="J701">
        <v>7</v>
      </c>
      <c r="K701" t="s">
        <v>16</v>
      </c>
    </row>
    <row r="702" spans="1:11" x14ac:dyDescent="0.25">
      <c r="A702">
        <v>1000</v>
      </c>
      <c r="B702">
        <v>24.04</v>
      </c>
      <c r="C702" t="s">
        <v>11</v>
      </c>
      <c r="D702" t="s">
        <v>15</v>
      </c>
      <c r="E702">
        <v>300</v>
      </c>
      <c r="F702">
        <v>109.6</v>
      </c>
      <c r="G702">
        <v>11.57</v>
      </c>
      <c r="H702">
        <v>0.55000000000000004</v>
      </c>
      <c r="I702">
        <v>2.29</v>
      </c>
      <c r="J702">
        <v>5</v>
      </c>
      <c r="K702" t="s">
        <v>23</v>
      </c>
    </row>
    <row r="703" spans="1:11" x14ac:dyDescent="0.25">
      <c r="A703">
        <v>600</v>
      </c>
      <c r="B703">
        <v>24.78</v>
      </c>
      <c r="C703" t="s">
        <v>19</v>
      </c>
      <c r="D703" t="s">
        <v>18</v>
      </c>
      <c r="E703">
        <v>600</v>
      </c>
      <c r="F703">
        <v>41.9</v>
      </c>
      <c r="G703">
        <v>14.82</v>
      </c>
      <c r="H703">
        <v>8.49</v>
      </c>
      <c r="I703">
        <v>34.26</v>
      </c>
      <c r="J703">
        <v>18</v>
      </c>
      <c r="K703" t="s">
        <v>16</v>
      </c>
    </row>
    <row r="704" spans="1:11" x14ac:dyDescent="0.25">
      <c r="A704">
        <v>1000</v>
      </c>
      <c r="B704">
        <v>17.8</v>
      </c>
      <c r="C704" t="s">
        <v>14</v>
      </c>
      <c r="D704" t="s">
        <v>18</v>
      </c>
      <c r="E704">
        <v>150</v>
      </c>
      <c r="F704">
        <v>68.3</v>
      </c>
      <c r="G704">
        <v>3.97</v>
      </c>
      <c r="H704">
        <v>8.42</v>
      </c>
      <c r="I704">
        <v>47.3</v>
      </c>
      <c r="J704">
        <v>19</v>
      </c>
      <c r="K704" t="s">
        <v>16</v>
      </c>
    </row>
    <row r="705" spans="1:11" x14ac:dyDescent="0.25">
      <c r="A705">
        <v>400</v>
      </c>
      <c r="B705">
        <v>14.63</v>
      </c>
      <c r="C705" t="s">
        <v>19</v>
      </c>
      <c r="D705" t="s">
        <v>18</v>
      </c>
      <c r="E705">
        <v>900</v>
      </c>
      <c r="F705">
        <v>71.7</v>
      </c>
      <c r="G705">
        <v>5.17</v>
      </c>
      <c r="H705">
        <v>3.74</v>
      </c>
      <c r="I705">
        <v>25.56</v>
      </c>
      <c r="J705">
        <v>13</v>
      </c>
      <c r="K705" t="s">
        <v>13</v>
      </c>
    </row>
    <row r="706" spans="1:11" x14ac:dyDescent="0.25">
      <c r="A706">
        <v>1000</v>
      </c>
      <c r="B706">
        <v>23.09</v>
      </c>
      <c r="C706" t="s">
        <v>19</v>
      </c>
      <c r="D706" t="s">
        <v>20</v>
      </c>
      <c r="E706">
        <v>150</v>
      </c>
      <c r="F706">
        <v>97.5</v>
      </c>
      <c r="G706">
        <v>5.43</v>
      </c>
      <c r="H706">
        <v>7.98</v>
      </c>
      <c r="I706">
        <v>34.56</v>
      </c>
      <c r="J706">
        <v>14</v>
      </c>
      <c r="K706" t="s">
        <v>16</v>
      </c>
    </row>
    <row r="707" spans="1:11" x14ac:dyDescent="0.25">
      <c r="A707">
        <v>250</v>
      </c>
      <c r="B707">
        <v>14.41</v>
      </c>
      <c r="C707" t="s">
        <v>19</v>
      </c>
      <c r="D707" t="s">
        <v>12</v>
      </c>
      <c r="E707">
        <v>1500</v>
      </c>
      <c r="F707">
        <v>8.9</v>
      </c>
      <c r="G707">
        <v>4.82</v>
      </c>
      <c r="H707">
        <v>0.87</v>
      </c>
      <c r="I707">
        <v>6.04</v>
      </c>
      <c r="J707">
        <v>19</v>
      </c>
      <c r="K707" t="s">
        <v>23</v>
      </c>
    </row>
    <row r="708" spans="1:11" x14ac:dyDescent="0.25">
      <c r="A708">
        <v>250</v>
      </c>
      <c r="B708">
        <v>10.15</v>
      </c>
      <c r="C708" t="s">
        <v>14</v>
      </c>
      <c r="D708" t="s">
        <v>12</v>
      </c>
      <c r="E708">
        <v>2500</v>
      </c>
      <c r="F708">
        <v>65.7</v>
      </c>
      <c r="G708">
        <v>14.34</v>
      </c>
      <c r="H708">
        <v>9.59</v>
      </c>
      <c r="I708">
        <v>94.48</v>
      </c>
      <c r="J708">
        <v>2</v>
      </c>
      <c r="K708" t="s">
        <v>16</v>
      </c>
    </row>
    <row r="709" spans="1:11" x14ac:dyDescent="0.25">
      <c r="A709">
        <v>1000</v>
      </c>
      <c r="B709">
        <v>26.3</v>
      </c>
      <c r="C709" t="s">
        <v>19</v>
      </c>
      <c r="D709" t="s">
        <v>18</v>
      </c>
      <c r="E709">
        <v>2500</v>
      </c>
      <c r="F709">
        <v>34.4</v>
      </c>
      <c r="G709">
        <v>19.5</v>
      </c>
      <c r="H709">
        <v>6.68</v>
      </c>
      <c r="I709">
        <v>25.4</v>
      </c>
      <c r="J709">
        <v>10</v>
      </c>
      <c r="K709" t="s">
        <v>16</v>
      </c>
    </row>
    <row r="710" spans="1:11" x14ac:dyDescent="0.25">
      <c r="A710">
        <v>1500</v>
      </c>
      <c r="B710">
        <v>27.26</v>
      </c>
      <c r="C710" t="s">
        <v>11</v>
      </c>
      <c r="D710" t="s">
        <v>12</v>
      </c>
      <c r="E710">
        <v>900</v>
      </c>
      <c r="F710">
        <v>39.700000000000003</v>
      </c>
      <c r="G710">
        <v>2.36</v>
      </c>
      <c r="H710">
        <v>7.04</v>
      </c>
      <c r="I710">
        <v>25.83</v>
      </c>
      <c r="J710">
        <v>9</v>
      </c>
      <c r="K710" t="s">
        <v>16</v>
      </c>
    </row>
    <row r="711" spans="1:11" x14ac:dyDescent="0.25">
      <c r="A711">
        <v>250</v>
      </c>
      <c r="B711">
        <v>11.54</v>
      </c>
      <c r="C711" t="s">
        <v>14</v>
      </c>
      <c r="D711" t="s">
        <v>17</v>
      </c>
      <c r="E711">
        <v>600</v>
      </c>
      <c r="F711">
        <v>33.1</v>
      </c>
      <c r="G711">
        <v>18.2</v>
      </c>
      <c r="H711">
        <v>5.96</v>
      </c>
      <c r="I711">
        <v>51.65</v>
      </c>
      <c r="J711">
        <v>25</v>
      </c>
      <c r="K711" t="s">
        <v>16</v>
      </c>
    </row>
    <row r="712" spans="1:11" x14ac:dyDescent="0.25">
      <c r="A712">
        <v>250</v>
      </c>
      <c r="B712">
        <v>11.08</v>
      </c>
      <c r="C712" t="s">
        <v>11</v>
      </c>
      <c r="D712" t="s">
        <v>12</v>
      </c>
      <c r="E712">
        <v>900</v>
      </c>
      <c r="F712">
        <v>75.3</v>
      </c>
      <c r="G712">
        <v>5.85</v>
      </c>
      <c r="H712">
        <v>4.92</v>
      </c>
      <c r="I712">
        <v>44.4</v>
      </c>
      <c r="J712">
        <v>21</v>
      </c>
      <c r="K712" t="s">
        <v>13</v>
      </c>
    </row>
    <row r="713" spans="1:11" x14ac:dyDescent="0.25">
      <c r="A713">
        <v>300</v>
      </c>
      <c r="B713">
        <v>7.51</v>
      </c>
      <c r="C713" t="s">
        <v>14</v>
      </c>
      <c r="D713" t="s">
        <v>17</v>
      </c>
      <c r="E713">
        <v>300</v>
      </c>
      <c r="F713">
        <v>118.2</v>
      </c>
      <c r="G713">
        <v>10.35</v>
      </c>
      <c r="H713">
        <v>1.69</v>
      </c>
      <c r="I713">
        <v>22.5</v>
      </c>
      <c r="J713">
        <v>11</v>
      </c>
      <c r="K713" t="s">
        <v>23</v>
      </c>
    </row>
    <row r="714" spans="1:11" x14ac:dyDescent="0.25">
      <c r="A714">
        <v>800</v>
      </c>
      <c r="B714">
        <v>17.38</v>
      </c>
      <c r="C714" t="s">
        <v>21</v>
      </c>
      <c r="D714" t="s">
        <v>18</v>
      </c>
      <c r="E714">
        <v>1500</v>
      </c>
      <c r="F714">
        <v>7.3</v>
      </c>
      <c r="G714">
        <v>17.510000000000002</v>
      </c>
      <c r="H714">
        <v>0.27</v>
      </c>
      <c r="I714">
        <v>1.55</v>
      </c>
      <c r="J714">
        <v>10</v>
      </c>
      <c r="K714" t="s">
        <v>23</v>
      </c>
    </row>
    <row r="715" spans="1:11" x14ac:dyDescent="0.25">
      <c r="A715">
        <v>50</v>
      </c>
      <c r="B715">
        <v>4.6100000000000003</v>
      </c>
      <c r="C715" t="s">
        <v>21</v>
      </c>
      <c r="D715" t="s">
        <v>18</v>
      </c>
      <c r="E715">
        <v>150</v>
      </c>
      <c r="F715">
        <v>62.2</v>
      </c>
      <c r="G715">
        <v>0.31</v>
      </c>
      <c r="H715">
        <v>0.81</v>
      </c>
      <c r="I715">
        <v>17.57</v>
      </c>
      <c r="J715">
        <v>13</v>
      </c>
      <c r="K715" t="s">
        <v>23</v>
      </c>
    </row>
    <row r="716" spans="1:11" x14ac:dyDescent="0.25">
      <c r="A716">
        <v>250</v>
      </c>
      <c r="B716">
        <v>13.91</v>
      </c>
      <c r="C716" t="s">
        <v>22</v>
      </c>
      <c r="D716" t="s">
        <v>20</v>
      </c>
      <c r="E716">
        <v>150</v>
      </c>
      <c r="F716">
        <v>50.4</v>
      </c>
      <c r="G716">
        <v>5.0999999999999996</v>
      </c>
      <c r="H716">
        <v>6.97</v>
      </c>
      <c r="I716">
        <v>50.11</v>
      </c>
      <c r="J716">
        <v>20</v>
      </c>
      <c r="K716" t="s">
        <v>16</v>
      </c>
    </row>
    <row r="717" spans="1:11" x14ac:dyDescent="0.25">
      <c r="A717">
        <v>200</v>
      </c>
      <c r="B717">
        <v>6.18</v>
      </c>
      <c r="C717" t="s">
        <v>21</v>
      </c>
      <c r="D717" t="s">
        <v>17</v>
      </c>
      <c r="E717">
        <v>1500</v>
      </c>
      <c r="F717">
        <v>95.2</v>
      </c>
      <c r="G717">
        <v>0.18</v>
      </c>
      <c r="H717">
        <v>2.95</v>
      </c>
      <c r="I717">
        <v>47.73</v>
      </c>
      <c r="J717">
        <v>24</v>
      </c>
      <c r="K717" t="s">
        <v>13</v>
      </c>
    </row>
    <row r="718" spans="1:11" x14ac:dyDescent="0.25">
      <c r="A718">
        <v>400</v>
      </c>
      <c r="B718">
        <v>17.89</v>
      </c>
      <c r="C718" t="s">
        <v>11</v>
      </c>
      <c r="D718" t="s">
        <v>20</v>
      </c>
      <c r="E718">
        <v>600</v>
      </c>
      <c r="F718">
        <v>50.6</v>
      </c>
      <c r="G718">
        <v>3.04</v>
      </c>
      <c r="H718">
        <v>4.51</v>
      </c>
      <c r="I718">
        <v>25.21</v>
      </c>
      <c r="J718">
        <v>18</v>
      </c>
      <c r="K718" t="s">
        <v>13</v>
      </c>
    </row>
    <row r="719" spans="1:11" x14ac:dyDescent="0.25">
      <c r="A719">
        <v>1200</v>
      </c>
      <c r="B719">
        <v>29.45</v>
      </c>
      <c r="C719" t="s">
        <v>19</v>
      </c>
      <c r="D719" t="s">
        <v>20</v>
      </c>
      <c r="E719">
        <v>300</v>
      </c>
      <c r="F719">
        <v>52.3</v>
      </c>
      <c r="G719">
        <v>10.23</v>
      </c>
      <c r="H719">
        <v>8.92</v>
      </c>
      <c r="I719">
        <v>30.29</v>
      </c>
      <c r="J719">
        <v>25</v>
      </c>
      <c r="K719" t="s">
        <v>16</v>
      </c>
    </row>
    <row r="720" spans="1:11" x14ac:dyDescent="0.25">
      <c r="A720">
        <v>600</v>
      </c>
      <c r="B720">
        <v>19.72</v>
      </c>
      <c r="C720" t="s">
        <v>14</v>
      </c>
      <c r="D720" t="s">
        <v>15</v>
      </c>
      <c r="E720">
        <v>1500</v>
      </c>
      <c r="F720">
        <v>-16.8</v>
      </c>
      <c r="G720">
        <v>10.41</v>
      </c>
      <c r="H720">
        <v>2.66</v>
      </c>
      <c r="I720">
        <v>13.49</v>
      </c>
      <c r="J720">
        <v>3</v>
      </c>
      <c r="K720" t="s">
        <v>13</v>
      </c>
    </row>
    <row r="721" spans="1:11" x14ac:dyDescent="0.25">
      <c r="A721">
        <v>300</v>
      </c>
      <c r="B721">
        <v>15.03</v>
      </c>
      <c r="C721" t="s">
        <v>22</v>
      </c>
      <c r="D721" t="s">
        <v>12</v>
      </c>
      <c r="E721">
        <v>600</v>
      </c>
      <c r="F721">
        <v>54.8</v>
      </c>
      <c r="G721">
        <v>14.85</v>
      </c>
      <c r="H721">
        <v>7.96</v>
      </c>
      <c r="I721">
        <v>52.96</v>
      </c>
      <c r="J721">
        <v>5</v>
      </c>
      <c r="K721" t="s">
        <v>16</v>
      </c>
    </row>
    <row r="722" spans="1:11" x14ac:dyDescent="0.25">
      <c r="A722">
        <v>500</v>
      </c>
      <c r="B722">
        <v>18.760000000000002</v>
      </c>
      <c r="C722" t="s">
        <v>21</v>
      </c>
      <c r="D722" t="s">
        <v>18</v>
      </c>
      <c r="E722">
        <v>2500</v>
      </c>
      <c r="F722">
        <v>45.7</v>
      </c>
      <c r="G722">
        <v>13.43</v>
      </c>
      <c r="H722">
        <v>0.11</v>
      </c>
      <c r="I722">
        <v>0.59</v>
      </c>
      <c r="J722">
        <v>12</v>
      </c>
      <c r="K722" t="s">
        <v>23</v>
      </c>
    </row>
    <row r="723" spans="1:11" x14ac:dyDescent="0.25">
      <c r="A723">
        <v>600</v>
      </c>
      <c r="B723">
        <v>18.649999999999999</v>
      </c>
      <c r="C723" t="s">
        <v>22</v>
      </c>
      <c r="D723" t="s">
        <v>17</v>
      </c>
      <c r="E723">
        <v>900</v>
      </c>
      <c r="F723">
        <v>31.6</v>
      </c>
      <c r="G723">
        <v>4.92</v>
      </c>
      <c r="H723">
        <v>4.1500000000000004</v>
      </c>
      <c r="I723">
        <v>22.25</v>
      </c>
      <c r="J723">
        <v>12</v>
      </c>
      <c r="K723" t="s">
        <v>13</v>
      </c>
    </row>
    <row r="724" spans="1:11" x14ac:dyDescent="0.25">
      <c r="A724">
        <v>200</v>
      </c>
      <c r="B724">
        <v>6.48</v>
      </c>
      <c r="C724" t="s">
        <v>19</v>
      </c>
      <c r="D724" t="s">
        <v>12</v>
      </c>
      <c r="E724">
        <v>300</v>
      </c>
      <c r="F724">
        <v>15.5</v>
      </c>
      <c r="G724">
        <v>2</v>
      </c>
      <c r="H724">
        <v>9.5500000000000007</v>
      </c>
      <c r="I724">
        <v>147.38</v>
      </c>
      <c r="J724">
        <v>13</v>
      </c>
      <c r="K724" t="s">
        <v>16</v>
      </c>
    </row>
    <row r="725" spans="1:11" x14ac:dyDescent="0.25">
      <c r="A725">
        <v>500</v>
      </c>
      <c r="B725">
        <v>19.579999999999998</v>
      </c>
      <c r="C725" t="s">
        <v>11</v>
      </c>
      <c r="D725" t="s">
        <v>20</v>
      </c>
      <c r="E725">
        <v>900</v>
      </c>
      <c r="F725">
        <v>89.8</v>
      </c>
      <c r="G725">
        <v>6.51</v>
      </c>
      <c r="H725">
        <v>4.78</v>
      </c>
      <c r="I725">
        <v>24.41</v>
      </c>
      <c r="J725">
        <v>7</v>
      </c>
      <c r="K725" t="s">
        <v>13</v>
      </c>
    </row>
    <row r="726" spans="1:11" x14ac:dyDescent="0.25">
      <c r="A726">
        <v>50</v>
      </c>
      <c r="B726">
        <v>3.59</v>
      </c>
      <c r="C726" t="s">
        <v>21</v>
      </c>
      <c r="D726" t="s">
        <v>12</v>
      </c>
      <c r="E726">
        <v>300</v>
      </c>
      <c r="F726">
        <v>63.5</v>
      </c>
      <c r="G726">
        <v>4.6500000000000004</v>
      </c>
      <c r="H726">
        <v>8.6199999999999992</v>
      </c>
      <c r="I726">
        <v>240.11</v>
      </c>
      <c r="J726">
        <v>2</v>
      </c>
      <c r="K726" t="s">
        <v>16</v>
      </c>
    </row>
    <row r="727" spans="1:11" x14ac:dyDescent="0.25">
      <c r="A727">
        <v>800</v>
      </c>
      <c r="B727">
        <v>25.7</v>
      </c>
      <c r="C727" t="s">
        <v>11</v>
      </c>
      <c r="D727" t="s">
        <v>12</v>
      </c>
      <c r="E727">
        <v>2500</v>
      </c>
      <c r="F727">
        <v>77.7</v>
      </c>
      <c r="G727">
        <v>13.12</v>
      </c>
      <c r="H727">
        <v>8.1</v>
      </c>
      <c r="I727">
        <v>31.52</v>
      </c>
      <c r="J727">
        <v>18</v>
      </c>
      <c r="K727" t="s">
        <v>16</v>
      </c>
    </row>
    <row r="728" spans="1:11" x14ac:dyDescent="0.25">
      <c r="A728">
        <v>400</v>
      </c>
      <c r="B728">
        <v>19.8</v>
      </c>
      <c r="C728" t="s">
        <v>21</v>
      </c>
      <c r="D728" t="s">
        <v>17</v>
      </c>
      <c r="E728">
        <v>1500</v>
      </c>
      <c r="F728">
        <v>59.6</v>
      </c>
      <c r="G728">
        <v>6.84</v>
      </c>
      <c r="H728">
        <v>2.5</v>
      </c>
      <c r="I728">
        <v>12.63</v>
      </c>
      <c r="J728">
        <v>8</v>
      </c>
      <c r="K728" t="s">
        <v>13</v>
      </c>
    </row>
    <row r="729" spans="1:11" x14ac:dyDescent="0.25">
      <c r="A729">
        <v>300</v>
      </c>
      <c r="B729">
        <v>7.67</v>
      </c>
      <c r="C729" t="s">
        <v>21</v>
      </c>
      <c r="D729" t="s">
        <v>18</v>
      </c>
      <c r="E729">
        <v>600</v>
      </c>
      <c r="F729">
        <v>24.5</v>
      </c>
      <c r="G729">
        <v>3.81</v>
      </c>
      <c r="H729">
        <v>3.54</v>
      </c>
      <c r="I729">
        <v>46.15</v>
      </c>
      <c r="J729">
        <v>18</v>
      </c>
      <c r="K729" t="s">
        <v>13</v>
      </c>
    </row>
    <row r="730" spans="1:11" x14ac:dyDescent="0.25">
      <c r="A730">
        <v>800</v>
      </c>
      <c r="B730">
        <v>30.43</v>
      </c>
      <c r="C730" t="s">
        <v>14</v>
      </c>
      <c r="D730" t="s">
        <v>18</v>
      </c>
      <c r="E730">
        <v>300</v>
      </c>
      <c r="F730">
        <v>-23.5</v>
      </c>
      <c r="G730">
        <v>17.350000000000001</v>
      </c>
      <c r="H730">
        <v>7.69</v>
      </c>
      <c r="I730">
        <v>25.27</v>
      </c>
      <c r="J730">
        <v>2</v>
      </c>
      <c r="K730" t="s">
        <v>16</v>
      </c>
    </row>
    <row r="731" spans="1:11" x14ac:dyDescent="0.25">
      <c r="A731">
        <v>600</v>
      </c>
      <c r="B731">
        <v>16.38</v>
      </c>
      <c r="C731" t="s">
        <v>22</v>
      </c>
      <c r="D731" t="s">
        <v>12</v>
      </c>
      <c r="E731">
        <v>600</v>
      </c>
      <c r="F731">
        <v>37.700000000000003</v>
      </c>
      <c r="G731">
        <v>0.97</v>
      </c>
      <c r="H731">
        <v>9.5500000000000007</v>
      </c>
      <c r="I731">
        <v>58.3</v>
      </c>
      <c r="J731">
        <v>8</v>
      </c>
      <c r="K731" t="s">
        <v>16</v>
      </c>
    </row>
    <row r="732" spans="1:11" x14ac:dyDescent="0.25">
      <c r="A732">
        <v>300</v>
      </c>
      <c r="B732">
        <v>16.23</v>
      </c>
      <c r="C732" t="s">
        <v>14</v>
      </c>
      <c r="D732" t="s">
        <v>15</v>
      </c>
      <c r="E732">
        <v>1500</v>
      </c>
      <c r="F732">
        <v>36</v>
      </c>
      <c r="G732">
        <v>5.92</v>
      </c>
      <c r="H732">
        <v>7.49</v>
      </c>
      <c r="I732">
        <v>46.15</v>
      </c>
      <c r="J732">
        <v>7</v>
      </c>
      <c r="K732" t="s">
        <v>16</v>
      </c>
    </row>
    <row r="733" spans="1:11" x14ac:dyDescent="0.25">
      <c r="A733">
        <v>1000</v>
      </c>
      <c r="B733">
        <v>34.89</v>
      </c>
      <c r="C733" t="s">
        <v>22</v>
      </c>
      <c r="D733" t="s">
        <v>18</v>
      </c>
      <c r="E733">
        <v>600</v>
      </c>
      <c r="F733">
        <v>84.6</v>
      </c>
      <c r="G733">
        <v>19.059999999999999</v>
      </c>
      <c r="H733">
        <v>9.66</v>
      </c>
      <c r="I733">
        <v>27.69</v>
      </c>
      <c r="J733">
        <v>13</v>
      </c>
      <c r="K733" t="s">
        <v>16</v>
      </c>
    </row>
    <row r="734" spans="1:11" x14ac:dyDescent="0.25">
      <c r="A734">
        <v>100</v>
      </c>
      <c r="B734">
        <v>7.7</v>
      </c>
      <c r="C734" t="s">
        <v>21</v>
      </c>
      <c r="D734" t="s">
        <v>17</v>
      </c>
      <c r="E734">
        <v>900</v>
      </c>
      <c r="F734">
        <v>28.8</v>
      </c>
      <c r="G734">
        <v>13.74</v>
      </c>
      <c r="H734">
        <v>4.68</v>
      </c>
      <c r="I734">
        <v>60.78</v>
      </c>
      <c r="J734">
        <v>20</v>
      </c>
      <c r="K734" t="s">
        <v>13</v>
      </c>
    </row>
    <row r="735" spans="1:11" x14ac:dyDescent="0.25">
      <c r="A735">
        <v>1500</v>
      </c>
      <c r="B735">
        <v>37.94</v>
      </c>
      <c r="C735" t="s">
        <v>22</v>
      </c>
      <c r="D735" t="s">
        <v>15</v>
      </c>
      <c r="E735">
        <v>150</v>
      </c>
      <c r="F735">
        <v>60.3</v>
      </c>
      <c r="G735">
        <v>13.98</v>
      </c>
      <c r="H735">
        <v>6.6</v>
      </c>
      <c r="I735">
        <v>17.399999999999999</v>
      </c>
      <c r="J735">
        <v>15</v>
      </c>
      <c r="K735" t="s">
        <v>16</v>
      </c>
    </row>
    <row r="736" spans="1:11" x14ac:dyDescent="0.25">
      <c r="A736">
        <v>300</v>
      </c>
      <c r="B736">
        <v>12.84</v>
      </c>
      <c r="C736" t="s">
        <v>22</v>
      </c>
      <c r="D736" t="s">
        <v>20</v>
      </c>
      <c r="E736">
        <v>300</v>
      </c>
      <c r="F736">
        <v>81.8</v>
      </c>
      <c r="G736">
        <v>16.55</v>
      </c>
      <c r="H736">
        <v>2.9</v>
      </c>
      <c r="I736">
        <v>22.59</v>
      </c>
      <c r="J736">
        <v>22</v>
      </c>
      <c r="K736" t="s">
        <v>13</v>
      </c>
    </row>
    <row r="737" spans="1:11" x14ac:dyDescent="0.25">
      <c r="A737">
        <v>1200</v>
      </c>
      <c r="B737">
        <v>36.51</v>
      </c>
      <c r="C737" t="s">
        <v>14</v>
      </c>
      <c r="D737" t="s">
        <v>20</v>
      </c>
      <c r="E737">
        <v>600</v>
      </c>
      <c r="F737">
        <v>64.3</v>
      </c>
      <c r="G737">
        <v>2.61</v>
      </c>
      <c r="H737">
        <v>6</v>
      </c>
      <c r="I737">
        <v>16.43</v>
      </c>
      <c r="J737">
        <v>25</v>
      </c>
      <c r="K737" t="s">
        <v>16</v>
      </c>
    </row>
    <row r="738" spans="1:11" x14ac:dyDescent="0.25">
      <c r="A738">
        <v>150</v>
      </c>
      <c r="B738">
        <v>8.25</v>
      </c>
      <c r="C738" t="s">
        <v>11</v>
      </c>
      <c r="D738" t="s">
        <v>17</v>
      </c>
      <c r="E738">
        <v>600</v>
      </c>
      <c r="F738">
        <v>34.799999999999997</v>
      </c>
      <c r="G738">
        <v>11.25</v>
      </c>
      <c r="H738">
        <v>8.85</v>
      </c>
      <c r="I738">
        <v>107.27</v>
      </c>
      <c r="J738">
        <v>22</v>
      </c>
      <c r="K738" t="s">
        <v>16</v>
      </c>
    </row>
    <row r="739" spans="1:11" x14ac:dyDescent="0.25">
      <c r="A739">
        <v>1000</v>
      </c>
      <c r="B739">
        <v>17.059999999999999</v>
      </c>
      <c r="C739" t="s">
        <v>22</v>
      </c>
      <c r="D739" t="s">
        <v>20</v>
      </c>
      <c r="E739">
        <v>300</v>
      </c>
      <c r="F739">
        <v>-32.5</v>
      </c>
      <c r="G739">
        <v>8.8000000000000007</v>
      </c>
      <c r="H739">
        <v>2.63</v>
      </c>
      <c r="I739">
        <v>15.42</v>
      </c>
      <c r="J739">
        <v>2</v>
      </c>
      <c r="K739" t="s">
        <v>13</v>
      </c>
    </row>
    <row r="740" spans="1:11" x14ac:dyDescent="0.25">
      <c r="A740">
        <v>1000</v>
      </c>
      <c r="B740">
        <v>32.090000000000003</v>
      </c>
      <c r="C740" t="s">
        <v>19</v>
      </c>
      <c r="D740" t="s">
        <v>20</v>
      </c>
      <c r="E740">
        <v>1500</v>
      </c>
      <c r="F740">
        <v>25.5</v>
      </c>
      <c r="G740">
        <v>13.34</v>
      </c>
      <c r="H740">
        <v>4.12</v>
      </c>
      <c r="I740">
        <v>12.84</v>
      </c>
      <c r="J740">
        <v>20</v>
      </c>
      <c r="K740" t="s">
        <v>13</v>
      </c>
    </row>
    <row r="741" spans="1:11" x14ac:dyDescent="0.25">
      <c r="A741">
        <v>100</v>
      </c>
      <c r="B741">
        <v>5.0999999999999996</v>
      </c>
      <c r="C741" t="s">
        <v>21</v>
      </c>
      <c r="D741" t="s">
        <v>20</v>
      </c>
      <c r="E741">
        <v>600</v>
      </c>
      <c r="F741">
        <v>115.8</v>
      </c>
      <c r="G741">
        <v>3.39</v>
      </c>
      <c r="H741">
        <v>1.03</v>
      </c>
      <c r="I741">
        <v>20.2</v>
      </c>
      <c r="J741">
        <v>11</v>
      </c>
      <c r="K741" t="s">
        <v>23</v>
      </c>
    </row>
    <row r="742" spans="1:11" x14ac:dyDescent="0.25">
      <c r="A742">
        <v>500</v>
      </c>
      <c r="B742">
        <v>11.45</v>
      </c>
      <c r="C742" t="s">
        <v>22</v>
      </c>
      <c r="D742" t="s">
        <v>20</v>
      </c>
      <c r="E742">
        <v>300</v>
      </c>
      <c r="F742">
        <v>29.5</v>
      </c>
      <c r="G742">
        <v>0.28999999999999998</v>
      </c>
      <c r="H742">
        <v>7.15</v>
      </c>
      <c r="I742">
        <v>62.45</v>
      </c>
      <c r="J742">
        <v>2</v>
      </c>
      <c r="K742" t="s">
        <v>16</v>
      </c>
    </row>
    <row r="743" spans="1:11" x14ac:dyDescent="0.25">
      <c r="A743">
        <v>100</v>
      </c>
      <c r="B743">
        <v>5.64</v>
      </c>
      <c r="C743" t="s">
        <v>21</v>
      </c>
      <c r="D743" t="s">
        <v>15</v>
      </c>
      <c r="E743">
        <v>900</v>
      </c>
      <c r="F743">
        <v>20.9</v>
      </c>
      <c r="G743">
        <v>6.42</v>
      </c>
      <c r="H743">
        <v>4.88</v>
      </c>
      <c r="I743">
        <v>86.52</v>
      </c>
      <c r="J743">
        <v>2</v>
      </c>
      <c r="K743" t="s">
        <v>13</v>
      </c>
    </row>
    <row r="744" spans="1:11" x14ac:dyDescent="0.25">
      <c r="A744">
        <v>1500</v>
      </c>
      <c r="B744">
        <v>41.19</v>
      </c>
      <c r="C744" t="s">
        <v>11</v>
      </c>
      <c r="D744" t="s">
        <v>12</v>
      </c>
      <c r="E744">
        <v>600</v>
      </c>
      <c r="F744">
        <v>81</v>
      </c>
      <c r="G744">
        <v>4.5999999999999996</v>
      </c>
      <c r="H744">
        <v>9.33</v>
      </c>
      <c r="I744">
        <v>22.65</v>
      </c>
      <c r="J744">
        <v>22</v>
      </c>
      <c r="K744" t="s">
        <v>16</v>
      </c>
    </row>
    <row r="745" spans="1:11" x14ac:dyDescent="0.25">
      <c r="A745">
        <v>250</v>
      </c>
      <c r="B745">
        <v>6.62</v>
      </c>
      <c r="C745" t="s">
        <v>22</v>
      </c>
      <c r="D745" t="s">
        <v>15</v>
      </c>
      <c r="E745">
        <v>1500</v>
      </c>
      <c r="F745">
        <v>36.9</v>
      </c>
      <c r="G745">
        <v>18.18</v>
      </c>
      <c r="H745">
        <v>0.01</v>
      </c>
      <c r="I745">
        <v>0.15</v>
      </c>
      <c r="J745">
        <v>16</v>
      </c>
      <c r="K745" t="s">
        <v>23</v>
      </c>
    </row>
    <row r="746" spans="1:11" x14ac:dyDescent="0.25">
      <c r="A746">
        <v>300</v>
      </c>
      <c r="B746">
        <v>14.69</v>
      </c>
      <c r="C746" t="s">
        <v>14</v>
      </c>
      <c r="D746" t="s">
        <v>12</v>
      </c>
      <c r="E746">
        <v>300</v>
      </c>
      <c r="F746">
        <v>38.799999999999997</v>
      </c>
      <c r="G746">
        <v>6.6</v>
      </c>
      <c r="H746">
        <v>5.59</v>
      </c>
      <c r="I746">
        <v>38.049999999999997</v>
      </c>
      <c r="J746">
        <v>18</v>
      </c>
      <c r="K746" t="s">
        <v>16</v>
      </c>
    </row>
    <row r="747" spans="1:11" x14ac:dyDescent="0.25">
      <c r="A747">
        <v>200</v>
      </c>
      <c r="B747">
        <v>7.08</v>
      </c>
      <c r="C747" t="s">
        <v>22</v>
      </c>
      <c r="D747" t="s">
        <v>20</v>
      </c>
      <c r="E747">
        <v>600</v>
      </c>
      <c r="F747">
        <v>-7.9</v>
      </c>
      <c r="G747">
        <v>10.46</v>
      </c>
      <c r="H747">
        <v>4.7300000000000004</v>
      </c>
      <c r="I747">
        <v>66.81</v>
      </c>
      <c r="J747">
        <v>20</v>
      </c>
      <c r="K747" t="s">
        <v>13</v>
      </c>
    </row>
    <row r="748" spans="1:11" x14ac:dyDescent="0.25">
      <c r="A748">
        <v>50</v>
      </c>
      <c r="B748">
        <v>3.2</v>
      </c>
      <c r="C748" t="s">
        <v>14</v>
      </c>
      <c r="D748" t="s">
        <v>12</v>
      </c>
      <c r="E748">
        <v>900</v>
      </c>
      <c r="F748">
        <v>75.5</v>
      </c>
      <c r="G748">
        <v>19.11</v>
      </c>
      <c r="H748">
        <v>7.07</v>
      </c>
      <c r="I748">
        <v>220.94</v>
      </c>
      <c r="J748">
        <v>4</v>
      </c>
      <c r="K748" t="s">
        <v>16</v>
      </c>
    </row>
    <row r="749" spans="1:11" x14ac:dyDescent="0.25">
      <c r="A749">
        <v>250</v>
      </c>
      <c r="B749">
        <v>11.01</v>
      </c>
      <c r="C749" t="s">
        <v>21</v>
      </c>
      <c r="D749" t="s">
        <v>15</v>
      </c>
      <c r="E749">
        <v>300</v>
      </c>
      <c r="F749">
        <v>4.0999999999999996</v>
      </c>
      <c r="G749">
        <v>19.649999999999999</v>
      </c>
      <c r="H749">
        <v>2.08</v>
      </c>
      <c r="I749">
        <v>18.89</v>
      </c>
      <c r="J749">
        <v>3</v>
      </c>
      <c r="K749" t="s">
        <v>13</v>
      </c>
    </row>
    <row r="750" spans="1:11" x14ac:dyDescent="0.25">
      <c r="A750">
        <v>250</v>
      </c>
      <c r="B750">
        <v>7.62</v>
      </c>
      <c r="C750" t="s">
        <v>14</v>
      </c>
      <c r="D750" t="s">
        <v>12</v>
      </c>
      <c r="E750">
        <v>900</v>
      </c>
      <c r="F750">
        <v>51.7</v>
      </c>
      <c r="G750">
        <v>13.11</v>
      </c>
      <c r="H750">
        <v>5.51</v>
      </c>
      <c r="I750">
        <v>72.31</v>
      </c>
      <c r="J750">
        <v>11</v>
      </c>
      <c r="K750" t="s">
        <v>16</v>
      </c>
    </row>
    <row r="751" spans="1:11" x14ac:dyDescent="0.25">
      <c r="A751">
        <v>50</v>
      </c>
      <c r="B751">
        <v>3.33</v>
      </c>
      <c r="C751" t="s">
        <v>14</v>
      </c>
      <c r="D751" t="s">
        <v>17</v>
      </c>
      <c r="E751">
        <v>150</v>
      </c>
      <c r="F751">
        <v>32.5</v>
      </c>
      <c r="G751">
        <v>1.52</v>
      </c>
      <c r="H751">
        <v>5.86</v>
      </c>
      <c r="I751">
        <v>175.98</v>
      </c>
      <c r="J751">
        <v>18</v>
      </c>
      <c r="K751" t="s">
        <v>16</v>
      </c>
    </row>
    <row r="752" spans="1:11" x14ac:dyDescent="0.25">
      <c r="A752">
        <v>400</v>
      </c>
      <c r="B752">
        <v>10.62</v>
      </c>
      <c r="C752" t="s">
        <v>21</v>
      </c>
      <c r="D752" t="s">
        <v>18</v>
      </c>
      <c r="E752">
        <v>150</v>
      </c>
      <c r="F752">
        <v>52.7</v>
      </c>
      <c r="G752">
        <v>15.45</v>
      </c>
      <c r="H752">
        <v>5.39</v>
      </c>
      <c r="I752">
        <v>50.75</v>
      </c>
      <c r="J752">
        <v>21</v>
      </c>
      <c r="K752" t="s">
        <v>16</v>
      </c>
    </row>
    <row r="753" spans="1:11" x14ac:dyDescent="0.25">
      <c r="A753">
        <v>400</v>
      </c>
      <c r="B753">
        <v>13.53</v>
      </c>
      <c r="C753" t="s">
        <v>19</v>
      </c>
      <c r="D753" t="s">
        <v>12</v>
      </c>
      <c r="E753">
        <v>150</v>
      </c>
      <c r="F753">
        <v>44.8</v>
      </c>
      <c r="G753">
        <v>8.3699999999999992</v>
      </c>
      <c r="H753">
        <v>0.52</v>
      </c>
      <c r="I753">
        <v>3.84</v>
      </c>
      <c r="J753">
        <v>10</v>
      </c>
      <c r="K753" t="s">
        <v>23</v>
      </c>
    </row>
    <row r="754" spans="1:11" x14ac:dyDescent="0.25">
      <c r="A754">
        <v>800</v>
      </c>
      <c r="B754">
        <v>12.09</v>
      </c>
      <c r="C754" t="s">
        <v>19</v>
      </c>
      <c r="D754" t="s">
        <v>17</v>
      </c>
      <c r="E754">
        <v>1500</v>
      </c>
      <c r="F754">
        <v>10.5</v>
      </c>
      <c r="G754">
        <v>0.11</v>
      </c>
      <c r="H754">
        <v>3.74</v>
      </c>
      <c r="I754">
        <v>30.93</v>
      </c>
      <c r="J754">
        <v>24</v>
      </c>
      <c r="K754" t="s">
        <v>13</v>
      </c>
    </row>
    <row r="755" spans="1:11" x14ac:dyDescent="0.25">
      <c r="A755">
        <v>1500</v>
      </c>
      <c r="B755">
        <v>43.41</v>
      </c>
      <c r="C755" t="s">
        <v>11</v>
      </c>
      <c r="D755" t="s">
        <v>17</v>
      </c>
      <c r="E755">
        <v>300</v>
      </c>
      <c r="F755">
        <v>42</v>
      </c>
      <c r="G755">
        <v>2.09</v>
      </c>
      <c r="H755">
        <v>1.95</v>
      </c>
      <c r="I755">
        <v>4.49</v>
      </c>
      <c r="J755">
        <v>12</v>
      </c>
      <c r="K755" t="s">
        <v>23</v>
      </c>
    </row>
    <row r="756" spans="1:11" x14ac:dyDescent="0.25">
      <c r="A756">
        <v>50</v>
      </c>
      <c r="B756">
        <v>5.21</v>
      </c>
      <c r="C756" t="s">
        <v>21</v>
      </c>
      <c r="D756" t="s">
        <v>17</v>
      </c>
      <c r="E756">
        <v>2500</v>
      </c>
      <c r="F756">
        <v>17.399999999999999</v>
      </c>
      <c r="G756">
        <v>3.97</v>
      </c>
      <c r="H756">
        <v>7.35</v>
      </c>
      <c r="I756">
        <v>141.07</v>
      </c>
      <c r="J756">
        <v>2</v>
      </c>
      <c r="K756" t="s">
        <v>16</v>
      </c>
    </row>
    <row r="757" spans="1:11" x14ac:dyDescent="0.25">
      <c r="A757">
        <v>500</v>
      </c>
      <c r="B757">
        <v>18.46</v>
      </c>
      <c r="C757" t="s">
        <v>19</v>
      </c>
      <c r="D757" t="s">
        <v>18</v>
      </c>
      <c r="E757">
        <v>2500</v>
      </c>
      <c r="F757">
        <v>21</v>
      </c>
      <c r="G757">
        <v>12.59</v>
      </c>
      <c r="H757">
        <v>9.89</v>
      </c>
      <c r="I757">
        <v>53.58</v>
      </c>
      <c r="J757">
        <v>20</v>
      </c>
      <c r="K757" t="s">
        <v>16</v>
      </c>
    </row>
    <row r="758" spans="1:11" x14ac:dyDescent="0.25">
      <c r="A758">
        <v>50</v>
      </c>
      <c r="B758">
        <v>4.03</v>
      </c>
      <c r="C758" t="s">
        <v>19</v>
      </c>
      <c r="D758" t="s">
        <v>15</v>
      </c>
      <c r="E758">
        <v>150</v>
      </c>
      <c r="F758">
        <v>32.700000000000003</v>
      </c>
      <c r="G758">
        <v>19.88</v>
      </c>
      <c r="H758">
        <v>0.2</v>
      </c>
      <c r="I758">
        <v>4.96</v>
      </c>
      <c r="J758">
        <v>6</v>
      </c>
      <c r="K758" t="s">
        <v>23</v>
      </c>
    </row>
    <row r="759" spans="1:11" x14ac:dyDescent="0.25">
      <c r="A759">
        <v>200</v>
      </c>
      <c r="B759">
        <v>6.58</v>
      </c>
      <c r="C759" t="s">
        <v>22</v>
      </c>
      <c r="D759" t="s">
        <v>20</v>
      </c>
      <c r="E759">
        <v>300</v>
      </c>
      <c r="F759">
        <v>78.8</v>
      </c>
      <c r="G759">
        <v>7.47</v>
      </c>
      <c r="H759">
        <v>1.97</v>
      </c>
      <c r="I759">
        <v>29.94</v>
      </c>
      <c r="J759">
        <v>19</v>
      </c>
      <c r="K759" t="s">
        <v>23</v>
      </c>
    </row>
    <row r="760" spans="1:11" x14ac:dyDescent="0.25">
      <c r="A760">
        <v>800</v>
      </c>
      <c r="B760">
        <v>15.93</v>
      </c>
      <c r="C760" t="s">
        <v>19</v>
      </c>
      <c r="D760" t="s">
        <v>20</v>
      </c>
      <c r="E760">
        <v>1500</v>
      </c>
      <c r="F760">
        <v>31</v>
      </c>
      <c r="G760">
        <v>16.53</v>
      </c>
      <c r="H760">
        <v>0.34</v>
      </c>
      <c r="I760">
        <v>2.13</v>
      </c>
      <c r="J760">
        <v>20</v>
      </c>
      <c r="K760" t="s">
        <v>23</v>
      </c>
    </row>
    <row r="761" spans="1:11" x14ac:dyDescent="0.25">
      <c r="A761">
        <v>600</v>
      </c>
      <c r="B761">
        <v>10.33</v>
      </c>
      <c r="C761" t="s">
        <v>14</v>
      </c>
      <c r="D761" t="s">
        <v>12</v>
      </c>
      <c r="E761">
        <v>300</v>
      </c>
      <c r="F761">
        <v>95.8</v>
      </c>
      <c r="G761">
        <v>3.46</v>
      </c>
      <c r="H761">
        <v>7.68</v>
      </c>
      <c r="I761">
        <v>74.349999999999994</v>
      </c>
      <c r="J761">
        <v>4</v>
      </c>
      <c r="K761" t="s">
        <v>16</v>
      </c>
    </row>
    <row r="762" spans="1:11" x14ac:dyDescent="0.25">
      <c r="A762">
        <v>400</v>
      </c>
      <c r="B762">
        <v>18.23</v>
      </c>
      <c r="C762" t="s">
        <v>22</v>
      </c>
      <c r="D762" t="s">
        <v>12</v>
      </c>
      <c r="E762">
        <v>1500</v>
      </c>
      <c r="F762">
        <v>49.1</v>
      </c>
      <c r="G762">
        <v>1.07</v>
      </c>
      <c r="H762">
        <v>1.63</v>
      </c>
      <c r="I762">
        <v>8.94</v>
      </c>
      <c r="J762">
        <v>4</v>
      </c>
      <c r="K762" t="s">
        <v>23</v>
      </c>
    </row>
    <row r="763" spans="1:11" x14ac:dyDescent="0.25">
      <c r="A763">
        <v>800</v>
      </c>
      <c r="B763">
        <v>17.28</v>
      </c>
      <c r="C763" t="s">
        <v>14</v>
      </c>
      <c r="D763" t="s">
        <v>17</v>
      </c>
      <c r="E763">
        <v>300</v>
      </c>
      <c r="F763">
        <v>45.5</v>
      </c>
      <c r="G763">
        <v>4.3899999999999997</v>
      </c>
      <c r="H763">
        <v>0.91</v>
      </c>
      <c r="I763">
        <v>5.27</v>
      </c>
      <c r="J763">
        <v>3</v>
      </c>
      <c r="K763" t="s">
        <v>23</v>
      </c>
    </row>
    <row r="764" spans="1:11" x14ac:dyDescent="0.25">
      <c r="A764">
        <v>150</v>
      </c>
      <c r="B764">
        <v>6.29</v>
      </c>
      <c r="C764" t="s">
        <v>21</v>
      </c>
      <c r="D764" t="s">
        <v>18</v>
      </c>
      <c r="E764">
        <v>1500</v>
      </c>
      <c r="F764">
        <v>-2.9</v>
      </c>
      <c r="G764">
        <v>10.56</v>
      </c>
      <c r="H764">
        <v>0.23</v>
      </c>
      <c r="I764">
        <v>3.66</v>
      </c>
      <c r="J764">
        <v>23</v>
      </c>
      <c r="K764" t="s">
        <v>23</v>
      </c>
    </row>
    <row r="765" spans="1:11" x14ac:dyDescent="0.25">
      <c r="A765">
        <v>300</v>
      </c>
      <c r="B765">
        <v>17.170000000000002</v>
      </c>
      <c r="C765" t="s">
        <v>21</v>
      </c>
      <c r="D765" t="s">
        <v>15</v>
      </c>
      <c r="E765">
        <v>2500</v>
      </c>
      <c r="F765">
        <v>46.2</v>
      </c>
      <c r="G765">
        <v>8.3800000000000008</v>
      </c>
      <c r="H765">
        <v>4.7</v>
      </c>
      <c r="I765">
        <v>27.37</v>
      </c>
      <c r="J765">
        <v>11</v>
      </c>
      <c r="K765" t="s">
        <v>13</v>
      </c>
    </row>
    <row r="766" spans="1:11" x14ac:dyDescent="0.25">
      <c r="A766">
        <v>400</v>
      </c>
      <c r="B766">
        <v>11.98</v>
      </c>
      <c r="C766" t="s">
        <v>11</v>
      </c>
      <c r="D766" t="s">
        <v>12</v>
      </c>
      <c r="E766">
        <v>300</v>
      </c>
      <c r="F766">
        <v>-44.1</v>
      </c>
      <c r="G766">
        <v>16.96</v>
      </c>
      <c r="H766">
        <v>1.54</v>
      </c>
      <c r="I766">
        <v>12.85</v>
      </c>
      <c r="J766">
        <v>8</v>
      </c>
      <c r="K766" t="s">
        <v>23</v>
      </c>
    </row>
    <row r="767" spans="1:11" x14ac:dyDescent="0.25">
      <c r="A767">
        <v>250</v>
      </c>
      <c r="B767">
        <v>8.74</v>
      </c>
      <c r="C767" t="s">
        <v>11</v>
      </c>
      <c r="D767" t="s">
        <v>12</v>
      </c>
      <c r="E767">
        <v>2500</v>
      </c>
      <c r="F767">
        <v>22.6</v>
      </c>
      <c r="G767">
        <v>3.9</v>
      </c>
      <c r="H767">
        <v>4.41</v>
      </c>
      <c r="I767">
        <v>50.46</v>
      </c>
      <c r="J767">
        <v>19</v>
      </c>
      <c r="K767" t="s">
        <v>13</v>
      </c>
    </row>
    <row r="768" spans="1:11" x14ac:dyDescent="0.25">
      <c r="A768">
        <v>200</v>
      </c>
      <c r="B768">
        <v>10.26</v>
      </c>
      <c r="C768" t="s">
        <v>22</v>
      </c>
      <c r="D768" t="s">
        <v>12</v>
      </c>
      <c r="E768">
        <v>600</v>
      </c>
      <c r="F768">
        <v>24.1</v>
      </c>
      <c r="G768">
        <v>11.01</v>
      </c>
      <c r="H768">
        <v>0.12</v>
      </c>
      <c r="I768">
        <v>1.17</v>
      </c>
      <c r="J768">
        <v>24</v>
      </c>
      <c r="K768" t="s">
        <v>23</v>
      </c>
    </row>
    <row r="769" spans="1:11" x14ac:dyDescent="0.25">
      <c r="A769">
        <v>500</v>
      </c>
      <c r="B769">
        <v>23.22</v>
      </c>
      <c r="C769" t="s">
        <v>14</v>
      </c>
      <c r="D769" t="s">
        <v>12</v>
      </c>
      <c r="E769">
        <v>900</v>
      </c>
      <c r="F769">
        <v>46.8</v>
      </c>
      <c r="G769">
        <v>13.79</v>
      </c>
      <c r="H769">
        <v>3.08</v>
      </c>
      <c r="I769">
        <v>13.26</v>
      </c>
      <c r="J769">
        <v>18</v>
      </c>
      <c r="K769" t="s">
        <v>13</v>
      </c>
    </row>
    <row r="770" spans="1:11" x14ac:dyDescent="0.25">
      <c r="A770">
        <v>500</v>
      </c>
      <c r="B770">
        <v>13.5</v>
      </c>
      <c r="C770" t="s">
        <v>14</v>
      </c>
      <c r="D770" t="s">
        <v>18</v>
      </c>
      <c r="E770">
        <v>300</v>
      </c>
      <c r="F770">
        <v>-10.1</v>
      </c>
      <c r="G770">
        <v>9.9</v>
      </c>
      <c r="H770">
        <v>5.45</v>
      </c>
      <c r="I770">
        <v>40.369999999999997</v>
      </c>
      <c r="J770">
        <v>25</v>
      </c>
      <c r="K770" t="s">
        <v>16</v>
      </c>
    </row>
    <row r="771" spans="1:11" x14ac:dyDescent="0.25">
      <c r="A771">
        <v>250</v>
      </c>
      <c r="B771">
        <v>8.83</v>
      </c>
      <c r="C771" t="s">
        <v>21</v>
      </c>
      <c r="D771" t="s">
        <v>12</v>
      </c>
      <c r="E771">
        <v>2500</v>
      </c>
      <c r="F771">
        <v>80.099999999999994</v>
      </c>
      <c r="G771">
        <v>4.16</v>
      </c>
      <c r="H771">
        <v>2.2200000000000002</v>
      </c>
      <c r="I771">
        <v>25.14</v>
      </c>
      <c r="J771">
        <v>20</v>
      </c>
      <c r="K771" t="s">
        <v>13</v>
      </c>
    </row>
    <row r="772" spans="1:11" x14ac:dyDescent="0.25">
      <c r="A772">
        <v>100</v>
      </c>
      <c r="B772">
        <v>6.22</v>
      </c>
      <c r="C772" t="s">
        <v>21</v>
      </c>
      <c r="D772" t="s">
        <v>18</v>
      </c>
      <c r="E772">
        <v>1500</v>
      </c>
      <c r="F772">
        <v>48.5</v>
      </c>
      <c r="G772">
        <v>6.68</v>
      </c>
      <c r="H772">
        <v>4.13</v>
      </c>
      <c r="I772">
        <v>66.400000000000006</v>
      </c>
      <c r="J772">
        <v>21</v>
      </c>
      <c r="K772" t="s">
        <v>13</v>
      </c>
    </row>
    <row r="773" spans="1:11" x14ac:dyDescent="0.25">
      <c r="A773">
        <v>50</v>
      </c>
      <c r="B773">
        <v>4.59</v>
      </c>
      <c r="C773" t="s">
        <v>22</v>
      </c>
      <c r="D773" t="s">
        <v>20</v>
      </c>
      <c r="E773">
        <v>600</v>
      </c>
      <c r="F773">
        <v>53</v>
      </c>
      <c r="G773">
        <v>19.59</v>
      </c>
      <c r="H773">
        <v>9.6199999999999992</v>
      </c>
      <c r="I773">
        <v>209.59</v>
      </c>
      <c r="J773">
        <v>1</v>
      </c>
      <c r="K773" t="s">
        <v>16</v>
      </c>
    </row>
    <row r="774" spans="1:11" x14ac:dyDescent="0.25">
      <c r="A774">
        <v>250</v>
      </c>
      <c r="B774">
        <v>13.97</v>
      </c>
      <c r="C774" t="s">
        <v>21</v>
      </c>
      <c r="D774" t="s">
        <v>12</v>
      </c>
      <c r="E774">
        <v>2500</v>
      </c>
      <c r="F774">
        <v>91.2</v>
      </c>
      <c r="G774">
        <v>6.08</v>
      </c>
      <c r="H774">
        <v>2.31</v>
      </c>
      <c r="I774">
        <v>16.54</v>
      </c>
      <c r="J774">
        <v>15</v>
      </c>
      <c r="K774" t="s">
        <v>13</v>
      </c>
    </row>
    <row r="775" spans="1:11" x14ac:dyDescent="0.25">
      <c r="A775">
        <v>250</v>
      </c>
      <c r="B775">
        <v>7.81</v>
      </c>
      <c r="C775" t="s">
        <v>22</v>
      </c>
      <c r="D775" t="s">
        <v>15</v>
      </c>
      <c r="E775">
        <v>2500</v>
      </c>
      <c r="F775">
        <v>0.2</v>
      </c>
      <c r="G775">
        <v>4.22</v>
      </c>
      <c r="H775">
        <v>8.43</v>
      </c>
      <c r="I775">
        <v>107.94</v>
      </c>
      <c r="J775">
        <v>20</v>
      </c>
      <c r="K775" t="s">
        <v>16</v>
      </c>
    </row>
    <row r="776" spans="1:11" x14ac:dyDescent="0.25">
      <c r="A776">
        <v>500</v>
      </c>
      <c r="B776">
        <v>17.25</v>
      </c>
      <c r="C776" t="s">
        <v>21</v>
      </c>
      <c r="D776" t="s">
        <v>17</v>
      </c>
      <c r="E776">
        <v>900</v>
      </c>
      <c r="F776">
        <v>115.9</v>
      </c>
      <c r="G776">
        <v>3.95</v>
      </c>
      <c r="H776">
        <v>3.41</v>
      </c>
      <c r="I776">
        <v>19.77</v>
      </c>
      <c r="J776">
        <v>3</v>
      </c>
      <c r="K776" t="s">
        <v>13</v>
      </c>
    </row>
    <row r="777" spans="1:11" x14ac:dyDescent="0.25">
      <c r="A777">
        <v>1500</v>
      </c>
      <c r="B777">
        <v>38.44</v>
      </c>
      <c r="C777" t="s">
        <v>19</v>
      </c>
      <c r="D777" t="s">
        <v>17</v>
      </c>
      <c r="E777">
        <v>2500</v>
      </c>
      <c r="F777">
        <v>84.5</v>
      </c>
      <c r="G777">
        <v>19.2</v>
      </c>
      <c r="H777">
        <v>7.43</v>
      </c>
      <c r="I777">
        <v>19.329999999999998</v>
      </c>
      <c r="J777">
        <v>15</v>
      </c>
      <c r="K777" t="s">
        <v>16</v>
      </c>
    </row>
    <row r="778" spans="1:11" x14ac:dyDescent="0.25">
      <c r="A778">
        <v>1000</v>
      </c>
      <c r="B778">
        <v>19.27</v>
      </c>
      <c r="C778" t="s">
        <v>11</v>
      </c>
      <c r="D778" t="s">
        <v>20</v>
      </c>
      <c r="E778">
        <v>1500</v>
      </c>
      <c r="F778">
        <v>14.9</v>
      </c>
      <c r="G778">
        <v>1.18</v>
      </c>
      <c r="H778">
        <v>5.13</v>
      </c>
      <c r="I778">
        <v>26.62</v>
      </c>
      <c r="J778">
        <v>11</v>
      </c>
      <c r="K778" t="s">
        <v>16</v>
      </c>
    </row>
    <row r="779" spans="1:11" x14ac:dyDescent="0.25">
      <c r="A779">
        <v>600</v>
      </c>
      <c r="B779">
        <v>27.65</v>
      </c>
      <c r="C779" t="s">
        <v>11</v>
      </c>
      <c r="D779" t="s">
        <v>17</v>
      </c>
      <c r="E779">
        <v>1500</v>
      </c>
      <c r="F779">
        <v>59.7</v>
      </c>
      <c r="G779">
        <v>15.54</v>
      </c>
      <c r="H779">
        <v>7.65</v>
      </c>
      <c r="I779">
        <v>27.67</v>
      </c>
      <c r="J779">
        <v>14</v>
      </c>
      <c r="K779" t="s">
        <v>16</v>
      </c>
    </row>
    <row r="780" spans="1:11" x14ac:dyDescent="0.25">
      <c r="A780">
        <v>250</v>
      </c>
      <c r="B780">
        <v>10.91</v>
      </c>
      <c r="C780" t="s">
        <v>21</v>
      </c>
      <c r="D780" t="s">
        <v>12</v>
      </c>
      <c r="E780">
        <v>600</v>
      </c>
      <c r="F780">
        <v>101</v>
      </c>
      <c r="G780">
        <v>16.72</v>
      </c>
      <c r="H780">
        <v>3.49</v>
      </c>
      <c r="I780">
        <v>31.99</v>
      </c>
      <c r="J780">
        <v>21</v>
      </c>
      <c r="K780" t="s">
        <v>13</v>
      </c>
    </row>
    <row r="781" spans="1:11" x14ac:dyDescent="0.25">
      <c r="A781">
        <v>250</v>
      </c>
      <c r="B781">
        <v>8.36</v>
      </c>
      <c r="C781" t="s">
        <v>11</v>
      </c>
      <c r="D781" t="s">
        <v>17</v>
      </c>
      <c r="E781">
        <v>2500</v>
      </c>
      <c r="F781">
        <v>13.4</v>
      </c>
      <c r="G781">
        <v>0.78</v>
      </c>
      <c r="H781">
        <v>2.6</v>
      </c>
      <c r="I781">
        <v>31.1</v>
      </c>
      <c r="J781">
        <v>14</v>
      </c>
      <c r="K781" t="s">
        <v>13</v>
      </c>
    </row>
    <row r="782" spans="1:11" x14ac:dyDescent="0.25">
      <c r="A782">
        <v>1200</v>
      </c>
      <c r="B782">
        <v>39.82</v>
      </c>
      <c r="C782" t="s">
        <v>14</v>
      </c>
      <c r="D782" t="s">
        <v>18</v>
      </c>
      <c r="E782">
        <v>150</v>
      </c>
      <c r="F782">
        <v>85.1</v>
      </c>
      <c r="G782">
        <v>3.94</v>
      </c>
      <c r="H782">
        <v>8.5</v>
      </c>
      <c r="I782">
        <v>21.35</v>
      </c>
      <c r="J782">
        <v>8</v>
      </c>
      <c r="K782" t="s">
        <v>16</v>
      </c>
    </row>
    <row r="783" spans="1:11" x14ac:dyDescent="0.25">
      <c r="A783">
        <v>1200</v>
      </c>
      <c r="B783">
        <v>29.76</v>
      </c>
      <c r="C783" t="s">
        <v>19</v>
      </c>
      <c r="D783" t="s">
        <v>12</v>
      </c>
      <c r="E783">
        <v>1500</v>
      </c>
      <c r="F783">
        <v>26.7</v>
      </c>
      <c r="G783">
        <v>2.75</v>
      </c>
      <c r="H783">
        <v>9.7100000000000009</v>
      </c>
      <c r="I783">
        <v>32.630000000000003</v>
      </c>
      <c r="J783">
        <v>14</v>
      </c>
      <c r="K783" t="s">
        <v>16</v>
      </c>
    </row>
    <row r="784" spans="1:11" x14ac:dyDescent="0.25">
      <c r="A784">
        <v>250</v>
      </c>
      <c r="B784">
        <v>14.25</v>
      </c>
      <c r="C784" t="s">
        <v>21</v>
      </c>
      <c r="D784" t="s">
        <v>15</v>
      </c>
      <c r="E784">
        <v>600</v>
      </c>
      <c r="F784">
        <v>78.3</v>
      </c>
      <c r="G784">
        <v>8.49</v>
      </c>
      <c r="H784">
        <v>4.82</v>
      </c>
      <c r="I784">
        <v>33.82</v>
      </c>
      <c r="J784">
        <v>11</v>
      </c>
      <c r="K784" t="s">
        <v>13</v>
      </c>
    </row>
    <row r="785" spans="1:11" x14ac:dyDescent="0.25">
      <c r="A785">
        <v>100</v>
      </c>
      <c r="B785">
        <v>7.2</v>
      </c>
      <c r="C785" t="s">
        <v>14</v>
      </c>
      <c r="D785" t="s">
        <v>17</v>
      </c>
      <c r="E785">
        <v>300</v>
      </c>
      <c r="F785">
        <v>56</v>
      </c>
      <c r="G785">
        <v>4.5199999999999996</v>
      </c>
      <c r="H785">
        <v>2.54</v>
      </c>
      <c r="I785">
        <v>35.28</v>
      </c>
      <c r="J785">
        <v>11</v>
      </c>
      <c r="K785" t="s">
        <v>13</v>
      </c>
    </row>
    <row r="786" spans="1:11" x14ac:dyDescent="0.25">
      <c r="A786">
        <v>200</v>
      </c>
      <c r="B786">
        <v>6</v>
      </c>
      <c r="C786" t="s">
        <v>11</v>
      </c>
      <c r="D786" t="s">
        <v>12</v>
      </c>
      <c r="E786">
        <v>2500</v>
      </c>
      <c r="F786">
        <v>54.9</v>
      </c>
      <c r="G786">
        <v>6.59</v>
      </c>
      <c r="H786">
        <v>2.97</v>
      </c>
      <c r="I786">
        <v>49.5</v>
      </c>
      <c r="J786">
        <v>3</v>
      </c>
      <c r="K786" t="s">
        <v>13</v>
      </c>
    </row>
    <row r="787" spans="1:11" x14ac:dyDescent="0.25">
      <c r="A787">
        <v>150</v>
      </c>
      <c r="B787">
        <v>7.85</v>
      </c>
      <c r="C787" t="s">
        <v>22</v>
      </c>
      <c r="D787" t="s">
        <v>20</v>
      </c>
      <c r="E787">
        <v>1500</v>
      </c>
      <c r="F787">
        <v>80.3</v>
      </c>
      <c r="G787">
        <v>13.23</v>
      </c>
      <c r="H787">
        <v>4.91</v>
      </c>
      <c r="I787">
        <v>62.55</v>
      </c>
      <c r="J787">
        <v>13</v>
      </c>
      <c r="K787" t="s">
        <v>13</v>
      </c>
    </row>
    <row r="788" spans="1:11" x14ac:dyDescent="0.25">
      <c r="A788">
        <v>200</v>
      </c>
      <c r="B788">
        <v>6.59</v>
      </c>
      <c r="C788" t="s">
        <v>22</v>
      </c>
      <c r="D788" t="s">
        <v>18</v>
      </c>
      <c r="E788">
        <v>900</v>
      </c>
      <c r="F788">
        <v>21.4</v>
      </c>
      <c r="G788">
        <v>12.65</v>
      </c>
      <c r="H788">
        <v>1.39</v>
      </c>
      <c r="I788">
        <v>21.09</v>
      </c>
      <c r="J788">
        <v>17</v>
      </c>
      <c r="K788" t="s">
        <v>23</v>
      </c>
    </row>
    <row r="789" spans="1:11" x14ac:dyDescent="0.25">
      <c r="A789">
        <v>1500</v>
      </c>
      <c r="B789">
        <v>23.28</v>
      </c>
      <c r="C789" t="s">
        <v>14</v>
      </c>
      <c r="D789" t="s">
        <v>20</v>
      </c>
      <c r="E789">
        <v>300</v>
      </c>
      <c r="F789">
        <v>55.9</v>
      </c>
      <c r="G789">
        <v>7.31</v>
      </c>
      <c r="H789">
        <v>3.44</v>
      </c>
      <c r="I789">
        <v>14.78</v>
      </c>
      <c r="J789">
        <v>24</v>
      </c>
      <c r="K789" t="s">
        <v>13</v>
      </c>
    </row>
    <row r="790" spans="1:11" x14ac:dyDescent="0.25">
      <c r="A790">
        <v>200</v>
      </c>
      <c r="B790">
        <v>8.9499999999999993</v>
      </c>
      <c r="C790" t="s">
        <v>21</v>
      </c>
      <c r="D790" t="s">
        <v>15</v>
      </c>
      <c r="E790">
        <v>2500</v>
      </c>
      <c r="F790">
        <v>-14.8</v>
      </c>
      <c r="G790">
        <v>7.22</v>
      </c>
      <c r="H790">
        <v>4.9000000000000004</v>
      </c>
      <c r="I790">
        <v>54.75</v>
      </c>
      <c r="J790">
        <v>20</v>
      </c>
      <c r="K790" t="s">
        <v>13</v>
      </c>
    </row>
    <row r="791" spans="1:11" x14ac:dyDescent="0.25">
      <c r="A791">
        <v>500</v>
      </c>
      <c r="B791">
        <v>23.11</v>
      </c>
      <c r="C791" t="s">
        <v>11</v>
      </c>
      <c r="D791" t="s">
        <v>20</v>
      </c>
      <c r="E791">
        <v>900</v>
      </c>
      <c r="F791">
        <v>-25.8</v>
      </c>
      <c r="G791">
        <v>0.55000000000000004</v>
      </c>
      <c r="H791">
        <v>7.04</v>
      </c>
      <c r="I791">
        <v>30.46</v>
      </c>
      <c r="J791">
        <v>19</v>
      </c>
      <c r="K791" t="s">
        <v>16</v>
      </c>
    </row>
    <row r="792" spans="1:11" x14ac:dyDescent="0.25">
      <c r="A792">
        <v>250</v>
      </c>
      <c r="B792">
        <v>7.67</v>
      </c>
      <c r="C792" t="s">
        <v>11</v>
      </c>
      <c r="D792" t="s">
        <v>12</v>
      </c>
      <c r="E792">
        <v>300</v>
      </c>
      <c r="F792">
        <v>17</v>
      </c>
      <c r="G792">
        <v>13.07</v>
      </c>
      <c r="H792">
        <v>4.5599999999999996</v>
      </c>
      <c r="I792">
        <v>59.45</v>
      </c>
      <c r="J792">
        <v>14</v>
      </c>
      <c r="K792" t="s">
        <v>13</v>
      </c>
    </row>
    <row r="793" spans="1:11" x14ac:dyDescent="0.25">
      <c r="A793">
        <v>100</v>
      </c>
      <c r="B793">
        <v>5.1100000000000003</v>
      </c>
      <c r="C793" t="s">
        <v>14</v>
      </c>
      <c r="D793" t="s">
        <v>18</v>
      </c>
      <c r="E793">
        <v>300</v>
      </c>
      <c r="F793">
        <v>29.8</v>
      </c>
      <c r="G793">
        <v>9.35</v>
      </c>
      <c r="H793">
        <v>8.5399999999999991</v>
      </c>
      <c r="I793">
        <v>167.12</v>
      </c>
      <c r="J793">
        <v>12</v>
      </c>
      <c r="K793" t="s">
        <v>16</v>
      </c>
    </row>
    <row r="794" spans="1:11" x14ac:dyDescent="0.25">
      <c r="A794">
        <v>150</v>
      </c>
      <c r="B794">
        <v>5.98</v>
      </c>
      <c r="C794" t="s">
        <v>11</v>
      </c>
      <c r="D794" t="s">
        <v>12</v>
      </c>
      <c r="E794">
        <v>150</v>
      </c>
      <c r="F794">
        <v>30</v>
      </c>
      <c r="G794">
        <v>16</v>
      </c>
      <c r="H794">
        <v>8.4700000000000006</v>
      </c>
      <c r="I794">
        <v>141.63999999999999</v>
      </c>
      <c r="J794">
        <v>2</v>
      </c>
      <c r="K794" t="s">
        <v>16</v>
      </c>
    </row>
    <row r="795" spans="1:11" x14ac:dyDescent="0.25">
      <c r="A795">
        <v>500</v>
      </c>
      <c r="B795">
        <v>11.8</v>
      </c>
      <c r="C795" t="s">
        <v>22</v>
      </c>
      <c r="D795" t="s">
        <v>18</v>
      </c>
      <c r="E795">
        <v>1500</v>
      </c>
      <c r="F795">
        <v>9</v>
      </c>
      <c r="G795">
        <v>4.58</v>
      </c>
      <c r="H795">
        <v>7.75</v>
      </c>
      <c r="I795">
        <v>65.680000000000007</v>
      </c>
      <c r="J795">
        <v>7</v>
      </c>
      <c r="K795" t="s">
        <v>16</v>
      </c>
    </row>
    <row r="796" spans="1:11" x14ac:dyDescent="0.25">
      <c r="A796">
        <v>100</v>
      </c>
      <c r="B796">
        <v>7.56</v>
      </c>
      <c r="C796" t="s">
        <v>14</v>
      </c>
      <c r="D796" t="s">
        <v>15</v>
      </c>
      <c r="E796">
        <v>150</v>
      </c>
      <c r="F796">
        <v>38.4</v>
      </c>
      <c r="G796">
        <v>9.0500000000000007</v>
      </c>
      <c r="H796">
        <v>2.2200000000000002</v>
      </c>
      <c r="I796">
        <v>29.37</v>
      </c>
      <c r="J796">
        <v>25</v>
      </c>
      <c r="K796" t="s">
        <v>13</v>
      </c>
    </row>
    <row r="797" spans="1:11" x14ac:dyDescent="0.25">
      <c r="A797">
        <v>250</v>
      </c>
      <c r="B797">
        <v>12.07</v>
      </c>
      <c r="C797" t="s">
        <v>19</v>
      </c>
      <c r="D797" t="s">
        <v>17</v>
      </c>
      <c r="E797">
        <v>600</v>
      </c>
      <c r="F797">
        <v>5.4</v>
      </c>
      <c r="G797">
        <v>2.33</v>
      </c>
      <c r="H797">
        <v>9.1999999999999993</v>
      </c>
      <c r="I797">
        <v>76.22</v>
      </c>
      <c r="J797">
        <v>17</v>
      </c>
      <c r="K797" t="s">
        <v>16</v>
      </c>
    </row>
    <row r="798" spans="1:11" x14ac:dyDescent="0.25">
      <c r="A798">
        <v>400</v>
      </c>
      <c r="B798">
        <v>15.86</v>
      </c>
      <c r="C798" t="s">
        <v>11</v>
      </c>
      <c r="D798" t="s">
        <v>12</v>
      </c>
      <c r="E798">
        <v>150</v>
      </c>
      <c r="F798">
        <v>24</v>
      </c>
      <c r="G798">
        <v>1.32</v>
      </c>
      <c r="H798">
        <v>1.06</v>
      </c>
      <c r="I798">
        <v>6.68</v>
      </c>
      <c r="J798">
        <v>1</v>
      </c>
      <c r="K798" t="s">
        <v>23</v>
      </c>
    </row>
    <row r="799" spans="1:11" x14ac:dyDescent="0.25">
      <c r="A799">
        <v>150</v>
      </c>
      <c r="B799">
        <v>5.86</v>
      </c>
      <c r="C799" t="s">
        <v>14</v>
      </c>
      <c r="D799" t="s">
        <v>12</v>
      </c>
      <c r="E799">
        <v>900</v>
      </c>
      <c r="F799">
        <v>-9</v>
      </c>
      <c r="G799">
        <v>1.97</v>
      </c>
      <c r="H799">
        <v>4.22</v>
      </c>
      <c r="I799">
        <v>72.010000000000005</v>
      </c>
      <c r="J799">
        <v>7</v>
      </c>
      <c r="K799" t="s">
        <v>13</v>
      </c>
    </row>
    <row r="800" spans="1:11" x14ac:dyDescent="0.25">
      <c r="A800">
        <v>250</v>
      </c>
      <c r="B800">
        <v>10.98</v>
      </c>
      <c r="C800" t="s">
        <v>11</v>
      </c>
      <c r="D800" t="s">
        <v>17</v>
      </c>
      <c r="E800">
        <v>300</v>
      </c>
      <c r="F800">
        <v>-13</v>
      </c>
      <c r="G800">
        <v>8.3000000000000007</v>
      </c>
      <c r="H800">
        <v>5.05</v>
      </c>
      <c r="I800">
        <v>45.99</v>
      </c>
      <c r="J800">
        <v>23</v>
      </c>
      <c r="K800" t="s">
        <v>16</v>
      </c>
    </row>
    <row r="801" spans="1:11" x14ac:dyDescent="0.25">
      <c r="A801">
        <v>1000</v>
      </c>
      <c r="B801">
        <v>20.36</v>
      </c>
      <c r="C801" t="s">
        <v>22</v>
      </c>
      <c r="D801" t="s">
        <v>18</v>
      </c>
      <c r="E801">
        <v>600</v>
      </c>
      <c r="F801">
        <v>73.400000000000006</v>
      </c>
      <c r="G801">
        <v>9.77</v>
      </c>
      <c r="H801">
        <v>5.07</v>
      </c>
      <c r="I801">
        <v>24.9</v>
      </c>
      <c r="J801">
        <v>20</v>
      </c>
      <c r="K801" t="s">
        <v>16</v>
      </c>
    </row>
    <row r="802" spans="1:11" x14ac:dyDescent="0.25">
      <c r="A802">
        <v>300</v>
      </c>
      <c r="B802">
        <v>9.5</v>
      </c>
      <c r="C802" t="s">
        <v>11</v>
      </c>
      <c r="D802" t="s">
        <v>18</v>
      </c>
      <c r="E802">
        <v>1500</v>
      </c>
      <c r="F802">
        <v>63.9</v>
      </c>
      <c r="G802">
        <v>1.68</v>
      </c>
      <c r="H802">
        <v>1.77</v>
      </c>
      <c r="I802">
        <v>18.63</v>
      </c>
      <c r="J802">
        <v>20</v>
      </c>
      <c r="K802" t="s">
        <v>23</v>
      </c>
    </row>
    <row r="803" spans="1:11" x14ac:dyDescent="0.25">
      <c r="A803">
        <v>250</v>
      </c>
      <c r="B803">
        <v>11.93</v>
      </c>
      <c r="C803" t="s">
        <v>22</v>
      </c>
      <c r="D803" t="s">
        <v>12</v>
      </c>
      <c r="E803">
        <v>900</v>
      </c>
      <c r="F803">
        <v>-1.5</v>
      </c>
      <c r="G803">
        <v>13.99</v>
      </c>
      <c r="H803">
        <v>9.0500000000000007</v>
      </c>
      <c r="I803">
        <v>75.86</v>
      </c>
      <c r="J803">
        <v>1</v>
      </c>
      <c r="K803" t="s">
        <v>16</v>
      </c>
    </row>
    <row r="804" spans="1:11" x14ac:dyDescent="0.25">
      <c r="A804">
        <v>100</v>
      </c>
      <c r="B804">
        <v>6.48</v>
      </c>
      <c r="C804" t="s">
        <v>11</v>
      </c>
      <c r="D804" t="s">
        <v>15</v>
      </c>
      <c r="E804">
        <v>1500</v>
      </c>
      <c r="F804">
        <v>25.2</v>
      </c>
      <c r="G804">
        <v>19.86</v>
      </c>
      <c r="H804">
        <v>0.84</v>
      </c>
      <c r="I804">
        <v>12.96</v>
      </c>
      <c r="J804">
        <v>3</v>
      </c>
      <c r="K804" t="s">
        <v>23</v>
      </c>
    </row>
    <row r="805" spans="1:11" x14ac:dyDescent="0.25">
      <c r="A805">
        <v>1500</v>
      </c>
      <c r="B805">
        <v>32.42</v>
      </c>
      <c r="C805" t="s">
        <v>11</v>
      </c>
      <c r="D805" t="s">
        <v>12</v>
      </c>
      <c r="E805">
        <v>2500</v>
      </c>
      <c r="F805">
        <v>52.5</v>
      </c>
      <c r="G805">
        <v>14.33</v>
      </c>
      <c r="H805">
        <v>0.35</v>
      </c>
      <c r="I805">
        <v>1.08</v>
      </c>
      <c r="J805">
        <v>9</v>
      </c>
      <c r="K805" t="s">
        <v>23</v>
      </c>
    </row>
    <row r="806" spans="1:11" x14ac:dyDescent="0.25">
      <c r="A806">
        <v>50</v>
      </c>
      <c r="B806">
        <v>5.91</v>
      </c>
      <c r="C806" t="s">
        <v>22</v>
      </c>
      <c r="D806" t="s">
        <v>12</v>
      </c>
      <c r="E806">
        <v>1500</v>
      </c>
      <c r="F806">
        <v>69.5</v>
      </c>
      <c r="G806">
        <v>12.51</v>
      </c>
      <c r="H806">
        <v>2.88</v>
      </c>
      <c r="I806">
        <v>48.73</v>
      </c>
      <c r="J806">
        <v>3</v>
      </c>
      <c r="K806" t="s">
        <v>13</v>
      </c>
    </row>
    <row r="807" spans="1:11" x14ac:dyDescent="0.25">
      <c r="A807">
        <v>1200</v>
      </c>
      <c r="B807">
        <v>38.4</v>
      </c>
      <c r="C807" t="s">
        <v>11</v>
      </c>
      <c r="D807" t="s">
        <v>15</v>
      </c>
      <c r="E807">
        <v>150</v>
      </c>
      <c r="F807">
        <v>55.4</v>
      </c>
      <c r="G807">
        <v>4.88</v>
      </c>
      <c r="H807">
        <v>5.01</v>
      </c>
      <c r="I807">
        <v>13.05</v>
      </c>
      <c r="J807">
        <v>4</v>
      </c>
      <c r="K807" t="s">
        <v>16</v>
      </c>
    </row>
    <row r="808" spans="1:11" x14ac:dyDescent="0.25">
      <c r="A808">
        <v>400</v>
      </c>
      <c r="B808">
        <v>17.670000000000002</v>
      </c>
      <c r="C808" t="s">
        <v>22</v>
      </c>
      <c r="D808" t="s">
        <v>20</v>
      </c>
      <c r="E808">
        <v>1500</v>
      </c>
      <c r="F808">
        <v>93.7</v>
      </c>
      <c r="G808">
        <v>2.4300000000000002</v>
      </c>
      <c r="H808">
        <v>4.28</v>
      </c>
      <c r="I808">
        <v>24.22</v>
      </c>
      <c r="J808">
        <v>16</v>
      </c>
      <c r="K808" t="s">
        <v>13</v>
      </c>
    </row>
    <row r="809" spans="1:11" x14ac:dyDescent="0.25">
      <c r="A809">
        <v>1500</v>
      </c>
      <c r="B809">
        <v>32.43</v>
      </c>
      <c r="C809" t="s">
        <v>11</v>
      </c>
      <c r="D809" t="s">
        <v>18</v>
      </c>
      <c r="E809">
        <v>1500</v>
      </c>
      <c r="F809">
        <v>74.099999999999994</v>
      </c>
      <c r="G809">
        <v>10.62</v>
      </c>
      <c r="H809">
        <v>5.41</v>
      </c>
      <c r="I809">
        <v>16.68</v>
      </c>
      <c r="J809">
        <v>10</v>
      </c>
      <c r="K809" t="s">
        <v>16</v>
      </c>
    </row>
    <row r="810" spans="1:11" x14ac:dyDescent="0.25">
      <c r="A810">
        <v>50</v>
      </c>
      <c r="B810">
        <v>5.77</v>
      </c>
      <c r="C810" t="s">
        <v>19</v>
      </c>
      <c r="D810" t="s">
        <v>15</v>
      </c>
      <c r="E810">
        <v>600</v>
      </c>
      <c r="F810">
        <v>145.9</v>
      </c>
      <c r="G810">
        <v>15.87</v>
      </c>
      <c r="H810">
        <v>3.71</v>
      </c>
      <c r="I810">
        <v>64.3</v>
      </c>
      <c r="J810">
        <v>17</v>
      </c>
      <c r="K810" t="s">
        <v>13</v>
      </c>
    </row>
    <row r="811" spans="1:11" x14ac:dyDescent="0.25">
      <c r="A811">
        <v>500</v>
      </c>
      <c r="B811">
        <v>24.6</v>
      </c>
      <c r="C811" t="s">
        <v>21</v>
      </c>
      <c r="D811" t="s">
        <v>12</v>
      </c>
      <c r="E811">
        <v>2500</v>
      </c>
      <c r="F811">
        <v>112.2</v>
      </c>
      <c r="G811">
        <v>3.86</v>
      </c>
      <c r="H811">
        <v>4.95</v>
      </c>
      <c r="I811">
        <v>20.12</v>
      </c>
      <c r="J811">
        <v>20</v>
      </c>
      <c r="K811" t="s">
        <v>13</v>
      </c>
    </row>
    <row r="812" spans="1:11" x14ac:dyDescent="0.25">
      <c r="A812">
        <v>1000</v>
      </c>
      <c r="B812">
        <v>17.02</v>
      </c>
      <c r="C812" t="s">
        <v>22</v>
      </c>
      <c r="D812" t="s">
        <v>18</v>
      </c>
      <c r="E812">
        <v>2500</v>
      </c>
      <c r="F812">
        <v>59.2</v>
      </c>
      <c r="G812">
        <v>12.76</v>
      </c>
      <c r="H812">
        <v>4.63</v>
      </c>
      <c r="I812">
        <v>27.2</v>
      </c>
      <c r="J812">
        <v>12</v>
      </c>
      <c r="K812" t="s">
        <v>13</v>
      </c>
    </row>
    <row r="813" spans="1:11" x14ac:dyDescent="0.25">
      <c r="A813">
        <v>500</v>
      </c>
      <c r="B813">
        <v>20.74</v>
      </c>
      <c r="C813" t="s">
        <v>21</v>
      </c>
      <c r="D813" t="s">
        <v>17</v>
      </c>
      <c r="E813">
        <v>900</v>
      </c>
      <c r="F813">
        <v>76.599999999999994</v>
      </c>
      <c r="G813">
        <v>8.08</v>
      </c>
      <c r="H813">
        <v>6.73</v>
      </c>
      <c r="I813">
        <v>32.450000000000003</v>
      </c>
      <c r="J813">
        <v>21</v>
      </c>
      <c r="K813" t="s">
        <v>16</v>
      </c>
    </row>
    <row r="814" spans="1:11" x14ac:dyDescent="0.25">
      <c r="A814">
        <v>50</v>
      </c>
      <c r="B814">
        <v>4.6399999999999997</v>
      </c>
      <c r="C814" t="s">
        <v>19</v>
      </c>
      <c r="D814" t="s">
        <v>15</v>
      </c>
      <c r="E814">
        <v>300</v>
      </c>
      <c r="F814">
        <v>43.9</v>
      </c>
      <c r="G814">
        <v>10.26</v>
      </c>
      <c r="H814">
        <v>6.19</v>
      </c>
      <c r="I814">
        <v>133.41</v>
      </c>
      <c r="J814">
        <v>12</v>
      </c>
      <c r="K814" t="s">
        <v>16</v>
      </c>
    </row>
    <row r="815" spans="1:11" x14ac:dyDescent="0.25">
      <c r="A815">
        <v>100</v>
      </c>
      <c r="B815">
        <v>7.34</v>
      </c>
      <c r="C815" t="s">
        <v>22</v>
      </c>
      <c r="D815" t="s">
        <v>17</v>
      </c>
      <c r="E815">
        <v>150</v>
      </c>
      <c r="F815">
        <v>43.4</v>
      </c>
      <c r="G815">
        <v>0.36</v>
      </c>
      <c r="H815">
        <v>5.22</v>
      </c>
      <c r="I815">
        <v>71.12</v>
      </c>
      <c r="J815">
        <v>6</v>
      </c>
      <c r="K815" t="s">
        <v>16</v>
      </c>
    </row>
    <row r="816" spans="1:11" x14ac:dyDescent="0.25">
      <c r="A816">
        <v>200</v>
      </c>
      <c r="B816">
        <v>7.11</v>
      </c>
      <c r="C816" t="s">
        <v>22</v>
      </c>
      <c r="D816" t="s">
        <v>18</v>
      </c>
      <c r="E816">
        <v>900</v>
      </c>
      <c r="F816">
        <v>82.3</v>
      </c>
      <c r="G816">
        <v>19.23</v>
      </c>
      <c r="H816">
        <v>9.02</v>
      </c>
      <c r="I816">
        <v>126.86</v>
      </c>
      <c r="J816">
        <v>8</v>
      </c>
      <c r="K816" t="s">
        <v>16</v>
      </c>
    </row>
    <row r="817" spans="1:11" x14ac:dyDescent="0.25">
      <c r="A817">
        <v>150</v>
      </c>
      <c r="B817">
        <v>8.14</v>
      </c>
      <c r="C817" t="s">
        <v>19</v>
      </c>
      <c r="D817" t="s">
        <v>17</v>
      </c>
      <c r="E817">
        <v>900</v>
      </c>
      <c r="F817">
        <v>49.4</v>
      </c>
      <c r="G817">
        <v>13.53</v>
      </c>
      <c r="H817">
        <v>1.68</v>
      </c>
      <c r="I817">
        <v>20.64</v>
      </c>
      <c r="J817">
        <v>18</v>
      </c>
      <c r="K817" t="s">
        <v>23</v>
      </c>
    </row>
    <row r="818" spans="1:11" x14ac:dyDescent="0.25">
      <c r="A818">
        <v>500</v>
      </c>
      <c r="B818">
        <v>20.14</v>
      </c>
      <c r="C818" t="s">
        <v>21</v>
      </c>
      <c r="D818" t="s">
        <v>12</v>
      </c>
      <c r="E818">
        <v>2500</v>
      </c>
      <c r="F818">
        <v>-41.4</v>
      </c>
      <c r="G818">
        <v>14.99</v>
      </c>
      <c r="H818">
        <v>7.22</v>
      </c>
      <c r="I818">
        <v>35.85</v>
      </c>
      <c r="J818">
        <v>4</v>
      </c>
      <c r="K818" t="s">
        <v>16</v>
      </c>
    </row>
    <row r="819" spans="1:11" x14ac:dyDescent="0.25">
      <c r="A819">
        <v>250</v>
      </c>
      <c r="B819">
        <v>7.07</v>
      </c>
      <c r="C819" t="s">
        <v>19</v>
      </c>
      <c r="D819" t="s">
        <v>18</v>
      </c>
      <c r="E819">
        <v>1500</v>
      </c>
      <c r="F819">
        <v>83</v>
      </c>
      <c r="G819">
        <v>0.67</v>
      </c>
      <c r="H819">
        <v>4.25</v>
      </c>
      <c r="I819">
        <v>60.11</v>
      </c>
      <c r="J819">
        <v>11</v>
      </c>
      <c r="K819" t="s">
        <v>13</v>
      </c>
    </row>
    <row r="820" spans="1:11" x14ac:dyDescent="0.25">
      <c r="A820">
        <v>1500</v>
      </c>
      <c r="B820">
        <v>39.119999999999997</v>
      </c>
      <c r="C820" t="s">
        <v>21</v>
      </c>
      <c r="D820" t="s">
        <v>17</v>
      </c>
      <c r="E820">
        <v>2500</v>
      </c>
      <c r="F820">
        <v>40.700000000000003</v>
      </c>
      <c r="G820">
        <v>2.54</v>
      </c>
      <c r="H820">
        <v>7.87</v>
      </c>
      <c r="I820">
        <v>20.12</v>
      </c>
      <c r="J820">
        <v>5</v>
      </c>
      <c r="K820" t="s">
        <v>16</v>
      </c>
    </row>
    <row r="821" spans="1:11" x14ac:dyDescent="0.25">
      <c r="A821">
        <v>250</v>
      </c>
      <c r="B821">
        <v>9.86</v>
      </c>
      <c r="C821" t="s">
        <v>19</v>
      </c>
      <c r="D821" t="s">
        <v>20</v>
      </c>
      <c r="E821">
        <v>600</v>
      </c>
      <c r="F821">
        <v>68.400000000000006</v>
      </c>
      <c r="G821">
        <v>7.98</v>
      </c>
      <c r="H821">
        <v>6.94</v>
      </c>
      <c r="I821">
        <v>70.39</v>
      </c>
      <c r="J821">
        <v>17</v>
      </c>
      <c r="K821" t="s">
        <v>16</v>
      </c>
    </row>
    <row r="822" spans="1:11" x14ac:dyDescent="0.25">
      <c r="A822">
        <v>1500</v>
      </c>
      <c r="B822">
        <v>29.64</v>
      </c>
      <c r="C822" t="s">
        <v>21</v>
      </c>
      <c r="D822" t="s">
        <v>18</v>
      </c>
      <c r="E822">
        <v>600</v>
      </c>
      <c r="F822">
        <v>9.4</v>
      </c>
      <c r="G822">
        <v>1.29</v>
      </c>
      <c r="H822">
        <v>8.14</v>
      </c>
      <c r="I822">
        <v>27.46</v>
      </c>
      <c r="J822">
        <v>8</v>
      </c>
      <c r="K822" t="s">
        <v>16</v>
      </c>
    </row>
    <row r="823" spans="1:11" x14ac:dyDescent="0.25">
      <c r="A823">
        <v>1000</v>
      </c>
      <c r="B823">
        <v>20.64</v>
      </c>
      <c r="C823" t="s">
        <v>21</v>
      </c>
      <c r="D823" t="s">
        <v>20</v>
      </c>
      <c r="E823">
        <v>150</v>
      </c>
      <c r="F823">
        <v>11.9</v>
      </c>
      <c r="G823">
        <v>15.55</v>
      </c>
      <c r="H823">
        <v>9.0299999999999994</v>
      </c>
      <c r="I823">
        <v>43.75</v>
      </c>
      <c r="J823">
        <v>24</v>
      </c>
      <c r="K823" t="s">
        <v>16</v>
      </c>
    </row>
    <row r="824" spans="1:11" x14ac:dyDescent="0.25">
      <c r="A824">
        <v>500</v>
      </c>
      <c r="B824">
        <v>10.34</v>
      </c>
      <c r="C824" t="s">
        <v>22</v>
      </c>
      <c r="D824" t="s">
        <v>17</v>
      </c>
      <c r="E824">
        <v>300</v>
      </c>
      <c r="F824">
        <v>84</v>
      </c>
      <c r="G824">
        <v>6.19</v>
      </c>
      <c r="H824">
        <v>9.7100000000000009</v>
      </c>
      <c r="I824">
        <v>93.91</v>
      </c>
      <c r="J824">
        <v>20</v>
      </c>
      <c r="K824" t="s">
        <v>16</v>
      </c>
    </row>
    <row r="825" spans="1:11" x14ac:dyDescent="0.25">
      <c r="A825">
        <v>1500</v>
      </c>
      <c r="B825">
        <v>44.48</v>
      </c>
      <c r="C825" t="s">
        <v>21</v>
      </c>
      <c r="D825" t="s">
        <v>17</v>
      </c>
      <c r="E825">
        <v>1500</v>
      </c>
      <c r="F825">
        <v>-29.6</v>
      </c>
      <c r="G825">
        <v>13.89</v>
      </c>
      <c r="H825">
        <v>0.34</v>
      </c>
      <c r="I825">
        <v>0.76</v>
      </c>
      <c r="J825">
        <v>16</v>
      </c>
      <c r="K825" t="s">
        <v>23</v>
      </c>
    </row>
    <row r="826" spans="1:11" x14ac:dyDescent="0.25">
      <c r="A826">
        <v>300</v>
      </c>
      <c r="B826">
        <v>16.190000000000001</v>
      </c>
      <c r="C826" t="s">
        <v>22</v>
      </c>
      <c r="D826" t="s">
        <v>18</v>
      </c>
      <c r="E826">
        <v>300</v>
      </c>
      <c r="F826">
        <v>7.5</v>
      </c>
      <c r="G826">
        <v>5.6</v>
      </c>
      <c r="H826">
        <v>3.21</v>
      </c>
      <c r="I826">
        <v>19.829999999999998</v>
      </c>
      <c r="J826">
        <v>22</v>
      </c>
      <c r="K826" t="s">
        <v>13</v>
      </c>
    </row>
    <row r="827" spans="1:11" x14ac:dyDescent="0.25">
      <c r="A827">
        <v>400</v>
      </c>
      <c r="B827">
        <v>10.36</v>
      </c>
      <c r="C827" t="s">
        <v>21</v>
      </c>
      <c r="D827" t="s">
        <v>17</v>
      </c>
      <c r="E827">
        <v>300</v>
      </c>
      <c r="F827">
        <v>47.7</v>
      </c>
      <c r="G827">
        <v>12.23</v>
      </c>
      <c r="H827">
        <v>8.44</v>
      </c>
      <c r="I827">
        <v>81.47</v>
      </c>
      <c r="J827">
        <v>1</v>
      </c>
      <c r="K827" t="s">
        <v>16</v>
      </c>
    </row>
    <row r="828" spans="1:11" x14ac:dyDescent="0.25">
      <c r="A828">
        <v>200</v>
      </c>
      <c r="B828">
        <v>11.25</v>
      </c>
      <c r="C828" t="s">
        <v>11</v>
      </c>
      <c r="D828" t="s">
        <v>20</v>
      </c>
      <c r="E828">
        <v>150</v>
      </c>
      <c r="F828">
        <v>49.9</v>
      </c>
      <c r="G828">
        <v>14.66</v>
      </c>
      <c r="H828">
        <v>0.79</v>
      </c>
      <c r="I828">
        <v>7.02</v>
      </c>
      <c r="J828">
        <v>21</v>
      </c>
      <c r="K828" t="s">
        <v>23</v>
      </c>
    </row>
    <row r="829" spans="1:11" x14ac:dyDescent="0.25">
      <c r="A829">
        <v>1500</v>
      </c>
      <c r="B829">
        <v>48.21</v>
      </c>
      <c r="C829" t="s">
        <v>19</v>
      </c>
      <c r="D829" t="s">
        <v>20</v>
      </c>
      <c r="E829">
        <v>300</v>
      </c>
      <c r="F829">
        <v>-7.8</v>
      </c>
      <c r="G829">
        <v>11.53</v>
      </c>
      <c r="H829">
        <v>4.54</v>
      </c>
      <c r="I829">
        <v>9.42</v>
      </c>
      <c r="J829">
        <v>2</v>
      </c>
      <c r="K829" t="s">
        <v>13</v>
      </c>
    </row>
    <row r="830" spans="1:11" x14ac:dyDescent="0.25">
      <c r="A830">
        <v>500</v>
      </c>
      <c r="B830">
        <v>24.71</v>
      </c>
      <c r="C830" t="s">
        <v>21</v>
      </c>
      <c r="D830" t="s">
        <v>15</v>
      </c>
      <c r="E830">
        <v>1500</v>
      </c>
      <c r="F830">
        <v>117</v>
      </c>
      <c r="G830">
        <v>15.95</v>
      </c>
      <c r="H830">
        <v>3.69</v>
      </c>
      <c r="I830">
        <v>14.93</v>
      </c>
      <c r="J830">
        <v>13</v>
      </c>
      <c r="K830" t="s">
        <v>13</v>
      </c>
    </row>
    <row r="831" spans="1:11" x14ac:dyDescent="0.25">
      <c r="A831">
        <v>800</v>
      </c>
      <c r="B831">
        <v>24.54</v>
      </c>
      <c r="C831" t="s">
        <v>19</v>
      </c>
      <c r="D831" t="s">
        <v>20</v>
      </c>
      <c r="E831">
        <v>600</v>
      </c>
      <c r="F831">
        <v>50.1</v>
      </c>
      <c r="G831">
        <v>17.02</v>
      </c>
      <c r="H831">
        <v>6.98</v>
      </c>
      <c r="I831">
        <v>28.44</v>
      </c>
      <c r="J831">
        <v>17</v>
      </c>
      <c r="K831" t="s">
        <v>16</v>
      </c>
    </row>
    <row r="832" spans="1:11" x14ac:dyDescent="0.25">
      <c r="A832">
        <v>250</v>
      </c>
      <c r="B832">
        <v>8.64</v>
      </c>
      <c r="C832" t="s">
        <v>11</v>
      </c>
      <c r="D832" t="s">
        <v>17</v>
      </c>
      <c r="E832">
        <v>1500</v>
      </c>
      <c r="F832">
        <v>21.6</v>
      </c>
      <c r="G832">
        <v>2.68</v>
      </c>
      <c r="H832">
        <v>3.21</v>
      </c>
      <c r="I832">
        <v>37.15</v>
      </c>
      <c r="J832">
        <v>20</v>
      </c>
      <c r="K832" t="s">
        <v>13</v>
      </c>
    </row>
    <row r="833" spans="1:11" x14ac:dyDescent="0.25">
      <c r="A833">
        <v>800</v>
      </c>
      <c r="B833">
        <v>28.92</v>
      </c>
      <c r="C833" t="s">
        <v>22</v>
      </c>
      <c r="D833" t="s">
        <v>20</v>
      </c>
      <c r="E833">
        <v>900</v>
      </c>
      <c r="F833">
        <v>42.4</v>
      </c>
      <c r="G833">
        <v>10.210000000000001</v>
      </c>
      <c r="H833">
        <v>8.9</v>
      </c>
      <c r="I833">
        <v>30.77</v>
      </c>
      <c r="J833">
        <v>21</v>
      </c>
      <c r="K833" t="s">
        <v>16</v>
      </c>
    </row>
    <row r="834" spans="1:11" x14ac:dyDescent="0.25">
      <c r="A834">
        <v>300</v>
      </c>
      <c r="B834">
        <v>7.69</v>
      </c>
      <c r="C834" t="s">
        <v>19</v>
      </c>
      <c r="D834" t="s">
        <v>17</v>
      </c>
      <c r="E834">
        <v>300</v>
      </c>
      <c r="F834">
        <v>54.7</v>
      </c>
      <c r="G834">
        <v>18.170000000000002</v>
      </c>
      <c r="H834">
        <v>6.39</v>
      </c>
      <c r="I834">
        <v>83.09</v>
      </c>
      <c r="J834">
        <v>16</v>
      </c>
      <c r="K834" t="s">
        <v>16</v>
      </c>
    </row>
    <row r="835" spans="1:11" x14ac:dyDescent="0.25">
      <c r="A835">
        <v>300</v>
      </c>
      <c r="B835">
        <v>12.66</v>
      </c>
      <c r="C835" t="s">
        <v>21</v>
      </c>
      <c r="D835" t="s">
        <v>15</v>
      </c>
      <c r="E835">
        <v>1500</v>
      </c>
      <c r="F835">
        <v>135.4</v>
      </c>
      <c r="G835">
        <v>2.77</v>
      </c>
      <c r="H835">
        <v>5.85</v>
      </c>
      <c r="I835">
        <v>46.21</v>
      </c>
      <c r="J835">
        <v>25</v>
      </c>
      <c r="K835" t="s">
        <v>16</v>
      </c>
    </row>
    <row r="836" spans="1:11" x14ac:dyDescent="0.25">
      <c r="A836">
        <v>150</v>
      </c>
      <c r="B836">
        <v>7.37</v>
      </c>
      <c r="C836" t="s">
        <v>19</v>
      </c>
      <c r="D836" t="s">
        <v>20</v>
      </c>
      <c r="E836">
        <v>300</v>
      </c>
      <c r="F836">
        <v>24</v>
      </c>
      <c r="G836">
        <v>17.39</v>
      </c>
      <c r="H836">
        <v>5.32</v>
      </c>
      <c r="I836">
        <v>72.180000000000007</v>
      </c>
      <c r="J836">
        <v>16</v>
      </c>
      <c r="K836" t="s">
        <v>16</v>
      </c>
    </row>
    <row r="837" spans="1:11" x14ac:dyDescent="0.25">
      <c r="A837">
        <v>800</v>
      </c>
      <c r="B837">
        <v>29.97</v>
      </c>
      <c r="C837" t="s">
        <v>11</v>
      </c>
      <c r="D837" t="s">
        <v>20</v>
      </c>
      <c r="E837">
        <v>150</v>
      </c>
      <c r="F837">
        <v>29.2</v>
      </c>
      <c r="G837">
        <v>0.68</v>
      </c>
      <c r="H837">
        <v>8.8800000000000008</v>
      </c>
      <c r="I837">
        <v>29.63</v>
      </c>
      <c r="J837">
        <v>6</v>
      </c>
      <c r="K837" t="s">
        <v>16</v>
      </c>
    </row>
    <row r="838" spans="1:11" x14ac:dyDescent="0.25">
      <c r="A838">
        <v>250</v>
      </c>
      <c r="B838">
        <v>6.91</v>
      </c>
      <c r="C838" t="s">
        <v>11</v>
      </c>
      <c r="D838" t="s">
        <v>20</v>
      </c>
      <c r="E838">
        <v>600</v>
      </c>
      <c r="F838">
        <v>117.5</v>
      </c>
      <c r="G838">
        <v>9.0500000000000007</v>
      </c>
      <c r="H838">
        <v>9.44</v>
      </c>
      <c r="I838">
        <v>136.61000000000001</v>
      </c>
      <c r="J838">
        <v>4</v>
      </c>
      <c r="K838" t="s">
        <v>16</v>
      </c>
    </row>
    <row r="839" spans="1:11" x14ac:dyDescent="0.25">
      <c r="A839">
        <v>1200</v>
      </c>
      <c r="B839">
        <v>23.28</v>
      </c>
      <c r="C839" t="s">
        <v>14</v>
      </c>
      <c r="D839" t="s">
        <v>12</v>
      </c>
      <c r="E839">
        <v>900</v>
      </c>
      <c r="F839">
        <v>-3.5</v>
      </c>
      <c r="G839">
        <v>5.46</v>
      </c>
      <c r="H839">
        <v>2.8</v>
      </c>
      <c r="I839">
        <v>12.03</v>
      </c>
      <c r="J839">
        <v>2</v>
      </c>
      <c r="K839" t="s">
        <v>13</v>
      </c>
    </row>
    <row r="840" spans="1:11" x14ac:dyDescent="0.25">
      <c r="A840">
        <v>150</v>
      </c>
      <c r="B840">
        <v>5.13</v>
      </c>
      <c r="C840" t="s">
        <v>22</v>
      </c>
      <c r="D840" t="s">
        <v>17</v>
      </c>
      <c r="E840">
        <v>300</v>
      </c>
      <c r="F840">
        <v>70.599999999999994</v>
      </c>
      <c r="G840">
        <v>4.04</v>
      </c>
      <c r="H840">
        <v>4.43</v>
      </c>
      <c r="I840">
        <v>86.35</v>
      </c>
      <c r="J840">
        <v>16</v>
      </c>
      <c r="K840" t="s">
        <v>13</v>
      </c>
    </row>
    <row r="841" spans="1:11" x14ac:dyDescent="0.25">
      <c r="A841">
        <v>800</v>
      </c>
      <c r="B841">
        <v>28.48</v>
      </c>
      <c r="C841" t="s">
        <v>11</v>
      </c>
      <c r="D841" t="s">
        <v>17</v>
      </c>
      <c r="E841">
        <v>2500</v>
      </c>
      <c r="F841">
        <v>73</v>
      </c>
      <c r="G841">
        <v>5.76</v>
      </c>
      <c r="H841">
        <v>1.51</v>
      </c>
      <c r="I841">
        <v>5.3</v>
      </c>
      <c r="J841">
        <v>19</v>
      </c>
      <c r="K841" t="s">
        <v>23</v>
      </c>
    </row>
    <row r="842" spans="1:11" x14ac:dyDescent="0.25">
      <c r="A842">
        <v>100</v>
      </c>
      <c r="B842">
        <v>6.36</v>
      </c>
      <c r="C842" t="s">
        <v>11</v>
      </c>
      <c r="D842" t="s">
        <v>17</v>
      </c>
      <c r="E842">
        <v>600</v>
      </c>
      <c r="F842">
        <v>144.69999999999999</v>
      </c>
      <c r="G842">
        <v>19.8</v>
      </c>
      <c r="H842">
        <v>7.5</v>
      </c>
      <c r="I842">
        <v>117.92</v>
      </c>
      <c r="J842">
        <v>9</v>
      </c>
      <c r="K842" t="s">
        <v>16</v>
      </c>
    </row>
    <row r="843" spans="1:11" x14ac:dyDescent="0.25">
      <c r="A843">
        <v>50</v>
      </c>
      <c r="B843">
        <v>3.16</v>
      </c>
      <c r="C843" t="s">
        <v>11</v>
      </c>
      <c r="D843" t="s">
        <v>20</v>
      </c>
      <c r="E843">
        <v>600</v>
      </c>
      <c r="F843">
        <v>40.4</v>
      </c>
      <c r="G843">
        <v>12.22</v>
      </c>
      <c r="H843">
        <v>5.14</v>
      </c>
      <c r="I843">
        <v>162.66</v>
      </c>
      <c r="J843">
        <v>1</v>
      </c>
      <c r="K843" t="s">
        <v>16</v>
      </c>
    </row>
    <row r="844" spans="1:11" x14ac:dyDescent="0.25">
      <c r="A844">
        <v>1000</v>
      </c>
      <c r="B844">
        <v>24.52</v>
      </c>
      <c r="C844" t="s">
        <v>19</v>
      </c>
      <c r="D844" t="s">
        <v>17</v>
      </c>
      <c r="E844">
        <v>300</v>
      </c>
      <c r="F844">
        <v>42.2</v>
      </c>
      <c r="G844">
        <v>19.14</v>
      </c>
      <c r="H844">
        <v>5.62</v>
      </c>
      <c r="I844">
        <v>22.92</v>
      </c>
      <c r="J844">
        <v>13</v>
      </c>
      <c r="K844" t="s">
        <v>16</v>
      </c>
    </row>
    <row r="845" spans="1:11" x14ac:dyDescent="0.25">
      <c r="A845">
        <v>500</v>
      </c>
      <c r="B845">
        <v>11.99</v>
      </c>
      <c r="C845" t="s">
        <v>14</v>
      </c>
      <c r="D845" t="s">
        <v>17</v>
      </c>
      <c r="E845">
        <v>900</v>
      </c>
      <c r="F845">
        <v>24.5</v>
      </c>
      <c r="G845">
        <v>8.1199999999999992</v>
      </c>
      <c r="H845">
        <v>3.88</v>
      </c>
      <c r="I845">
        <v>32.36</v>
      </c>
      <c r="J845">
        <v>16</v>
      </c>
      <c r="K845" t="s">
        <v>13</v>
      </c>
    </row>
    <row r="846" spans="1:11" x14ac:dyDescent="0.25">
      <c r="A846">
        <v>100</v>
      </c>
      <c r="B846">
        <v>5.28</v>
      </c>
      <c r="C846" t="s">
        <v>21</v>
      </c>
      <c r="D846" t="s">
        <v>12</v>
      </c>
      <c r="E846">
        <v>1500</v>
      </c>
      <c r="F846">
        <v>-15.4</v>
      </c>
      <c r="G846">
        <v>7.52</v>
      </c>
      <c r="H846">
        <v>0.93</v>
      </c>
      <c r="I846">
        <v>17.61</v>
      </c>
      <c r="J846">
        <v>5</v>
      </c>
      <c r="K846" t="s">
        <v>23</v>
      </c>
    </row>
    <row r="847" spans="1:11" x14ac:dyDescent="0.25">
      <c r="A847">
        <v>300</v>
      </c>
      <c r="B847">
        <v>10.97</v>
      </c>
      <c r="C847" t="s">
        <v>14</v>
      </c>
      <c r="D847" t="s">
        <v>18</v>
      </c>
      <c r="E847">
        <v>150</v>
      </c>
      <c r="F847">
        <v>-42.6</v>
      </c>
      <c r="G847">
        <v>11.52</v>
      </c>
      <c r="H847">
        <v>4.7</v>
      </c>
      <c r="I847">
        <v>42.84</v>
      </c>
      <c r="J847">
        <v>16</v>
      </c>
      <c r="K847" t="s">
        <v>13</v>
      </c>
    </row>
    <row r="848" spans="1:11" x14ac:dyDescent="0.25">
      <c r="A848">
        <v>1200</v>
      </c>
      <c r="B848">
        <v>24.25</v>
      </c>
      <c r="C848" t="s">
        <v>11</v>
      </c>
      <c r="D848" t="s">
        <v>18</v>
      </c>
      <c r="E848">
        <v>300</v>
      </c>
      <c r="F848">
        <v>59.6</v>
      </c>
      <c r="G848">
        <v>2.35</v>
      </c>
      <c r="H848">
        <v>5.71</v>
      </c>
      <c r="I848">
        <v>23.55</v>
      </c>
      <c r="J848">
        <v>19</v>
      </c>
      <c r="K848" t="s">
        <v>16</v>
      </c>
    </row>
    <row r="849" spans="1:11" x14ac:dyDescent="0.25">
      <c r="A849">
        <v>150</v>
      </c>
      <c r="B849">
        <v>5.58</v>
      </c>
      <c r="C849" t="s">
        <v>14</v>
      </c>
      <c r="D849" t="s">
        <v>17</v>
      </c>
      <c r="E849">
        <v>900</v>
      </c>
      <c r="F849">
        <v>33.200000000000003</v>
      </c>
      <c r="G849">
        <v>13.73</v>
      </c>
      <c r="H849">
        <v>2.75</v>
      </c>
      <c r="I849">
        <v>49.28</v>
      </c>
      <c r="J849">
        <v>14</v>
      </c>
      <c r="K849" t="s">
        <v>13</v>
      </c>
    </row>
    <row r="850" spans="1:11" x14ac:dyDescent="0.25">
      <c r="A850">
        <v>1500</v>
      </c>
      <c r="B850">
        <v>49.53</v>
      </c>
      <c r="C850" t="s">
        <v>14</v>
      </c>
      <c r="D850" t="s">
        <v>20</v>
      </c>
      <c r="E850">
        <v>150</v>
      </c>
      <c r="F850">
        <v>11.1</v>
      </c>
      <c r="G850">
        <v>15.18</v>
      </c>
      <c r="H850">
        <v>0.31</v>
      </c>
      <c r="I850">
        <v>0.63</v>
      </c>
      <c r="J850">
        <v>7</v>
      </c>
      <c r="K850" t="s">
        <v>23</v>
      </c>
    </row>
    <row r="851" spans="1:11" x14ac:dyDescent="0.25">
      <c r="A851">
        <v>500</v>
      </c>
      <c r="B851">
        <v>24.55</v>
      </c>
      <c r="C851" t="s">
        <v>21</v>
      </c>
      <c r="D851" t="s">
        <v>15</v>
      </c>
      <c r="E851">
        <v>900</v>
      </c>
      <c r="F851">
        <v>-4</v>
      </c>
      <c r="G851">
        <v>18.89</v>
      </c>
      <c r="H851">
        <v>7.2</v>
      </c>
      <c r="I851">
        <v>29.33</v>
      </c>
      <c r="J851">
        <v>17</v>
      </c>
      <c r="K851" t="s">
        <v>16</v>
      </c>
    </row>
    <row r="852" spans="1:11" x14ac:dyDescent="0.25">
      <c r="A852">
        <v>300</v>
      </c>
      <c r="B852">
        <v>16.899999999999999</v>
      </c>
      <c r="C852" t="s">
        <v>21</v>
      </c>
      <c r="D852" t="s">
        <v>18</v>
      </c>
      <c r="E852">
        <v>2500</v>
      </c>
      <c r="F852">
        <v>102.6</v>
      </c>
      <c r="G852">
        <v>5.0199999999999996</v>
      </c>
      <c r="H852">
        <v>8.27</v>
      </c>
      <c r="I852">
        <v>48.93</v>
      </c>
      <c r="J852">
        <v>3</v>
      </c>
      <c r="K852" t="s">
        <v>16</v>
      </c>
    </row>
    <row r="853" spans="1:11" x14ac:dyDescent="0.25">
      <c r="A853">
        <v>1200</v>
      </c>
      <c r="B853">
        <v>39.479999999999997</v>
      </c>
      <c r="C853" t="s">
        <v>22</v>
      </c>
      <c r="D853" t="s">
        <v>12</v>
      </c>
      <c r="E853">
        <v>300</v>
      </c>
      <c r="F853">
        <v>-48.4</v>
      </c>
      <c r="G853">
        <v>18.95</v>
      </c>
      <c r="H853">
        <v>7.62</v>
      </c>
      <c r="I853">
        <v>19.3</v>
      </c>
      <c r="J853">
        <v>15</v>
      </c>
      <c r="K853" t="s">
        <v>16</v>
      </c>
    </row>
    <row r="854" spans="1:11" x14ac:dyDescent="0.25">
      <c r="A854">
        <v>400</v>
      </c>
      <c r="B854">
        <v>13.2</v>
      </c>
      <c r="C854" t="s">
        <v>14</v>
      </c>
      <c r="D854" t="s">
        <v>18</v>
      </c>
      <c r="E854">
        <v>2500</v>
      </c>
      <c r="F854">
        <v>-18.2</v>
      </c>
      <c r="G854">
        <v>17.05</v>
      </c>
      <c r="H854">
        <v>7.78</v>
      </c>
      <c r="I854">
        <v>58.94</v>
      </c>
      <c r="J854">
        <v>2</v>
      </c>
      <c r="K854" t="s">
        <v>16</v>
      </c>
    </row>
    <row r="855" spans="1:11" x14ac:dyDescent="0.25">
      <c r="A855">
        <v>800</v>
      </c>
      <c r="B855">
        <v>23.08</v>
      </c>
      <c r="C855" t="s">
        <v>21</v>
      </c>
      <c r="D855" t="s">
        <v>20</v>
      </c>
      <c r="E855">
        <v>900</v>
      </c>
      <c r="F855">
        <v>52.5</v>
      </c>
      <c r="G855">
        <v>10.44</v>
      </c>
      <c r="H855">
        <v>4.1500000000000004</v>
      </c>
      <c r="I855">
        <v>17.98</v>
      </c>
      <c r="J855">
        <v>23</v>
      </c>
      <c r="K855" t="s">
        <v>13</v>
      </c>
    </row>
    <row r="856" spans="1:11" x14ac:dyDescent="0.25">
      <c r="A856">
        <v>100</v>
      </c>
      <c r="B856">
        <v>7.57</v>
      </c>
      <c r="C856" t="s">
        <v>11</v>
      </c>
      <c r="D856" t="s">
        <v>12</v>
      </c>
      <c r="E856">
        <v>2500</v>
      </c>
      <c r="F856">
        <v>18</v>
      </c>
      <c r="G856">
        <v>4.41</v>
      </c>
      <c r="H856">
        <v>7.7</v>
      </c>
      <c r="I856">
        <v>101.72</v>
      </c>
      <c r="J856">
        <v>18</v>
      </c>
      <c r="K856" t="s">
        <v>16</v>
      </c>
    </row>
    <row r="857" spans="1:11" x14ac:dyDescent="0.25">
      <c r="A857">
        <v>250</v>
      </c>
      <c r="B857">
        <v>11.58</v>
      </c>
      <c r="C857" t="s">
        <v>14</v>
      </c>
      <c r="D857" t="s">
        <v>20</v>
      </c>
      <c r="E857">
        <v>600</v>
      </c>
      <c r="F857">
        <v>32</v>
      </c>
      <c r="G857">
        <v>1.0900000000000001</v>
      </c>
      <c r="H857">
        <v>1.9</v>
      </c>
      <c r="I857">
        <v>16.41</v>
      </c>
      <c r="J857">
        <v>7</v>
      </c>
      <c r="K857" t="s">
        <v>23</v>
      </c>
    </row>
    <row r="858" spans="1:11" x14ac:dyDescent="0.25">
      <c r="A858">
        <v>50</v>
      </c>
      <c r="B858">
        <v>4.12</v>
      </c>
      <c r="C858" t="s">
        <v>11</v>
      </c>
      <c r="D858" t="s">
        <v>15</v>
      </c>
      <c r="E858">
        <v>600</v>
      </c>
      <c r="F858">
        <v>-15.7</v>
      </c>
      <c r="G858">
        <v>18.510000000000002</v>
      </c>
      <c r="H858">
        <v>2.2400000000000002</v>
      </c>
      <c r="I858">
        <v>54.37</v>
      </c>
      <c r="J858">
        <v>1</v>
      </c>
      <c r="K858" t="s">
        <v>13</v>
      </c>
    </row>
    <row r="859" spans="1:11" x14ac:dyDescent="0.25">
      <c r="A859">
        <v>50</v>
      </c>
      <c r="B859">
        <v>3.71</v>
      </c>
      <c r="C859" t="s">
        <v>19</v>
      </c>
      <c r="D859" t="s">
        <v>17</v>
      </c>
      <c r="E859">
        <v>300</v>
      </c>
      <c r="F859">
        <v>-1.3</v>
      </c>
      <c r="G859">
        <v>1.0900000000000001</v>
      </c>
      <c r="H859">
        <v>6.23</v>
      </c>
      <c r="I859">
        <v>167.92</v>
      </c>
      <c r="J859">
        <v>1</v>
      </c>
      <c r="K859" t="s">
        <v>16</v>
      </c>
    </row>
    <row r="860" spans="1:11" x14ac:dyDescent="0.25">
      <c r="A860">
        <v>200</v>
      </c>
      <c r="B860">
        <v>11.79</v>
      </c>
      <c r="C860" t="s">
        <v>14</v>
      </c>
      <c r="D860" t="s">
        <v>12</v>
      </c>
      <c r="E860">
        <v>900</v>
      </c>
      <c r="F860">
        <v>-24.3</v>
      </c>
      <c r="G860">
        <v>19.29</v>
      </c>
      <c r="H860">
        <v>6.49</v>
      </c>
      <c r="I860">
        <v>55.05</v>
      </c>
      <c r="J860">
        <v>3</v>
      </c>
      <c r="K860" t="s">
        <v>16</v>
      </c>
    </row>
    <row r="861" spans="1:11" x14ac:dyDescent="0.25">
      <c r="A861">
        <v>250</v>
      </c>
      <c r="B861">
        <v>7.79</v>
      </c>
      <c r="C861" t="s">
        <v>11</v>
      </c>
      <c r="D861" t="s">
        <v>20</v>
      </c>
      <c r="E861">
        <v>1500</v>
      </c>
      <c r="F861">
        <v>29.1</v>
      </c>
      <c r="G861">
        <v>12.27</v>
      </c>
      <c r="H861">
        <v>9.5500000000000007</v>
      </c>
      <c r="I861">
        <v>122.59</v>
      </c>
      <c r="J861">
        <v>7</v>
      </c>
      <c r="K861" t="s">
        <v>16</v>
      </c>
    </row>
    <row r="862" spans="1:11" x14ac:dyDescent="0.25">
      <c r="A862">
        <v>1200</v>
      </c>
      <c r="B862">
        <v>33.47</v>
      </c>
      <c r="C862" t="s">
        <v>19</v>
      </c>
      <c r="D862" t="s">
        <v>12</v>
      </c>
      <c r="E862">
        <v>600</v>
      </c>
      <c r="F862">
        <v>32.200000000000003</v>
      </c>
      <c r="G862">
        <v>1.96</v>
      </c>
      <c r="H862">
        <v>4.88</v>
      </c>
      <c r="I862">
        <v>14.58</v>
      </c>
      <c r="J862">
        <v>2</v>
      </c>
      <c r="K862" t="s">
        <v>13</v>
      </c>
    </row>
    <row r="863" spans="1:11" x14ac:dyDescent="0.25">
      <c r="A863">
        <v>150</v>
      </c>
      <c r="B863">
        <v>5.79</v>
      </c>
      <c r="C863" t="s">
        <v>21</v>
      </c>
      <c r="D863" t="s">
        <v>17</v>
      </c>
      <c r="E863">
        <v>150</v>
      </c>
      <c r="F863">
        <v>-1.8</v>
      </c>
      <c r="G863">
        <v>12.67</v>
      </c>
      <c r="H863">
        <v>2.89</v>
      </c>
      <c r="I863">
        <v>49.91</v>
      </c>
      <c r="J863">
        <v>16</v>
      </c>
      <c r="K863" t="s">
        <v>13</v>
      </c>
    </row>
    <row r="864" spans="1:11" x14ac:dyDescent="0.25">
      <c r="A864">
        <v>200</v>
      </c>
      <c r="B864">
        <v>7.88</v>
      </c>
      <c r="C864" t="s">
        <v>14</v>
      </c>
      <c r="D864" t="s">
        <v>12</v>
      </c>
      <c r="E864">
        <v>150</v>
      </c>
      <c r="F864">
        <v>-44.1</v>
      </c>
      <c r="G864">
        <v>4.0999999999999996</v>
      </c>
      <c r="H864">
        <v>0.69</v>
      </c>
      <c r="I864">
        <v>8.76</v>
      </c>
      <c r="J864">
        <v>17</v>
      </c>
      <c r="K864" t="s">
        <v>23</v>
      </c>
    </row>
    <row r="865" spans="1:11" x14ac:dyDescent="0.25">
      <c r="A865">
        <v>500</v>
      </c>
      <c r="B865">
        <v>23.77</v>
      </c>
      <c r="C865" t="s">
        <v>21</v>
      </c>
      <c r="D865" t="s">
        <v>20</v>
      </c>
      <c r="E865">
        <v>1500</v>
      </c>
      <c r="F865">
        <v>27.2</v>
      </c>
      <c r="G865">
        <v>16.059999999999999</v>
      </c>
      <c r="H865">
        <v>3.02</v>
      </c>
      <c r="I865">
        <v>12.71</v>
      </c>
      <c r="J865">
        <v>20</v>
      </c>
      <c r="K865" t="s">
        <v>13</v>
      </c>
    </row>
    <row r="866" spans="1:11" x14ac:dyDescent="0.25">
      <c r="A866">
        <v>50</v>
      </c>
      <c r="B866">
        <v>4.47</v>
      </c>
      <c r="C866" t="s">
        <v>21</v>
      </c>
      <c r="D866" t="s">
        <v>12</v>
      </c>
      <c r="E866">
        <v>1500</v>
      </c>
      <c r="F866">
        <v>-48.4</v>
      </c>
      <c r="G866">
        <v>12.34</v>
      </c>
      <c r="H866">
        <v>0.96</v>
      </c>
      <c r="I866">
        <v>21.48</v>
      </c>
      <c r="J866">
        <v>20</v>
      </c>
      <c r="K866" t="s">
        <v>23</v>
      </c>
    </row>
    <row r="867" spans="1:11" x14ac:dyDescent="0.25">
      <c r="A867">
        <v>1000</v>
      </c>
      <c r="B867">
        <v>22.01</v>
      </c>
      <c r="C867" t="s">
        <v>11</v>
      </c>
      <c r="D867" t="s">
        <v>12</v>
      </c>
      <c r="E867">
        <v>900</v>
      </c>
      <c r="F867">
        <v>9</v>
      </c>
      <c r="G867">
        <v>1.63</v>
      </c>
      <c r="H867">
        <v>1.29</v>
      </c>
      <c r="I867">
        <v>5.86</v>
      </c>
      <c r="J867">
        <v>14</v>
      </c>
      <c r="K867" t="s">
        <v>23</v>
      </c>
    </row>
    <row r="868" spans="1:11" x14ac:dyDescent="0.25">
      <c r="A868">
        <v>1000</v>
      </c>
      <c r="B868">
        <v>31.87</v>
      </c>
      <c r="C868" t="s">
        <v>14</v>
      </c>
      <c r="D868" t="s">
        <v>15</v>
      </c>
      <c r="E868">
        <v>1500</v>
      </c>
      <c r="F868">
        <v>68.599999999999994</v>
      </c>
      <c r="G868">
        <v>11.36</v>
      </c>
      <c r="H868">
        <v>7.71</v>
      </c>
      <c r="I868">
        <v>24.19</v>
      </c>
      <c r="J868">
        <v>20</v>
      </c>
      <c r="K868" t="s">
        <v>16</v>
      </c>
    </row>
    <row r="869" spans="1:11" x14ac:dyDescent="0.25">
      <c r="A869">
        <v>1200</v>
      </c>
      <c r="B869">
        <v>22.36</v>
      </c>
      <c r="C869" t="s">
        <v>14</v>
      </c>
      <c r="D869" t="s">
        <v>17</v>
      </c>
      <c r="E869">
        <v>600</v>
      </c>
      <c r="F869">
        <v>-1.7</v>
      </c>
      <c r="G869">
        <v>14.85</v>
      </c>
      <c r="H869">
        <v>0.6</v>
      </c>
      <c r="I869">
        <v>2.68</v>
      </c>
      <c r="J869">
        <v>22</v>
      </c>
      <c r="K869" t="s">
        <v>23</v>
      </c>
    </row>
    <row r="870" spans="1:11" x14ac:dyDescent="0.25">
      <c r="A870">
        <v>1500</v>
      </c>
      <c r="B870">
        <v>27.94</v>
      </c>
      <c r="C870" t="s">
        <v>22</v>
      </c>
      <c r="D870" t="s">
        <v>12</v>
      </c>
      <c r="E870">
        <v>2500</v>
      </c>
      <c r="F870">
        <v>12.6</v>
      </c>
      <c r="G870">
        <v>8.0399999999999991</v>
      </c>
      <c r="H870">
        <v>5.84</v>
      </c>
      <c r="I870">
        <v>20.9</v>
      </c>
      <c r="J870">
        <v>8</v>
      </c>
      <c r="K870" t="s">
        <v>16</v>
      </c>
    </row>
    <row r="871" spans="1:11" x14ac:dyDescent="0.25">
      <c r="A871">
        <v>500</v>
      </c>
      <c r="B871">
        <v>12.94</v>
      </c>
      <c r="C871" t="s">
        <v>11</v>
      </c>
      <c r="D871" t="s">
        <v>18</v>
      </c>
      <c r="E871">
        <v>900</v>
      </c>
      <c r="F871">
        <v>92.1</v>
      </c>
      <c r="G871">
        <v>14.83</v>
      </c>
      <c r="H871">
        <v>4.63</v>
      </c>
      <c r="I871">
        <v>35.78</v>
      </c>
      <c r="J871">
        <v>6</v>
      </c>
      <c r="K871" t="s">
        <v>13</v>
      </c>
    </row>
    <row r="872" spans="1:11" x14ac:dyDescent="0.25">
      <c r="A872">
        <v>1200</v>
      </c>
      <c r="B872">
        <v>26.41</v>
      </c>
      <c r="C872" t="s">
        <v>21</v>
      </c>
      <c r="D872" t="s">
        <v>15</v>
      </c>
      <c r="E872">
        <v>2500</v>
      </c>
      <c r="F872">
        <v>-45.4</v>
      </c>
      <c r="G872">
        <v>4.07</v>
      </c>
      <c r="H872">
        <v>4.3</v>
      </c>
      <c r="I872">
        <v>16.28</v>
      </c>
      <c r="J872">
        <v>16</v>
      </c>
      <c r="K872" t="s">
        <v>13</v>
      </c>
    </row>
    <row r="873" spans="1:11" x14ac:dyDescent="0.25">
      <c r="A873">
        <v>1200</v>
      </c>
      <c r="B873">
        <v>29.7</v>
      </c>
      <c r="C873" t="s">
        <v>14</v>
      </c>
      <c r="D873" t="s">
        <v>20</v>
      </c>
      <c r="E873">
        <v>2500</v>
      </c>
      <c r="F873">
        <v>88.7</v>
      </c>
      <c r="G873">
        <v>4.04</v>
      </c>
      <c r="H873">
        <v>8.81</v>
      </c>
      <c r="I873">
        <v>29.66</v>
      </c>
      <c r="J873">
        <v>20</v>
      </c>
      <c r="K873" t="s">
        <v>16</v>
      </c>
    </row>
    <row r="874" spans="1:11" x14ac:dyDescent="0.25">
      <c r="A874">
        <v>50</v>
      </c>
      <c r="B874">
        <v>4.74</v>
      </c>
      <c r="C874" t="s">
        <v>19</v>
      </c>
      <c r="D874" t="s">
        <v>12</v>
      </c>
      <c r="E874">
        <v>2500</v>
      </c>
      <c r="F874">
        <v>76.400000000000006</v>
      </c>
      <c r="G874">
        <v>8.8800000000000008</v>
      </c>
      <c r="H874">
        <v>9.94</v>
      </c>
      <c r="I874">
        <v>209.7</v>
      </c>
      <c r="J874">
        <v>23</v>
      </c>
      <c r="K874" t="s">
        <v>16</v>
      </c>
    </row>
    <row r="875" spans="1:11" x14ac:dyDescent="0.25">
      <c r="A875">
        <v>200</v>
      </c>
      <c r="B875">
        <v>10.82</v>
      </c>
      <c r="C875" t="s">
        <v>19</v>
      </c>
      <c r="D875" t="s">
        <v>20</v>
      </c>
      <c r="E875">
        <v>300</v>
      </c>
      <c r="F875">
        <v>47</v>
      </c>
      <c r="G875">
        <v>10.63</v>
      </c>
      <c r="H875">
        <v>0.19</v>
      </c>
      <c r="I875">
        <v>1.76</v>
      </c>
      <c r="J875">
        <v>3</v>
      </c>
      <c r="K875" t="s">
        <v>23</v>
      </c>
    </row>
    <row r="876" spans="1:11" x14ac:dyDescent="0.25">
      <c r="A876">
        <v>600</v>
      </c>
      <c r="B876">
        <v>27.32</v>
      </c>
      <c r="C876" t="s">
        <v>19</v>
      </c>
      <c r="D876" t="s">
        <v>17</v>
      </c>
      <c r="E876">
        <v>600</v>
      </c>
      <c r="F876">
        <v>51.3</v>
      </c>
      <c r="G876">
        <v>12.75</v>
      </c>
      <c r="H876">
        <v>0.2</v>
      </c>
      <c r="I876">
        <v>0.73</v>
      </c>
      <c r="J876">
        <v>8</v>
      </c>
      <c r="K876" t="s">
        <v>23</v>
      </c>
    </row>
    <row r="877" spans="1:11" x14ac:dyDescent="0.25">
      <c r="A877">
        <v>500</v>
      </c>
      <c r="B877">
        <v>18.36</v>
      </c>
      <c r="C877" t="s">
        <v>11</v>
      </c>
      <c r="D877" t="s">
        <v>18</v>
      </c>
      <c r="E877">
        <v>150</v>
      </c>
      <c r="F877">
        <v>44.2</v>
      </c>
      <c r="G877">
        <v>2.63</v>
      </c>
      <c r="H877">
        <v>1.32</v>
      </c>
      <c r="I877">
        <v>7.19</v>
      </c>
      <c r="J877">
        <v>20</v>
      </c>
      <c r="K877" t="s">
        <v>23</v>
      </c>
    </row>
    <row r="878" spans="1:11" x14ac:dyDescent="0.25">
      <c r="A878">
        <v>250</v>
      </c>
      <c r="B878">
        <v>11.54</v>
      </c>
      <c r="C878" t="s">
        <v>19</v>
      </c>
      <c r="D878" t="s">
        <v>15</v>
      </c>
      <c r="E878">
        <v>1500</v>
      </c>
      <c r="F878">
        <v>110.5</v>
      </c>
      <c r="G878">
        <v>2.58</v>
      </c>
      <c r="H878">
        <v>5.89</v>
      </c>
      <c r="I878">
        <v>51.04</v>
      </c>
      <c r="J878">
        <v>1</v>
      </c>
      <c r="K878" t="s">
        <v>16</v>
      </c>
    </row>
    <row r="879" spans="1:11" x14ac:dyDescent="0.25">
      <c r="A879">
        <v>150</v>
      </c>
      <c r="B879">
        <v>8.32</v>
      </c>
      <c r="C879" t="s">
        <v>19</v>
      </c>
      <c r="D879" t="s">
        <v>12</v>
      </c>
      <c r="E879">
        <v>900</v>
      </c>
      <c r="F879">
        <v>73.5</v>
      </c>
      <c r="G879">
        <v>15.64</v>
      </c>
      <c r="H879">
        <v>3.38</v>
      </c>
      <c r="I879">
        <v>40.619999999999997</v>
      </c>
      <c r="J879">
        <v>10</v>
      </c>
      <c r="K879" t="s">
        <v>13</v>
      </c>
    </row>
    <row r="880" spans="1:11" x14ac:dyDescent="0.25">
      <c r="A880">
        <v>100</v>
      </c>
      <c r="B880">
        <v>6.31</v>
      </c>
      <c r="C880" t="s">
        <v>14</v>
      </c>
      <c r="D880" t="s">
        <v>12</v>
      </c>
      <c r="E880">
        <v>2500</v>
      </c>
      <c r="F880">
        <v>29.2</v>
      </c>
      <c r="G880">
        <v>3.95</v>
      </c>
      <c r="H880">
        <v>0.65</v>
      </c>
      <c r="I880">
        <v>10.3</v>
      </c>
      <c r="J880">
        <v>10</v>
      </c>
      <c r="K880" t="s">
        <v>23</v>
      </c>
    </row>
    <row r="881" spans="1:11" x14ac:dyDescent="0.25">
      <c r="A881">
        <v>300</v>
      </c>
      <c r="B881">
        <v>8.56</v>
      </c>
      <c r="C881" t="s">
        <v>21</v>
      </c>
      <c r="D881" t="s">
        <v>17</v>
      </c>
      <c r="E881">
        <v>150</v>
      </c>
      <c r="F881">
        <v>114.4</v>
      </c>
      <c r="G881">
        <v>6.52</v>
      </c>
      <c r="H881">
        <v>4.8499999999999996</v>
      </c>
      <c r="I881">
        <v>56.66</v>
      </c>
      <c r="J881">
        <v>13</v>
      </c>
      <c r="K881" t="s">
        <v>13</v>
      </c>
    </row>
    <row r="882" spans="1:11" x14ac:dyDescent="0.25">
      <c r="A882">
        <v>50</v>
      </c>
      <c r="B882">
        <v>4.45</v>
      </c>
      <c r="C882" t="s">
        <v>14</v>
      </c>
      <c r="D882" t="s">
        <v>18</v>
      </c>
      <c r="E882">
        <v>1500</v>
      </c>
      <c r="F882">
        <v>55.6</v>
      </c>
      <c r="G882">
        <v>3.31</v>
      </c>
      <c r="H882">
        <v>1.91</v>
      </c>
      <c r="I882">
        <v>42.92</v>
      </c>
      <c r="J882">
        <v>5</v>
      </c>
      <c r="K882" t="s">
        <v>23</v>
      </c>
    </row>
    <row r="883" spans="1:11" x14ac:dyDescent="0.25">
      <c r="A883">
        <v>100</v>
      </c>
      <c r="B883">
        <v>6.43</v>
      </c>
      <c r="C883" t="s">
        <v>22</v>
      </c>
      <c r="D883" t="s">
        <v>17</v>
      </c>
      <c r="E883">
        <v>2500</v>
      </c>
      <c r="F883">
        <v>38.5</v>
      </c>
      <c r="G883">
        <v>4.9000000000000004</v>
      </c>
      <c r="H883">
        <v>4.8600000000000003</v>
      </c>
      <c r="I883">
        <v>75.58</v>
      </c>
      <c r="J883">
        <v>13</v>
      </c>
      <c r="K883" t="s">
        <v>13</v>
      </c>
    </row>
    <row r="884" spans="1:11" x14ac:dyDescent="0.25">
      <c r="A884">
        <v>100</v>
      </c>
      <c r="B884">
        <v>4.3099999999999996</v>
      </c>
      <c r="C884" t="s">
        <v>22</v>
      </c>
      <c r="D884" t="s">
        <v>18</v>
      </c>
      <c r="E884">
        <v>150</v>
      </c>
      <c r="F884">
        <v>41.2</v>
      </c>
      <c r="G884">
        <v>9.5</v>
      </c>
      <c r="H884">
        <v>3.69</v>
      </c>
      <c r="I884">
        <v>85.61</v>
      </c>
      <c r="J884">
        <v>18</v>
      </c>
      <c r="K884" t="s">
        <v>13</v>
      </c>
    </row>
    <row r="885" spans="1:11" x14ac:dyDescent="0.25">
      <c r="A885">
        <v>300</v>
      </c>
      <c r="B885">
        <v>7.25</v>
      </c>
      <c r="C885" t="s">
        <v>19</v>
      </c>
      <c r="D885" t="s">
        <v>20</v>
      </c>
      <c r="E885">
        <v>150</v>
      </c>
      <c r="F885">
        <v>37.1</v>
      </c>
      <c r="G885">
        <v>2.62</v>
      </c>
      <c r="H885">
        <v>7.58</v>
      </c>
      <c r="I885">
        <v>104.55</v>
      </c>
      <c r="J885">
        <v>18</v>
      </c>
      <c r="K885" t="s">
        <v>16</v>
      </c>
    </row>
    <row r="886" spans="1:11" x14ac:dyDescent="0.25">
      <c r="A886">
        <v>200</v>
      </c>
      <c r="B886">
        <v>9.94</v>
      </c>
      <c r="C886" t="s">
        <v>11</v>
      </c>
      <c r="D886" t="s">
        <v>12</v>
      </c>
      <c r="E886">
        <v>900</v>
      </c>
      <c r="F886">
        <v>45.4</v>
      </c>
      <c r="G886">
        <v>3.75</v>
      </c>
      <c r="H886">
        <v>1.49</v>
      </c>
      <c r="I886">
        <v>14.99</v>
      </c>
      <c r="J886">
        <v>4</v>
      </c>
      <c r="K886" t="s">
        <v>23</v>
      </c>
    </row>
    <row r="887" spans="1:11" x14ac:dyDescent="0.25">
      <c r="A887">
        <v>150</v>
      </c>
      <c r="B887">
        <v>7.81</v>
      </c>
      <c r="C887" t="s">
        <v>19</v>
      </c>
      <c r="D887" t="s">
        <v>15</v>
      </c>
      <c r="E887">
        <v>300</v>
      </c>
      <c r="F887">
        <v>67.2</v>
      </c>
      <c r="G887">
        <v>4.1500000000000004</v>
      </c>
      <c r="H887">
        <v>1.66</v>
      </c>
      <c r="I887">
        <v>21.25</v>
      </c>
      <c r="J887">
        <v>9</v>
      </c>
      <c r="K887" t="s">
        <v>23</v>
      </c>
    </row>
    <row r="888" spans="1:11" x14ac:dyDescent="0.25">
      <c r="A888">
        <v>1000</v>
      </c>
      <c r="B888">
        <v>15.99</v>
      </c>
      <c r="C888" t="s">
        <v>11</v>
      </c>
      <c r="D888" t="s">
        <v>15</v>
      </c>
      <c r="E888">
        <v>900</v>
      </c>
      <c r="F888">
        <v>78.099999999999994</v>
      </c>
      <c r="G888">
        <v>9.93</v>
      </c>
      <c r="H888">
        <v>8.75</v>
      </c>
      <c r="I888">
        <v>54.72</v>
      </c>
      <c r="J888">
        <v>24</v>
      </c>
      <c r="K888" t="s">
        <v>16</v>
      </c>
    </row>
    <row r="889" spans="1:11" x14ac:dyDescent="0.25">
      <c r="A889">
        <v>1200</v>
      </c>
      <c r="B889">
        <v>22.08</v>
      </c>
      <c r="C889" t="s">
        <v>14</v>
      </c>
      <c r="D889" t="s">
        <v>17</v>
      </c>
      <c r="E889">
        <v>1500</v>
      </c>
      <c r="F889">
        <v>6.1</v>
      </c>
      <c r="G889">
        <v>3.22</v>
      </c>
      <c r="H889">
        <v>7.37</v>
      </c>
      <c r="I889">
        <v>33.380000000000003</v>
      </c>
      <c r="J889">
        <v>17</v>
      </c>
      <c r="K889" t="s">
        <v>16</v>
      </c>
    </row>
    <row r="890" spans="1:11" x14ac:dyDescent="0.25">
      <c r="A890">
        <v>1200</v>
      </c>
      <c r="B890">
        <v>34.78</v>
      </c>
      <c r="C890" t="s">
        <v>11</v>
      </c>
      <c r="D890" t="s">
        <v>20</v>
      </c>
      <c r="E890">
        <v>1500</v>
      </c>
      <c r="F890">
        <v>29.1</v>
      </c>
      <c r="G890">
        <v>5.05</v>
      </c>
      <c r="H890">
        <v>6.33</v>
      </c>
      <c r="I890">
        <v>18.2</v>
      </c>
      <c r="J890">
        <v>5</v>
      </c>
      <c r="K890" t="s">
        <v>16</v>
      </c>
    </row>
    <row r="891" spans="1:11" x14ac:dyDescent="0.25">
      <c r="A891">
        <v>600</v>
      </c>
      <c r="B891">
        <v>16.989999999999998</v>
      </c>
      <c r="C891" t="s">
        <v>21</v>
      </c>
      <c r="D891" t="s">
        <v>17</v>
      </c>
      <c r="E891">
        <v>300</v>
      </c>
      <c r="F891">
        <v>15.1</v>
      </c>
      <c r="G891">
        <v>8.26</v>
      </c>
      <c r="H891">
        <v>8.26</v>
      </c>
      <c r="I891">
        <v>48.62</v>
      </c>
      <c r="J891">
        <v>8</v>
      </c>
      <c r="K891" t="s">
        <v>16</v>
      </c>
    </row>
    <row r="892" spans="1:11" x14ac:dyDescent="0.25">
      <c r="A892">
        <v>250</v>
      </c>
      <c r="B892">
        <v>7.3</v>
      </c>
      <c r="C892" t="s">
        <v>19</v>
      </c>
      <c r="D892" t="s">
        <v>18</v>
      </c>
      <c r="E892">
        <v>2500</v>
      </c>
      <c r="F892">
        <v>50.5</v>
      </c>
      <c r="G892">
        <v>9.36</v>
      </c>
      <c r="H892">
        <v>1.83</v>
      </c>
      <c r="I892">
        <v>25.07</v>
      </c>
      <c r="J892">
        <v>23</v>
      </c>
      <c r="K892" t="s">
        <v>23</v>
      </c>
    </row>
    <row r="893" spans="1:11" x14ac:dyDescent="0.25">
      <c r="A893">
        <v>300</v>
      </c>
      <c r="B893">
        <v>15.46</v>
      </c>
      <c r="C893" t="s">
        <v>19</v>
      </c>
      <c r="D893" t="s">
        <v>15</v>
      </c>
      <c r="E893">
        <v>150</v>
      </c>
      <c r="F893">
        <v>-11.8</v>
      </c>
      <c r="G893">
        <v>12.57</v>
      </c>
      <c r="H893">
        <v>7.01</v>
      </c>
      <c r="I893">
        <v>45.34</v>
      </c>
      <c r="J893">
        <v>15</v>
      </c>
      <c r="K893" t="s">
        <v>16</v>
      </c>
    </row>
    <row r="894" spans="1:11" x14ac:dyDescent="0.25">
      <c r="A894">
        <v>1200</v>
      </c>
      <c r="B894">
        <v>33.99</v>
      </c>
      <c r="C894" t="s">
        <v>11</v>
      </c>
      <c r="D894" t="s">
        <v>20</v>
      </c>
      <c r="E894">
        <v>1500</v>
      </c>
      <c r="F894">
        <v>113.4</v>
      </c>
      <c r="G894">
        <v>17.059999999999999</v>
      </c>
      <c r="H894">
        <v>5.68</v>
      </c>
      <c r="I894">
        <v>16.71</v>
      </c>
      <c r="J894">
        <v>5</v>
      </c>
      <c r="K894" t="s">
        <v>16</v>
      </c>
    </row>
    <row r="895" spans="1:11" x14ac:dyDescent="0.25">
      <c r="A895">
        <v>300</v>
      </c>
      <c r="B895">
        <v>7.84</v>
      </c>
      <c r="C895" t="s">
        <v>22</v>
      </c>
      <c r="D895" t="s">
        <v>15</v>
      </c>
      <c r="E895">
        <v>900</v>
      </c>
      <c r="F895">
        <v>65.599999999999994</v>
      </c>
      <c r="G895">
        <v>0.66</v>
      </c>
      <c r="H895">
        <v>4.21</v>
      </c>
      <c r="I895">
        <v>53.7</v>
      </c>
      <c r="J895">
        <v>14</v>
      </c>
      <c r="K895" t="s">
        <v>13</v>
      </c>
    </row>
    <row r="896" spans="1:11" x14ac:dyDescent="0.25">
      <c r="A896">
        <v>1500</v>
      </c>
      <c r="B896">
        <v>47.97</v>
      </c>
      <c r="C896" t="s">
        <v>14</v>
      </c>
      <c r="D896" t="s">
        <v>15</v>
      </c>
      <c r="E896">
        <v>2500</v>
      </c>
      <c r="F896">
        <v>-17.8</v>
      </c>
      <c r="G896">
        <v>2.89</v>
      </c>
      <c r="H896">
        <v>4.41</v>
      </c>
      <c r="I896">
        <v>9.19</v>
      </c>
      <c r="J896">
        <v>15</v>
      </c>
      <c r="K896" t="s">
        <v>13</v>
      </c>
    </row>
    <row r="897" spans="1:11" x14ac:dyDescent="0.25">
      <c r="A897">
        <v>500</v>
      </c>
      <c r="B897">
        <v>20.29</v>
      </c>
      <c r="C897" t="s">
        <v>22</v>
      </c>
      <c r="D897" t="s">
        <v>20</v>
      </c>
      <c r="E897">
        <v>300</v>
      </c>
      <c r="F897">
        <v>5</v>
      </c>
      <c r="G897">
        <v>15.01</v>
      </c>
      <c r="H897">
        <v>9.06</v>
      </c>
      <c r="I897">
        <v>44.65</v>
      </c>
      <c r="J897">
        <v>23</v>
      </c>
      <c r="K897" t="s">
        <v>16</v>
      </c>
    </row>
    <row r="898" spans="1:11" x14ac:dyDescent="0.25">
      <c r="A898">
        <v>1000</v>
      </c>
      <c r="B898">
        <v>23.59</v>
      </c>
      <c r="C898" t="s">
        <v>11</v>
      </c>
      <c r="D898" t="s">
        <v>18</v>
      </c>
      <c r="E898">
        <v>900</v>
      </c>
      <c r="F898">
        <v>23</v>
      </c>
      <c r="G898">
        <v>5.08</v>
      </c>
      <c r="H898">
        <v>3.46</v>
      </c>
      <c r="I898">
        <v>14.67</v>
      </c>
      <c r="J898">
        <v>23</v>
      </c>
      <c r="K898" t="s">
        <v>13</v>
      </c>
    </row>
    <row r="899" spans="1:11" x14ac:dyDescent="0.25">
      <c r="A899">
        <v>400</v>
      </c>
      <c r="B899">
        <v>11.3</v>
      </c>
      <c r="C899" t="s">
        <v>11</v>
      </c>
      <c r="D899" t="s">
        <v>18</v>
      </c>
      <c r="E899">
        <v>300</v>
      </c>
      <c r="F899">
        <v>41.5</v>
      </c>
      <c r="G899">
        <v>11.66</v>
      </c>
      <c r="H899">
        <v>2.21</v>
      </c>
      <c r="I899">
        <v>19.559999999999999</v>
      </c>
      <c r="J899">
        <v>23</v>
      </c>
      <c r="K899" t="s">
        <v>13</v>
      </c>
    </row>
    <row r="900" spans="1:11" x14ac:dyDescent="0.25">
      <c r="A900">
        <v>250</v>
      </c>
      <c r="B900">
        <v>14.97</v>
      </c>
      <c r="C900" t="s">
        <v>11</v>
      </c>
      <c r="D900" t="s">
        <v>15</v>
      </c>
      <c r="E900">
        <v>150</v>
      </c>
      <c r="F900">
        <v>-17.100000000000001</v>
      </c>
      <c r="G900">
        <v>10</v>
      </c>
      <c r="H900">
        <v>4.7300000000000004</v>
      </c>
      <c r="I900">
        <v>31.6</v>
      </c>
      <c r="J900">
        <v>21</v>
      </c>
      <c r="K900" t="s">
        <v>13</v>
      </c>
    </row>
    <row r="901" spans="1:11" x14ac:dyDescent="0.25">
      <c r="A901">
        <v>200</v>
      </c>
      <c r="B901">
        <v>8.26</v>
      </c>
      <c r="C901" t="s">
        <v>22</v>
      </c>
      <c r="D901" t="s">
        <v>15</v>
      </c>
      <c r="E901">
        <v>300</v>
      </c>
      <c r="F901">
        <v>38.200000000000003</v>
      </c>
      <c r="G901">
        <v>14.73</v>
      </c>
      <c r="H901">
        <v>7.27</v>
      </c>
      <c r="I901">
        <v>88.01</v>
      </c>
      <c r="J901">
        <v>6</v>
      </c>
      <c r="K901" t="s">
        <v>16</v>
      </c>
    </row>
    <row r="902" spans="1:11" x14ac:dyDescent="0.25">
      <c r="A902">
        <v>50</v>
      </c>
      <c r="B902">
        <v>3.43</v>
      </c>
      <c r="C902" t="s">
        <v>19</v>
      </c>
      <c r="D902" t="s">
        <v>12</v>
      </c>
      <c r="E902">
        <v>1500</v>
      </c>
      <c r="F902">
        <v>6.9</v>
      </c>
      <c r="G902">
        <v>8.99</v>
      </c>
      <c r="H902">
        <v>0.14000000000000001</v>
      </c>
      <c r="I902">
        <v>4.08</v>
      </c>
      <c r="J902">
        <v>22</v>
      </c>
      <c r="K902" t="s">
        <v>23</v>
      </c>
    </row>
    <row r="903" spans="1:11" x14ac:dyDescent="0.25">
      <c r="A903">
        <v>50</v>
      </c>
      <c r="B903">
        <v>5.01</v>
      </c>
      <c r="C903" t="s">
        <v>22</v>
      </c>
      <c r="D903" t="s">
        <v>15</v>
      </c>
      <c r="E903">
        <v>1500</v>
      </c>
      <c r="F903">
        <v>19</v>
      </c>
      <c r="G903">
        <v>19.39</v>
      </c>
      <c r="H903">
        <v>2.58</v>
      </c>
      <c r="I903">
        <v>51.5</v>
      </c>
      <c r="J903">
        <v>15</v>
      </c>
      <c r="K903" t="s">
        <v>13</v>
      </c>
    </row>
    <row r="904" spans="1:11" x14ac:dyDescent="0.25">
      <c r="A904">
        <v>1000</v>
      </c>
      <c r="B904">
        <v>26.39</v>
      </c>
      <c r="C904" t="s">
        <v>11</v>
      </c>
      <c r="D904" t="s">
        <v>12</v>
      </c>
      <c r="E904">
        <v>2500</v>
      </c>
      <c r="F904">
        <v>17.3</v>
      </c>
      <c r="G904">
        <v>14.12</v>
      </c>
      <c r="H904">
        <v>0.19</v>
      </c>
      <c r="I904">
        <v>0.72</v>
      </c>
      <c r="J904">
        <v>25</v>
      </c>
      <c r="K904" t="s">
        <v>23</v>
      </c>
    </row>
    <row r="905" spans="1:11" x14ac:dyDescent="0.25">
      <c r="A905">
        <v>150</v>
      </c>
      <c r="B905">
        <v>7.36</v>
      </c>
      <c r="C905" t="s">
        <v>21</v>
      </c>
      <c r="D905" t="s">
        <v>15</v>
      </c>
      <c r="E905">
        <v>2500</v>
      </c>
      <c r="F905">
        <v>93.3</v>
      </c>
      <c r="G905">
        <v>19.899999999999999</v>
      </c>
      <c r="H905">
        <v>2.14</v>
      </c>
      <c r="I905">
        <v>29.08</v>
      </c>
      <c r="J905">
        <v>15</v>
      </c>
      <c r="K905" t="s">
        <v>13</v>
      </c>
    </row>
    <row r="906" spans="1:11" x14ac:dyDescent="0.25">
      <c r="A906">
        <v>150</v>
      </c>
      <c r="B906">
        <v>8.92</v>
      </c>
      <c r="C906" t="s">
        <v>11</v>
      </c>
      <c r="D906" t="s">
        <v>20</v>
      </c>
      <c r="E906">
        <v>1500</v>
      </c>
      <c r="F906">
        <v>45.3</v>
      </c>
      <c r="G906">
        <v>17.739999999999998</v>
      </c>
      <c r="H906">
        <v>1.08</v>
      </c>
      <c r="I906">
        <v>12.11</v>
      </c>
      <c r="J906">
        <v>2</v>
      </c>
      <c r="K906" t="s">
        <v>23</v>
      </c>
    </row>
    <row r="907" spans="1:11" x14ac:dyDescent="0.25">
      <c r="A907">
        <v>100</v>
      </c>
      <c r="B907">
        <v>5.16</v>
      </c>
      <c r="C907" t="s">
        <v>11</v>
      </c>
      <c r="D907" t="s">
        <v>20</v>
      </c>
      <c r="E907">
        <v>600</v>
      </c>
      <c r="F907">
        <v>77.7</v>
      </c>
      <c r="G907">
        <v>16.22</v>
      </c>
      <c r="H907">
        <v>8.2100000000000009</v>
      </c>
      <c r="I907">
        <v>159.11000000000001</v>
      </c>
      <c r="J907">
        <v>14</v>
      </c>
      <c r="K907" t="s">
        <v>16</v>
      </c>
    </row>
    <row r="908" spans="1:11" x14ac:dyDescent="0.25">
      <c r="A908">
        <v>100</v>
      </c>
      <c r="B908">
        <v>4.0999999999999996</v>
      </c>
      <c r="C908" t="s">
        <v>14</v>
      </c>
      <c r="D908" t="s">
        <v>17</v>
      </c>
      <c r="E908">
        <v>900</v>
      </c>
      <c r="F908">
        <v>52</v>
      </c>
      <c r="G908">
        <v>12.02</v>
      </c>
      <c r="H908">
        <v>8.56</v>
      </c>
      <c r="I908">
        <v>208.78</v>
      </c>
      <c r="J908">
        <v>21</v>
      </c>
      <c r="K908" t="s">
        <v>16</v>
      </c>
    </row>
    <row r="909" spans="1:11" x14ac:dyDescent="0.25">
      <c r="A909">
        <v>300</v>
      </c>
      <c r="B909">
        <v>15.08</v>
      </c>
      <c r="C909" t="s">
        <v>14</v>
      </c>
      <c r="D909" t="s">
        <v>20</v>
      </c>
      <c r="E909">
        <v>1500</v>
      </c>
      <c r="F909">
        <v>26.8</v>
      </c>
      <c r="G909">
        <v>11.1</v>
      </c>
      <c r="H909">
        <v>6.99</v>
      </c>
      <c r="I909">
        <v>46.35</v>
      </c>
      <c r="J909">
        <v>8</v>
      </c>
      <c r="K909" t="s">
        <v>16</v>
      </c>
    </row>
    <row r="910" spans="1:11" x14ac:dyDescent="0.25">
      <c r="A910">
        <v>300</v>
      </c>
      <c r="B910">
        <v>12.3</v>
      </c>
      <c r="C910" t="s">
        <v>21</v>
      </c>
      <c r="D910" t="s">
        <v>18</v>
      </c>
      <c r="E910">
        <v>900</v>
      </c>
      <c r="F910">
        <v>-1.9</v>
      </c>
      <c r="G910">
        <v>0.49</v>
      </c>
      <c r="H910">
        <v>8.94</v>
      </c>
      <c r="I910">
        <v>72.680000000000007</v>
      </c>
      <c r="J910">
        <v>3</v>
      </c>
      <c r="K910" t="s">
        <v>16</v>
      </c>
    </row>
    <row r="911" spans="1:11" x14ac:dyDescent="0.25">
      <c r="A911">
        <v>1500</v>
      </c>
      <c r="B911">
        <v>25.42</v>
      </c>
      <c r="C911" t="s">
        <v>22</v>
      </c>
      <c r="D911" t="s">
        <v>17</v>
      </c>
      <c r="E911">
        <v>1500</v>
      </c>
      <c r="F911">
        <v>12.3</v>
      </c>
      <c r="G911">
        <v>4.53</v>
      </c>
      <c r="H911">
        <v>0.27</v>
      </c>
      <c r="I911">
        <v>1.06</v>
      </c>
      <c r="J911">
        <v>4</v>
      </c>
      <c r="K911" t="s">
        <v>23</v>
      </c>
    </row>
    <row r="912" spans="1:11" x14ac:dyDescent="0.25">
      <c r="A912">
        <v>1500</v>
      </c>
      <c r="B912">
        <v>38.49</v>
      </c>
      <c r="C912" t="s">
        <v>11</v>
      </c>
      <c r="D912" t="s">
        <v>17</v>
      </c>
      <c r="E912">
        <v>1500</v>
      </c>
      <c r="F912">
        <v>47.9</v>
      </c>
      <c r="G912">
        <v>9.7899999999999991</v>
      </c>
      <c r="H912">
        <v>5.75</v>
      </c>
      <c r="I912">
        <v>14.94</v>
      </c>
      <c r="J912">
        <v>13</v>
      </c>
      <c r="K912" t="s">
        <v>16</v>
      </c>
    </row>
    <row r="913" spans="1:11" x14ac:dyDescent="0.25">
      <c r="A913">
        <v>250</v>
      </c>
      <c r="B913">
        <v>14.81</v>
      </c>
      <c r="C913" t="s">
        <v>19</v>
      </c>
      <c r="D913" t="s">
        <v>12</v>
      </c>
      <c r="E913">
        <v>2500</v>
      </c>
      <c r="F913">
        <v>70.8</v>
      </c>
      <c r="G913">
        <v>7.22</v>
      </c>
      <c r="H913">
        <v>9.39</v>
      </c>
      <c r="I913">
        <v>63.4</v>
      </c>
      <c r="J913">
        <v>19</v>
      </c>
      <c r="K913" t="s">
        <v>16</v>
      </c>
    </row>
    <row r="914" spans="1:11" x14ac:dyDescent="0.25">
      <c r="A914">
        <v>100</v>
      </c>
      <c r="B914">
        <v>4.26</v>
      </c>
      <c r="C914" t="s">
        <v>22</v>
      </c>
      <c r="D914" t="s">
        <v>18</v>
      </c>
      <c r="E914">
        <v>900</v>
      </c>
      <c r="F914">
        <v>17.399999999999999</v>
      </c>
      <c r="G914">
        <v>12.07</v>
      </c>
      <c r="H914">
        <v>0.69</v>
      </c>
      <c r="I914">
        <v>16.2</v>
      </c>
      <c r="J914">
        <v>24</v>
      </c>
      <c r="K914" t="s">
        <v>23</v>
      </c>
    </row>
    <row r="915" spans="1:11" x14ac:dyDescent="0.25">
      <c r="A915">
        <v>150</v>
      </c>
      <c r="B915">
        <v>6.8</v>
      </c>
      <c r="C915" t="s">
        <v>22</v>
      </c>
      <c r="D915" t="s">
        <v>17</v>
      </c>
      <c r="E915">
        <v>900</v>
      </c>
      <c r="F915">
        <v>-0.7</v>
      </c>
      <c r="G915">
        <v>17.579999999999998</v>
      </c>
      <c r="H915">
        <v>3.43</v>
      </c>
      <c r="I915">
        <v>50.44</v>
      </c>
      <c r="J915">
        <v>7</v>
      </c>
      <c r="K915" t="s">
        <v>13</v>
      </c>
    </row>
    <row r="916" spans="1:11" x14ac:dyDescent="0.25">
      <c r="A916">
        <v>600</v>
      </c>
      <c r="B916">
        <v>15.01</v>
      </c>
      <c r="C916" t="s">
        <v>19</v>
      </c>
      <c r="D916" t="s">
        <v>18</v>
      </c>
      <c r="E916">
        <v>300</v>
      </c>
      <c r="F916">
        <v>105.3</v>
      </c>
      <c r="G916">
        <v>0.89</v>
      </c>
      <c r="H916">
        <v>7.62</v>
      </c>
      <c r="I916">
        <v>50.77</v>
      </c>
      <c r="J916">
        <v>2</v>
      </c>
      <c r="K916" t="s">
        <v>16</v>
      </c>
    </row>
    <row r="917" spans="1:11" x14ac:dyDescent="0.25">
      <c r="A917">
        <v>500</v>
      </c>
      <c r="B917">
        <v>16.93</v>
      </c>
      <c r="C917" t="s">
        <v>21</v>
      </c>
      <c r="D917" t="s">
        <v>18</v>
      </c>
      <c r="E917">
        <v>1500</v>
      </c>
      <c r="F917">
        <v>56.6</v>
      </c>
      <c r="G917">
        <v>3.99</v>
      </c>
      <c r="H917">
        <v>9.35</v>
      </c>
      <c r="I917">
        <v>55.23</v>
      </c>
      <c r="J917">
        <v>1</v>
      </c>
      <c r="K917" t="s">
        <v>16</v>
      </c>
    </row>
    <row r="918" spans="1:11" x14ac:dyDescent="0.25">
      <c r="A918">
        <v>200</v>
      </c>
      <c r="B918">
        <v>8.15</v>
      </c>
      <c r="C918" t="s">
        <v>21</v>
      </c>
      <c r="D918" t="s">
        <v>18</v>
      </c>
      <c r="E918">
        <v>150</v>
      </c>
      <c r="F918">
        <v>-38.299999999999997</v>
      </c>
      <c r="G918">
        <v>8.1199999999999992</v>
      </c>
      <c r="H918">
        <v>4.0199999999999996</v>
      </c>
      <c r="I918">
        <v>49.33</v>
      </c>
      <c r="J918">
        <v>17</v>
      </c>
      <c r="K918" t="s">
        <v>13</v>
      </c>
    </row>
    <row r="919" spans="1:11" x14ac:dyDescent="0.25">
      <c r="A919">
        <v>200</v>
      </c>
      <c r="B919">
        <v>11.54</v>
      </c>
      <c r="C919" t="s">
        <v>21</v>
      </c>
      <c r="D919" t="s">
        <v>15</v>
      </c>
      <c r="E919">
        <v>150</v>
      </c>
      <c r="F919">
        <v>-18.600000000000001</v>
      </c>
      <c r="G919">
        <v>9.17</v>
      </c>
      <c r="H919">
        <v>5.72</v>
      </c>
      <c r="I919">
        <v>49.57</v>
      </c>
      <c r="J919">
        <v>12</v>
      </c>
      <c r="K919" t="s">
        <v>16</v>
      </c>
    </row>
    <row r="920" spans="1:11" x14ac:dyDescent="0.25">
      <c r="A920">
        <v>1000</v>
      </c>
      <c r="B920">
        <v>21.38</v>
      </c>
      <c r="C920" t="s">
        <v>14</v>
      </c>
      <c r="D920" t="s">
        <v>18</v>
      </c>
      <c r="E920">
        <v>600</v>
      </c>
      <c r="F920">
        <v>23.1</v>
      </c>
      <c r="G920">
        <v>14.04</v>
      </c>
      <c r="H920">
        <v>8.89</v>
      </c>
      <c r="I920">
        <v>41.58</v>
      </c>
      <c r="J920">
        <v>6</v>
      </c>
      <c r="K920" t="s">
        <v>16</v>
      </c>
    </row>
    <row r="921" spans="1:11" x14ac:dyDescent="0.25">
      <c r="A921">
        <v>100</v>
      </c>
      <c r="B921">
        <v>7.35</v>
      </c>
      <c r="C921" t="s">
        <v>11</v>
      </c>
      <c r="D921" t="s">
        <v>18</v>
      </c>
      <c r="E921">
        <v>600</v>
      </c>
      <c r="F921">
        <v>131.19999999999999</v>
      </c>
      <c r="G921">
        <v>3.24</v>
      </c>
      <c r="H921">
        <v>4.92</v>
      </c>
      <c r="I921">
        <v>66.94</v>
      </c>
      <c r="J921">
        <v>5</v>
      </c>
      <c r="K921" t="s">
        <v>13</v>
      </c>
    </row>
    <row r="922" spans="1:11" x14ac:dyDescent="0.25">
      <c r="A922">
        <v>1500</v>
      </c>
      <c r="B922">
        <v>41.08</v>
      </c>
      <c r="C922" t="s">
        <v>21</v>
      </c>
      <c r="D922" t="s">
        <v>17</v>
      </c>
      <c r="E922">
        <v>1500</v>
      </c>
      <c r="F922">
        <v>16.600000000000001</v>
      </c>
      <c r="G922">
        <v>9.56</v>
      </c>
      <c r="H922">
        <v>2.27</v>
      </c>
      <c r="I922">
        <v>5.53</v>
      </c>
      <c r="J922">
        <v>14</v>
      </c>
      <c r="K922" t="s">
        <v>13</v>
      </c>
    </row>
    <row r="923" spans="1:11" x14ac:dyDescent="0.25">
      <c r="A923">
        <v>1200</v>
      </c>
      <c r="B923">
        <v>36.4</v>
      </c>
      <c r="C923" t="s">
        <v>19</v>
      </c>
      <c r="D923" t="s">
        <v>17</v>
      </c>
      <c r="E923">
        <v>150</v>
      </c>
      <c r="F923">
        <v>33.200000000000003</v>
      </c>
      <c r="G923">
        <v>4.5599999999999996</v>
      </c>
      <c r="H923">
        <v>2.09</v>
      </c>
      <c r="I923">
        <v>5.74</v>
      </c>
      <c r="J923">
        <v>21</v>
      </c>
      <c r="K923" t="s">
        <v>13</v>
      </c>
    </row>
    <row r="924" spans="1:11" x14ac:dyDescent="0.25">
      <c r="A924">
        <v>100</v>
      </c>
      <c r="B924">
        <v>4.3499999999999996</v>
      </c>
      <c r="C924" t="s">
        <v>14</v>
      </c>
      <c r="D924" t="s">
        <v>17</v>
      </c>
      <c r="E924">
        <v>1500</v>
      </c>
      <c r="F924">
        <v>16.899999999999999</v>
      </c>
      <c r="G924">
        <v>11.22</v>
      </c>
      <c r="H924">
        <v>9.5299999999999994</v>
      </c>
      <c r="I924">
        <v>219.08</v>
      </c>
      <c r="J924">
        <v>10</v>
      </c>
      <c r="K924" t="s">
        <v>16</v>
      </c>
    </row>
    <row r="925" spans="1:11" x14ac:dyDescent="0.25">
      <c r="A925">
        <v>250</v>
      </c>
      <c r="B925">
        <v>7.87</v>
      </c>
      <c r="C925" t="s">
        <v>11</v>
      </c>
      <c r="D925" t="s">
        <v>20</v>
      </c>
      <c r="E925">
        <v>2500</v>
      </c>
      <c r="F925">
        <v>8.1</v>
      </c>
      <c r="G925">
        <v>1.97</v>
      </c>
      <c r="H925">
        <v>7.41</v>
      </c>
      <c r="I925">
        <v>94.16</v>
      </c>
      <c r="J925">
        <v>16</v>
      </c>
      <c r="K925" t="s">
        <v>16</v>
      </c>
    </row>
    <row r="926" spans="1:11" x14ac:dyDescent="0.25">
      <c r="A926">
        <v>800</v>
      </c>
      <c r="B926">
        <v>24.15</v>
      </c>
      <c r="C926" t="s">
        <v>21</v>
      </c>
      <c r="D926" t="s">
        <v>18</v>
      </c>
      <c r="E926">
        <v>900</v>
      </c>
      <c r="F926">
        <v>-50</v>
      </c>
      <c r="G926">
        <v>17.82</v>
      </c>
      <c r="H926">
        <v>1.27</v>
      </c>
      <c r="I926">
        <v>5.26</v>
      </c>
      <c r="J926">
        <v>24</v>
      </c>
      <c r="K926" t="s">
        <v>23</v>
      </c>
    </row>
    <row r="927" spans="1:11" x14ac:dyDescent="0.25">
      <c r="A927">
        <v>200</v>
      </c>
      <c r="B927">
        <v>8.1</v>
      </c>
      <c r="C927" t="s">
        <v>21</v>
      </c>
      <c r="D927" t="s">
        <v>12</v>
      </c>
      <c r="E927">
        <v>150</v>
      </c>
      <c r="F927">
        <v>-19.2</v>
      </c>
      <c r="G927">
        <v>2.78</v>
      </c>
      <c r="H927">
        <v>4.34</v>
      </c>
      <c r="I927">
        <v>53.58</v>
      </c>
      <c r="J927">
        <v>1</v>
      </c>
      <c r="K927" t="s">
        <v>13</v>
      </c>
    </row>
    <row r="928" spans="1:11" x14ac:dyDescent="0.25">
      <c r="A928">
        <v>100</v>
      </c>
      <c r="B928">
        <v>4.08</v>
      </c>
      <c r="C928" t="s">
        <v>19</v>
      </c>
      <c r="D928" t="s">
        <v>15</v>
      </c>
      <c r="E928">
        <v>2500</v>
      </c>
      <c r="F928">
        <v>66.900000000000006</v>
      </c>
      <c r="G928">
        <v>1.39</v>
      </c>
      <c r="H928">
        <v>9.4499999999999993</v>
      </c>
      <c r="I928">
        <v>231.62</v>
      </c>
      <c r="J928">
        <v>20</v>
      </c>
      <c r="K928" t="s">
        <v>16</v>
      </c>
    </row>
    <row r="929" spans="1:11" x14ac:dyDescent="0.25">
      <c r="A929">
        <v>1500</v>
      </c>
      <c r="B929">
        <v>23.13</v>
      </c>
      <c r="C929" t="s">
        <v>19</v>
      </c>
      <c r="D929" t="s">
        <v>20</v>
      </c>
      <c r="E929">
        <v>900</v>
      </c>
      <c r="F929">
        <v>147</v>
      </c>
      <c r="G929">
        <v>16.41</v>
      </c>
      <c r="H929">
        <v>9.6300000000000008</v>
      </c>
      <c r="I929">
        <v>41.63</v>
      </c>
      <c r="J929">
        <v>22</v>
      </c>
      <c r="K929" t="s">
        <v>16</v>
      </c>
    </row>
    <row r="930" spans="1:11" x14ac:dyDescent="0.25">
      <c r="A930">
        <v>800</v>
      </c>
      <c r="B930">
        <v>14.72</v>
      </c>
      <c r="C930" t="s">
        <v>11</v>
      </c>
      <c r="D930" t="s">
        <v>15</v>
      </c>
      <c r="E930">
        <v>1500</v>
      </c>
      <c r="F930">
        <v>16.3</v>
      </c>
      <c r="G930">
        <v>3.1</v>
      </c>
      <c r="H930">
        <v>3.54</v>
      </c>
      <c r="I930">
        <v>24.05</v>
      </c>
      <c r="J930">
        <v>2</v>
      </c>
      <c r="K930" t="s">
        <v>13</v>
      </c>
    </row>
    <row r="931" spans="1:11" x14ac:dyDescent="0.25">
      <c r="A931">
        <v>200</v>
      </c>
      <c r="B931">
        <v>6.68</v>
      </c>
      <c r="C931" t="s">
        <v>21</v>
      </c>
      <c r="D931" t="s">
        <v>20</v>
      </c>
      <c r="E931">
        <v>900</v>
      </c>
      <c r="F931">
        <v>85.8</v>
      </c>
      <c r="G931">
        <v>18.29</v>
      </c>
      <c r="H931">
        <v>6.76</v>
      </c>
      <c r="I931">
        <v>101.2</v>
      </c>
      <c r="J931">
        <v>12</v>
      </c>
      <c r="K931" t="s">
        <v>16</v>
      </c>
    </row>
    <row r="932" spans="1:11" x14ac:dyDescent="0.25">
      <c r="A932">
        <v>50</v>
      </c>
      <c r="B932">
        <v>4.3499999999999996</v>
      </c>
      <c r="C932" t="s">
        <v>21</v>
      </c>
      <c r="D932" t="s">
        <v>17</v>
      </c>
      <c r="E932">
        <v>300</v>
      </c>
      <c r="F932">
        <v>17.7</v>
      </c>
      <c r="G932">
        <v>19.18</v>
      </c>
      <c r="H932">
        <v>3.69</v>
      </c>
      <c r="I932">
        <v>84.83</v>
      </c>
      <c r="J932">
        <v>17</v>
      </c>
      <c r="K932" t="s">
        <v>13</v>
      </c>
    </row>
    <row r="933" spans="1:11" x14ac:dyDescent="0.25">
      <c r="A933">
        <v>400</v>
      </c>
      <c r="B933">
        <v>16.149999999999999</v>
      </c>
      <c r="C933" t="s">
        <v>14</v>
      </c>
      <c r="D933" t="s">
        <v>20</v>
      </c>
      <c r="E933">
        <v>600</v>
      </c>
      <c r="F933">
        <v>89.6</v>
      </c>
      <c r="G933">
        <v>3.36</v>
      </c>
      <c r="H933">
        <v>6.01</v>
      </c>
      <c r="I933">
        <v>37.21</v>
      </c>
      <c r="J933">
        <v>3</v>
      </c>
      <c r="K933" t="s">
        <v>16</v>
      </c>
    </row>
    <row r="934" spans="1:11" x14ac:dyDescent="0.25">
      <c r="A934">
        <v>800</v>
      </c>
      <c r="B934">
        <v>28.05</v>
      </c>
      <c r="C934" t="s">
        <v>19</v>
      </c>
      <c r="D934" t="s">
        <v>17</v>
      </c>
      <c r="E934">
        <v>150</v>
      </c>
      <c r="F934">
        <v>52</v>
      </c>
      <c r="G934">
        <v>8.76</v>
      </c>
      <c r="H934">
        <v>0.42</v>
      </c>
      <c r="I934">
        <v>1.5</v>
      </c>
      <c r="J934">
        <v>4</v>
      </c>
      <c r="K934" t="s">
        <v>23</v>
      </c>
    </row>
    <row r="935" spans="1:11" x14ac:dyDescent="0.25">
      <c r="A935">
        <v>1200</v>
      </c>
      <c r="B935">
        <v>18.36</v>
      </c>
      <c r="C935" t="s">
        <v>21</v>
      </c>
      <c r="D935" t="s">
        <v>18</v>
      </c>
      <c r="E935">
        <v>900</v>
      </c>
      <c r="F935">
        <v>-2.2000000000000002</v>
      </c>
      <c r="G935">
        <v>16.53</v>
      </c>
      <c r="H935">
        <v>6.54</v>
      </c>
      <c r="I935">
        <v>35.619999999999997</v>
      </c>
      <c r="J935">
        <v>21</v>
      </c>
      <c r="K935" t="s">
        <v>16</v>
      </c>
    </row>
    <row r="936" spans="1:11" x14ac:dyDescent="0.25">
      <c r="A936">
        <v>100</v>
      </c>
      <c r="B936">
        <v>5.83</v>
      </c>
      <c r="C936" t="s">
        <v>11</v>
      </c>
      <c r="D936" t="s">
        <v>12</v>
      </c>
      <c r="E936">
        <v>150</v>
      </c>
      <c r="F936">
        <v>46.4</v>
      </c>
      <c r="G936">
        <v>15.07</v>
      </c>
      <c r="H936">
        <v>1.24</v>
      </c>
      <c r="I936">
        <v>21.27</v>
      </c>
      <c r="J936">
        <v>5</v>
      </c>
      <c r="K936" t="s">
        <v>23</v>
      </c>
    </row>
    <row r="937" spans="1:11" x14ac:dyDescent="0.25">
      <c r="A937">
        <v>1000</v>
      </c>
      <c r="B937">
        <v>22.79</v>
      </c>
      <c r="C937" t="s">
        <v>21</v>
      </c>
      <c r="D937" t="s">
        <v>20</v>
      </c>
      <c r="E937">
        <v>600</v>
      </c>
      <c r="F937">
        <v>24.3</v>
      </c>
      <c r="G937">
        <v>11.82</v>
      </c>
      <c r="H937">
        <v>8.2200000000000006</v>
      </c>
      <c r="I937">
        <v>36.07</v>
      </c>
      <c r="J937">
        <v>2</v>
      </c>
      <c r="K937" t="s">
        <v>16</v>
      </c>
    </row>
    <row r="938" spans="1:11" x14ac:dyDescent="0.25">
      <c r="A938">
        <v>300</v>
      </c>
      <c r="B938">
        <v>12.24</v>
      </c>
      <c r="C938" t="s">
        <v>21</v>
      </c>
      <c r="D938" t="s">
        <v>18</v>
      </c>
      <c r="E938">
        <v>300</v>
      </c>
      <c r="F938">
        <v>24.6</v>
      </c>
      <c r="G938">
        <v>9.5299999999999994</v>
      </c>
      <c r="H938">
        <v>4.75</v>
      </c>
      <c r="I938">
        <v>38.81</v>
      </c>
      <c r="J938">
        <v>20</v>
      </c>
      <c r="K938" t="s">
        <v>13</v>
      </c>
    </row>
    <row r="939" spans="1:11" x14ac:dyDescent="0.25">
      <c r="A939">
        <v>100</v>
      </c>
      <c r="B939">
        <v>4.29</v>
      </c>
      <c r="C939" t="s">
        <v>21</v>
      </c>
      <c r="D939" t="s">
        <v>15</v>
      </c>
      <c r="E939">
        <v>600</v>
      </c>
      <c r="F939">
        <v>142.69999999999999</v>
      </c>
      <c r="G939">
        <v>14.33</v>
      </c>
      <c r="H939">
        <v>4.17</v>
      </c>
      <c r="I939">
        <v>97.2</v>
      </c>
      <c r="J939">
        <v>17</v>
      </c>
      <c r="K939" t="s">
        <v>13</v>
      </c>
    </row>
    <row r="940" spans="1:11" x14ac:dyDescent="0.25">
      <c r="A940">
        <v>400</v>
      </c>
      <c r="B940">
        <v>11.94</v>
      </c>
      <c r="C940" t="s">
        <v>14</v>
      </c>
      <c r="D940" t="s">
        <v>12</v>
      </c>
      <c r="E940">
        <v>300</v>
      </c>
      <c r="F940">
        <v>11.7</v>
      </c>
      <c r="G940">
        <v>15.29</v>
      </c>
      <c r="H940">
        <v>1.67</v>
      </c>
      <c r="I940">
        <v>13.99</v>
      </c>
      <c r="J940">
        <v>12</v>
      </c>
      <c r="K940" t="s">
        <v>23</v>
      </c>
    </row>
    <row r="941" spans="1:11" x14ac:dyDescent="0.25">
      <c r="A941">
        <v>200</v>
      </c>
      <c r="B941">
        <v>7.19</v>
      </c>
      <c r="C941" t="s">
        <v>11</v>
      </c>
      <c r="D941" t="s">
        <v>15</v>
      </c>
      <c r="E941">
        <v>300</v>
      </c>
      <c r="F941">
        <v>11.7</v>
      </c>
      <c r="G941">
        <v>1.68</v>
      </c>
      <c r="H941">
        <v>3.99</v>
      </c>
      <c r="I941">
        <v>55.49</v>
      </c>
      <c r="J941">
        <v>7</v>
      </c>
      <c r="K941" t="s">
        <v>13</v>
      </c>
    </row>
    <row r="942" spans="1:11" x14ac:dyDescent="0.25">
      <c r="A942">
        <v>600</v>
      </c>
      <c r="B942">
        <v>23.85</v>
      </c>
      <c r="C942" t="s">
        <v>21</v>
      </c>
      <c r="D942" t="s">
        <v>15</v>
      </c>
      <c r="E942">
        <v>2500</v>
      </c>
      <c r="F942">
        <v>49.6</v>
      </c>
      <c r="G942">
        <v>5.78</v>
      </c>
      <c r="H942">
        <v>1.82</v>
      </c>
      <c r="I942">
        <v>7.63</v>
      </c>
      <c r="J942">
        <v>1</v>
      </c>
      <c r="K942" t="s">
        <v>23</v>
      </c>
    </row>
    <row r="943" spans="1:11" x14ac:dyDescent="0.25">
      <c r="A943">
        <v>1500</v>
      </c>
      <c r="B943">
        <v>48.84</v>
      </c>
      <c r="C943" t="s">
        <v>21</v>
      </c>
      <c r="D943" t="s">
        <v>18</v>
      </c>
      <c r="E943">
        <v>2500</v>
      </c>
      <c r="F943">
        <v>52.1</v>
      </c>
      <c r="G943">
        <v>3.51</v>
      </c>
      <c r="H943">
        <v>9.8000000000000007</v>
      </c>
      <c r="I943">
        <v>20.07</v>
      </c>
      <c r="J943">
        <v>23</v>
      </c>
      <c r="K943" t="s">
        <v>16</v>
      </c>
    </row>
    <row r="944" spans="1:11" x14ac:dyDescent="0.25">
      <c r="A944">
        <v>250</v>
      </c>
      <c r="B944">
        <v>9.25</v>
      </c>
      <c r="C944" t="s">
        <v>11</v>
      </c>
      <c r="D944" t="s">
        <v>15</v>
      </c>
      <c r="E944">
        <v>300</v>
      </c>
      <c r="F944">
        <v>74.2</v>
      </c>
      <c r="G944">
        <v>3.69</v>
      </c>
      <c r="H944">
        <v>2.64</v>
      </c>
      <c r="I944">
        <v>28.54</v>
      </c>
      <c r="J944">
        <v>6</v>
      </c>
      <c r="K944" t="s">
        <v>13</v>
      </c>
    </row>
    <row r="945" spans="1:11" x14ac:dyDescent="0.25">
      <c r="A945">
        <v>600</v>
      </c>
      <c r="B945">
        <v>29.46</v>
      </c>
      <c r="C945" t="s">
        <v>14</v>
      </c>
      <c r="D945" t="s">
        <v>12</v>
      </c>
      <c r="E945">
        <v>600</v>
      </c>
      <c r="F945">
        <v>46.6</v>
      </c>
      <c r="G945">
        <v>11.64</v>
      </c>
      <c r="H945">
        <v>0.45</v>
      </c>
      <c r="I945">
        <v>1.53</v>
      </c>
      <c r="J945">
        <v>5</v>
      </c>
      <c r="K945" t="s">
        <v>23</v>
      </c>
    </row>
    <row r="946" spans="1:11" x14ac:dyDescent="0.25">
      <c r="A946">
        <v>500</v>
      </c>
      <c r="B946">
        <v>11.26</v>
      </c>
      <c r="C946" t="s">
        <v>22</v>
      </c>
      <c r="D946" t="s">
        <v>18</v>
      </c>
      <c r="E946">
        <v>1500</v>
      </c>
      <c r="F946">
        <v>77.900000000000006</v>
      </c>
      <c r="G946">
        <v>14.86</v>
      </c>
      <c r="H946">
        <v>8.67</v>
      </c>
      <c r="I946">
        <v>77</v>
      </c>
      <c r="J946">
        <v>14</v>
      </c>
      <c r="K946" t="s">
        <v>16</v>
      </c>
    </row>
    <row r="947" spans="1:11" x14ac:dyDescent="0.25">
      <c r="A947">
        <v>200</v>
      </c>
      <c r="B947">
        <v>12</v>
      </c>
      <c r="C947" t="s">
        <v>14</v>
      </c>
      <c r="D947" t="s">
        <v>17</v>
      </c>
      <c r="E947">
        <v>2500</v>
      </c>
      <c r="F947">
        <v>1</v>
      </c>
      <c r="G947">
        <v>6.49</v>
      </c>
      <c r="H947">
        <v>8.7799999999999994</v>
      </c>
      <c r="I947">
        <v>73.17</v>
      </c>
      <c r="J947">
        <v>17</v>
      </c>
      <c r="K947" t="s">
        <v>16</v>
      </c>
    </row>
    <row r="948" spans="1:11" x14ac:dyDescent="0.25">
      <c r="A948">
        <v>250</v>
      </c>
      <c r="B948">
        <v>10.56</v>
      </c>
      <c r="C948" t="s">
        <v>11</v>
      </c>
      <c r="D948" t="s">
        <v>18</v>
      </c>
      <c r="E948">
        <v>150</v>
      </c>
      <c r="F948">
        <v>116.2</v>
      </c>
      <c r="G948">
        <v>7.59</v>
      </c>
      <c r="H948">
        <v>4.16</v>
      </c>
      <c r="I948">
        <v>39.39</v>
      </c>
      <c r="J948">
        <v>24</v>
      </c>
      <c r="K948" t="s">
        <v>13</v>
      </c>
    </row>
    <row r="949" spans="1:11" x14ac:dyDescent="0.25">
      <c r="A949">
        <v>600</v>
      </c>
      <c r="B949">
        <v>10.09</v>
      </c>
      <c r="C949" t="s">
        <v>22</v>
      </c>
      <c r="D949" t="s">
        <v>12</v>
      </c>
      <c r="E949">
        <v>300</v>
      </c>
      <c r="F949">
        <v>-20.100000000000001</v>
      </c>
      <c r="G949">
        <v>3.04</v>
      </c>
      <c r="H949">
        <v>6.15</v>
      </c>
      <c r="I949">
        <v>60.95</v>
      </c>
      <c r="J949">
        <v>14</v>
      </c>
      <c r="K949" t="s">
        <v>16</v>
      </c>
    </row>
    <row r="950" spans="1:11" x14ac:dyDescent="0.25">
      <c r="A950">
        <v>200</v>
      </c>
      <c r="B950">
        <v>10.57</v>
      </c>
      <c r="C950" t="s">
        <v>11</v>
      </c>
      <c r="D950" t="s">
        <v>17</v>
      </c>
      <c r="E950">
        <v>900</v>
      </c>
      <c r="F950">
        <v>98.1</v>
      </c>
      <c r="G950">
        <v>0.33</v>
      </c>
      <c r="H950">
        <v>6.77</v>
      </c>
      <c r="I950">
        <v>64.05</v>
      </c>
      <c r="J950">
        <v>12</v>
      </c>
      <c r="K950" t="s">
        <v>16</v>
      </c>
    </row>
    <row r="951" spans="1:11" x14ac:dyDescent="0.25">
      <c r="A951">
        <v>1500</v>
      </c>
      <c r="B951">
        <v>45.56</v>
      </c>
      <c r="C951" t="s">
        <v>21</v>
      </c>
      <c r="D951" t="s">
        <v>15</v>
      </c>
      <c r="E951">
        <v>600</v>
      </c>
      <c r="F951">
        <v>138.5</v>
      </c>
      <c r="G951">
        <v>15.72</v>
      </c>
      <c r="H951">
        <v>8.7899999999999991</v>
      </c>
      <c r="I951">
        <v>19.29</v>
      </c>
      <c r="J951">
        <v>4</v>
      </c>
      <c r="K951" t="s">
        <v>16</v>
      </c>
    </row>
    <row r="952" spans="1:11" x14ac:dyDescent="0.25">
      <c r="A952">
        <v>250</v>
      </c>
      <c r="B952">
        <v>8.27</v>
      </c>
      <c r="C952" t="s">
        <v>21</v>
      </c>
      <c r="D952" t="s">
        <v>15</v>
      </c>
      <c r="E952">
        <v>1500</v>
      </c>
      <c r="F952">
        <v>38.700000000000003</v>
      </c>
      <c r="G952">
        <v>3.44</v>
      </c>
      <c r="H952">
        <v>8.0399999999999991</v>
      </c>
      <c r="I952">
        <v>97.22</v>
      </c>
      <c r="J952">
        <v>17</v>
      </c>
      <c r="K952" t="s">
        <v>16</v>
      </c>
    </row>
    <row r="953" spans="1:11" x14ac:dyDescent="0.25">
      <c r="A953">
        <v>1500</v>
      </c>
      <c r="B953">
        <v>48.66</v>
      </c>
      <c r="C953" t="s">
        <v>14</v>
      </c>
      <c r="D953" t="s">
        <v>17</v>
      </c>
      <c r="E953">
        <v>150</v>
      </c>
      <c r="F953">
        <v>-6.2</v>
      </c>
      <c r="G953">
        <v>5.48</v>
      </c>
      <c r="H953">
        <v>5.24</v>
      </c>
      <c r="I953">
        <v>10.77</v>
      </c>
      <c r="J953">
        <v>6</v>
      </c>
      <c r="K953" t="s">
        <v>16</v>
      </c>
    </row>
    <row r="954" spans="1:11" x14ac:dyDescent="0.25">
      <c r="A954">
        <v>50</v>
      </c>
      <c r="B954">
        <v>5.24</v>
      </c>
      <c r="C954" t="s">
        <v>21</v>
      </c>
      <c r="D954" t="s">
        <v>20</v>
      </c>
      <c r="E954">
        <v>150</v>
      </c>
      <c r="F954">
        <v>79.599999999999994</v>
      </c>
      <c r="G954">
        <v>12.7</v>
      </c>
      <c r="H954">
        <v>0.08</v>
      </c>
      <c r="I954">
        <v>1.53</v>
      </c>
      <c r="J954">
        <v>7</v>
      </c>
      <c r="K954" t="s">
        <v>23</v>
      </c>
    </row>
    <row r="955" spans="1:11" x14ac:dyDescent="0.25">
      <c r="A955">
        <v>150</v>
      </c>
      <c r="B955">
        <v>8.31</v>
      </c>
      <c r="C955" t="s">
        <v>11</v>
      </c>
      <c r="D955" t="s">
        <v>18</v>
      </c>
      <c r="E955">
        <v>900</v>
      </c>
      <c r="F955">
        <v>-16.7</v>
      </c>
      <c r="G955">
        <v>2.76</v>
      </c>
      <c r="H955">
        <v>7.64</v>
      </c>
      <c r="I955">
        <v>91.94</v>
      </c>
      <c r="J955">
        <v>4</v>
      </c>
      <c r="K955" t="s">
        <v>16</v>
      </c>
    </row>
    <row r="956" spans="1:11" x14ac:dyDescent="0.25">
      <c r="A956">
        <v>250</v>
      </c>
      <c r="B956">
        <v>9.3699999999999992</v>
      </c>
      <c r="C956" t="s">
        <v>14</v>
      </c>
      <c r="D956" t="s">
        <v>12</v>
      </c>
      <c r="E956">
        <v>2500</v>
      </c>
      <c r="F956">
        <v>54.6</v>
      </c>
      <c r="G956">
        <v>7.99</v>
      </c>
      <c r="H956">
        <v>8.9600000000000009</v>
      </c>
      <c r="I956">
        <v>95.62</v>
      </c>
      <c r="J956">
        <v>16</v>
      </c>
      <c r="K956" t="s">
        <v>16</v>
      </c>
    </row>
    <row r="957" spans="1:11" x14ac:dyDescent="0.25">
      <c r="A957">
        <v>400</v>
      </c>
      <c r="B957">
        <v>19.059999999999999</v>
      </c>
      <c r="C957" t="s">
        <v>21</v>
      </c>
      <c r="D957" t="s">
        <v>12</v>
      </c>
      <c r="E957">
        <v>2500</v>
      </c>
      <c r="F957">
        <v>63.1</v>
      </c>
      <c r="G957">
        <v>2.78</v>
      </c>
      <c r="H957">
        <v>2.1800000000000002</v>
      </c>
      <c r="I957">
        <v>11.44</v>
      </c>
      <c r="J957">
        <v>23</v>
      </c>
      <c r="K957" t="s">
        <v>13</v>
      </c>
    </row>
    <row r="958" spans="1:11" x14ac:dyDescent="0.25">
      <c r="A958">
        <v>1000</v>
      </c>
      <c r="B958">
        <v>22.01</v>
      </c>
      <c r="C958" t="s">
        <v>21</v>
      </c>
      <c r="D958" t="s">
        <v>12</v>
      </c>
      <c r="E958">
        <v>300</v>
      </c>
      <c r="F958">
        <v>12.7</v>
      </c>
      <c r="G958">
        <v>9.65</v>
      </c>
      <c r="H958">
        <v>8.81</v>
      </c>
      <c r="I958">
        <v>40.03</v>
      </c>
      <c r="J958">
        <v>15</v>
      </c>
      <c r="K958" t="s">
        <v>16</v>
      </c>
    </row>
    <row r="959" spans="1:11" x14ac:dyDescent="0.25">
      <c r="A959">
        <v>1200</v>
      </c>
      <c r="B959">
        <v>30.98</v>
      </c>
      <c r="C959" t="s">
        <v>21</v>
      </c>
      <c r="D959" t="s">
        <v>17</v>
      </c>
      <c r="E959">
        <v>300</v>
      </c>
      <c r="F959">
        <v>82.6</v>
      </c>
      <c r="G959">
        <v>12.91</v>
      </c>
      <c r="H959">
        <v>2.38</v>
      </c>
      <c r="I959">
        <v>7.68</v>
      </c>
      <c r="J959">
        <v>18</v>
      </c>
      <c r="K959" t="s">
        <v>13</v>
      </c>
    </row>
    <row r="960" spans="1:11" x14ac:dyDescent="0.25">
      <c r="A960">
        <v>1000</v>
      </c>
      <c r="B960">
        <v>21.91</v>
      </c>
      <c r="C960" t="s">
        <v>19</v>
      </c>
      <c r="D960" t="s">
        <v>17</v>
      </c>
      <c r="E960">
        <v>150</v>
      </c>
      <c r="F960">
        <v>105.7</v>
      </c>
      <c r="G960">
        <v>14.23</v>
      </c>
      <c r="H960">
        <v>0.76</v>
      </c>
      <c r="I960">
        <v>3.47</v>
      </c>
      <c r="J960">
        <v>7</v>
      </c>
      <c r="K960" t="s">
        <v>23</v>
      </c>
    </row>
    <row r="961" spans="1:11" x14ac:dyDescent="0.25">
      <c r="A961">
        <v>800</v>
      </c>
      <c r="B961">
        <v>24.25</v>
      </c>
      <c r="C961" t="s">
        <v>11</v>
      </c>
      <c r="D961" t="s">
        <v>17</v>
      </c>
      <c r="E961">
        <v>150</v>
      </c>
      <c r="F961">
        <v>-28.4</v>
      </c>
      <c r="G961">
        <v>8.1</v>
      </c>
      <c r="H961">
        <v>8.0399999999999991</v>
      </c>
      <c r="I961">
        <v>33.15</v>
      </c>
      <c r="J961">
        <v>9</v>
      </c>
      <c r="K961" t="s">
        <v>16</v>
      </c>
    </row>
    <row r="962" spans="1:11" x14ac:dyDescent="0.25">
      <c r="A962">
        <v>300</v>
      </c>
      <c r="B962">
        <v>17.77</v>
      </c>
      <c r="C962" t="s">
        <v>14</v>
      </c>
      <c r="D962" t="s">
        <v>12</v>
      </c>
      <c r="E962">
        <v>600</v>
      </c>
      <c r="F962">
        <v>74</v>
      </c>
      <c r="G962">
        <v>12.62</v>
      </c>
      <c r="H962">
        <v>5.54</v>
      </c>
      <c r="I962">
        <v>31.18</v>
      </c>
      <c r="J962">
        <v>9</v>
      </c>
      <c r="K962" t="s">
        <v>16</v>
      </c>
    </row>
    <row r="963" spans="1:11" x14ac:dyDescent="0.25">
      <c r="A963">
        <v>800</v>
      </c>
      <c r="B963">
        <v>30.5</v>
      </c>
      <c r="C963" t="s">
        <v>22</v>
      </c>
      <c r="D963" t="s">
        <v>17</v>
      </c>
      <c r="E963">
        <v>2500</v>
      </c>
      <c r="F963">
        <v>60.4</v>
      </c>
      <c r="G963">
        <v>9.08</v>
      </c>
      <c r="H963">
        <v>3.44</v>
      </c>
      <c r="I963">
        <v>11.28</v>
      </c>
      <c r="J963">
        <v>23</v>
      </c>
      <c r="K963" t="s">
        <v>13</v>
      </c>
    </row>
    <row r="964" spans="1:11" x14ac:dyDescent="0.25">
      <c r="A964">
        <v>1500</v>
      </c>
      <c r="B964">
        <v>47.92</v>
      </c>
      <c r="C964" t="s">
        <v>21</v>
      </c>
      <c r="D964" t="s">
        <v>17</v>
      </c>
      <c r="E964">
        <v>600</v>
      </c>
      <c r="F964">
        <v>63.2</v>
      </c>
      <c r="G964">
        <v>1.66</v>
      </c>
      <c r="H964">
        <v>7.53</v>
      </c>
      <c r="I964">
        <v>15.71</v>
      </c>
      <c r="J964">
        <v>17</v>
      </c>
      <c r="K964" t="s">
        <v>16</v>
      </c>
    </row>
    <row r="965" spans="1:11" x14ac:dyDescent="0.25">
      <c r="A965">
        <v>600</v>
      </c>
      <c r="B965">
        <v>29.21</v>
      </c>
      <c r="C965" t="s">
        <v>14</v>
      </c>
      <c r="D965" t="s">
        <v>20</v>
      </c>
      <c r="E965">
        <v>900</v>
      </c>
      <c r="F965">
        <v>1.6</v>
      </c>
      <c r="G965">
        <v>14.94</v>
      </c>
      <c r="H965">
        <v>5.67</v>
      </c>
      <c r="I965">
        <v>19.41</v>
      </c>
      <c r="J965">
        <v>3</v>
      </c>
      <c r="K965" t="s">
        <v>16</v>
      </c>
    </row>
    <row r="966" spans="1:11" x14ac:dyDescent="0.25">
      <c r="A966">
        <v>100</v>
      </c>
      <c r="B966">
        <v>4.3099999999999996</v>
      </c>
      <c r="C966" t="s">
        <v>19</v>
      </c>
      <c r="D966" t="s">
        <v>15</v>
      </c>
      <c r="E966">
        <v>600</v>
      </c>
      <c r="F966">
        <v>30.5</v>
      </c>
      <c r="G966">
        <v>15.37</v>
      </c>
      <c r="H966">
        <v>2.58</v>
      </c>
      <c r="I966">
        <v>59.86</v>
      </c>
      <c r="J966">
        <v>11</v>
      </c>
      <c r="K966" t="s">
        <v>13</v>
      </c>
    </row>
    <row r="967" spans="1:11" x14ac:dyDescent="0.25">
      <c r="A967">
        <v>800</v>
      </c>
      <c r="B967">
        <v>29.61</v>
      </c>
      <c r="C967" t="s">
        <v>21</v>
      </c>
      <c r="D967" t="s">
        <v>15</v>
      </c>
      <c r="E967">
        <v>2500</v>
      </c>
      <c r="F967">
        <v>-7.2</v>
      </c>
      <c r="G967">
        <v>5.57</v>
      </c>
      <c r="H967">
        <v>9.94</v>
      </c>
      <c r="I967">
        <v>33.57</v>
      </c>
      <c r="J967">
        <v>11</v>
      </c>
      <c r="K967" t="s">
        <v>16</v>
      </c>
    </row>
    <row r="968" spans="1:11" x14ac:dyDescent="0.25">
      <c r="A968">
        <v>250</v>
      </c>
      <c r="B968">
        <v>7.35</v>
      </c>
      <c r="C968" t="s">
        <v>14</v>
      </c>
      <c r="D968" t="s">
        <v>20</v>
      </c>
      <c r="E968">
        <v>900</v>
      </c>
      <c r="F968">
        <v>43.5</v>
      </c>
      <c r="G968">
        <v>14.63</v>
      </c>
      <c r="H968">
        <v>2.84</v>
      </c>
      <c r="I968">
        <v>38.64</v>
      </c>
      <c r="J968">
        <v>6</v>
      </c>
      <c r="K968" t="s">
        <v>13</v>
      </c>
    </row>
    <row r="969" spans="1:11" x14ac:dyDescent="0.25">
      <c r="A969">
        <v>100</v>
      </c>
      <c r="B969">
        <v>6.37</v>
      </c>
      <c r="C969" t="s">
        <v>11</v>
      </c>
      <c r="D969" t="s">
        <v>18</v>
      </c>
      <c r="E969">
        <v>900</v>
      </c>
      <c r="F969">
        <v>37.799999999999997</v>
      </c>
      <c r="G969">
        <v>2.89</v>
      </c>
      <c r="H969">
        <v>7.99</v>
      </c>
      <c r="I969">
        <v>125.43</v>
      </c>
      <c r="J969">
        <v>13</v>
      </c>
      <c r="K969" t="s">
        <v>16</v>
      </c>
    </row>
    <row r="970" spans="1:11" x14ac:dyDescent="0.25">
      <c r="A970">
        <v>600</v>
      </c>
      <c r="B970">
        <v>23.46</v>
      </c>
      <c r="C970" t="s">
        <v>21</v>
      </c>
      <c r="D970" t="s">
        <v>18</v>
      </c>
      <c r="E970">
        <v>900</v>
      </c>
      <c r="F970">
        <v>2.8</v>
      </c>
      <c r="G970">
        <v>13.95</v>
      </c>
      <c r="H970">
        <v>6.4</v>
      </c>
      <c r="I970">
        <v>27.28</v>
      </c>
      <c r="J970">
        <v>1</v>
      </c>
      <c r="K970" t="s">
        <v>16</v>
      </c>
    </row>
    <row r="971" spans="1:11" x14ac:dyDescent="0.25">
      <c r="A971">
        <v>300</v>
      </c>
      <c r="B971">
        <v>8.9600000000000009</v>
      </c>
      <c r="C971" t="s">
        <v>21</v>
      </c>
      <c r="D971" t="s">
        <v>17</v>
      </c>
      <c r="E971">
        <v>2500</v>
      </c>
      <c r="F971">
        <v>43.2</v>
      </c>
      <c r="G971">
        <v>3.8</v>
      </c>
      <c r="H971">
        <v>1.19</v>
      </c>
      <c r="I971">
        <v>13.28</v>
      </c>
      <c r="J971">
        <v>12</v>
      </c>
      <c r="K971" t="s">
        <v>23</v>
      </c>
    </row>
    <row r="972" spans="1:11" x14ac:dyDescent="0.25">
      <c r="A972">
        <v>300</v>
      </c>
      <c r="B972">
        <v>9.7100000000000009</v>
      </c>
      <c r="C972" t="s">
        <v>21</v>
      </c>
      <c r="D972" t="s">
        <v>15</v>
      </c>
      <c r="E972">
        <v>1500</v>
      </c>
      <c r="F972">
        <v>-22.9</v>
      </c>
      <c r="G972">
        <v>8.9</v>
      </c>
      <c r="H972">
        <v>4.1500000000000004</v>
      </c>
      <c r="I972">
        <v>42.74</v>
      </c>
      <c r="J972">
        <v>10</v>
      </c>
      <c r="K972" t="s">
        <v>13</v>
      </c>
    </row>
    <row r="973" spans="1:11" x14ac:dyDescent="0.25">
      <c r="A973">
        <v>400</v>
      </c>
      <c r="B973">
        <v>9.89</v>
      </c>
      <c r="C973" t="s">
        <v>19</v>
      </c>
      <c r="D973" t="s">
        <v>15</v>
      </c>
      <c r="E973">
        <v>1500</v>
      </c>
      <c r="F973">
        <v>11</v>
      </c>
      <c r="G973">
        <v>16.309999999999999</v>
      </c>
      <c r="H973">
        <v>0.86</v>
      </c>
      <c r="I973">
        <v>8.6999999999999993</v>
      </c>
      <c r="J973">
        <v>19</v>
      </c>
      <c r="K973" t="s">
        <v>23</v>
      </c>
    </row>
    <row r="974" spans="1:11" x14ac:dyDescent="0.25">
      <c r="A974">
        <v>150</v>
      </c>
      <c r="B974">
        <v>7.34</v>
      </c>
      <c r="C974" t="s">
        <v>21</v>
      </c>
      <c r="D974" t="s">
        <v>17</v>
      </c>
      <c r="E974">
        <v>1500</v>
      </c>
      <c r="F974">
        <v>16.899999999999999</v>
      </c>
      <c r="G974">
        <v>6.6</v>
      </c>
      <c r="H974">
        <v>3.21</v>
      </c>
      <c r="I974">
        <v>43.73</v>
      </c>
      <c r="J974">
        <v>16</v>
      </c>
      <c r="K974" t="s">
        <v>13</v>
      </c>
    </row>
    <row r="975" spans="1:11" x14ac:dyDescent="0.25">
      <c r="A975">
        <v>150</v>
      </c>
      <c r="B975">
        <v>5.98</v>
      </c>
      <c r="C975" t="s">
        <v>11</v>
      </c>
      <c r="D975" t="s">
        <v>18</v>
      </c>
      <c r="E975">
        <v>1500</v>
      </c>
      <c r="F975">
        <v>-7.2</v>
      </c>
      <c r="G975">
        <v>11.61</v>
      </c>
      <c r="H975">
        <v>6.32</v>
      </c>
      <c r="I975">
        <v>105.69</v>
      </c>
      <c r="J975">
        <v>1</v>
      </c>
      <c r="K975" t="s">
        <v>16</v>
      </c>
    </row>
    <row r="976" spans="1:11" x14ac:dyDescent="0.25">
      <c r="A976">
        <v>500</v>
      </c>
      <c r="B976">
        <v>17.559999999999999</v>
      </c>
      <c r="C976" t="s">
        <v>22</v>
      </c>
      <c r="D976" t="s">
        <v>20</v>
      </c>
      <c r="E976">
        <v>300</v>
      </c>
      <c r="F976">
        <v>19.399999999999999</v>
      </c>
      <c r="G976">
        <v>17.52</v>
      </c>
      <c r="H976">
        <v>6.12</v>
      </c>
      <c r="I976">
        <v>34.85</v>
      </c>
      <c r="J976">
        <v>20</v>
      </c>
      <c r="K976" t="s">
        <v>16</v>
      </c>
    </row>
    <row r="977" spans="1:11" x14ac:dyDescent="0.25">
      <c r="A977">
        <v>400</v>
      </c>
      <c r="B977">
        <v>18.18</v>
      </c>
      <c r="C977" t="s">
        <v>11</v>
      </c>
      <c r="D977" t="s">
        <v>17</v>
      </c>
      <c r="E977">
        <v>600</v>
      </c>
      <c r="F977">
        <v>133.9</v>
      </c>
      <c r="G977">
        <v>2.06</v>
      </c>
      <c r="H977">
        <v>1.64</v>
      </c>
      <c r="I977">
        <v>9.02</v>
      </c>
      <c r="J977">
        <v>23</v>
      </c>
      <c r="K977" t="s">
        <v>23</v>
      </c>
    </row>
    <row r="978" spans="1:11" x14ac:dyDescent="0.25">
      <c r="A978">
        <v>200</v>
      </c>
      <c r="B978">
        <v>8.2899999999999991</v>
      </c>
      <c r="C978" t="s">
        <v>14</v>
      </c>
      <c r="D978" t="s">
        <v>12</v>
      </c>
      <c r="E978">
        <v>1500</v>
      </c>
      <c r="F978">
        <v>58</v>
      </c>
      <c r="G978">
        <v>4.7300000000000004</v>
      </c>
      <c r="H978">
        <v>1.65</v>
      </c>
      <c r="I978">
        <v>19.899999999999999</v>
      </c>
      <c r="J978">
        <v>10</v>
      </c>
      <c r="K978" t="s">
        <v>23</v>
      </c>
    </row>
    <row r="979" spans="1:11" x14ac:dyDescent="0.25">
      <c r="A979">
        <v>500</v>
      </c>
      <c r="B979">
        <v>22.11</v>
      </c>
      <c r="C979" t="s">
        <v>21</v>
      </c>
      <c r="D979" t="s">
        <v>15</v>
      </c>
      <c r="E979">
        <v>600</v>
      </c>
      <c r="F979">
        <v>35.1</v>
      </c>
      <c r="G979">
        <v>10.4</v>
      </c>
      <c r="H979">
        <v>3</v>
      </c>
      <c r="I979">
        <v>13.57</v>
      </c>
      <c r="J979">
        <v>8</v>
      </c>
      <c r="K979" t="s">
        <v>13</v>
      </c>
    </row>
    <row r="980" spans="1:11" x14ac:dyDescent="0.25">
      <c r="A980">
        <v>1500</v>
      </c>
      <c r="B980">
        <v>47.99</v>
      </c>
      <c r="C980" t="s">
        <v>21</v>
      </c>
      <c r="D980" t="s">
        <v>20</v>
      </c>
      <c r="E980">
        <v>150</v>
      </c>
      <c r="F980">
        <v>51.8</v>
      </c>
      <c r="G980">
        <v>2.0099999999999998</v>
      </c>
      <c r="H980">
        <v>5.34</v>
      </c>
      <c r="I980">
        <v>11.13</v>
      </c>
      <c r="J980">
        <v>5</v>
      </c>
      <c r="K980" t="s">
        <v>16</v>
      </c>
    </row>
    <row r="981" spans="1:11" x14ac:dyDescent="0.25">
      <c r="A981">
        <v>600</v>
      </c>
      <c r="B981">
        <v>25.19</v>
      </c>
      <c r="C981" t="s">
        <v>21</v>
      </c>
      <c r="D981" t="s">
        <v>17</v>
      </c>
      <c r="E981">
        <v>600</v>
      </c>
      <c r="F981">
        <v>-40.9</v>
      </c>
      <c r="G981">
        <v>1.9</v>
      </c>
      <c r="H981">
        <v>5.63</v>
      </c>
      <c r="I981">
        <v>22.35</v>
      </c>
      <c r="J981">
        <v>25</v>
      </c>
      <c r="K981" t="s">
        <v>16</v>
      </c>
    </row>
    <row r="982" spans="1:11" x14ac:dyDescent="0.25">
      <c r="A982">
        <v>1200</v>
      </c>
      <c r="B982">
        <v>36.86</v>
      </c>
      <c r="C982" t="s">
        <v>11</v>
      </c>
      <c r="D982" t="s">
        <v>18</v>
      </c>
      <c r="E982">
        <v>1500</v>
      </c>
      <c r="F982">
        <v>54.1</v>
      </c>
      <c r="G982">
        <v>3.7</v>
      </c>
      <c r="H982">
        <v>7.92</v>
      </c>
      <c r="I982">
        <v>21.49</v>
      </c>
      <c r="J982">
        <v>15</v>
      </c>
      <c r="K982" t="s">
        <v>16</v>
      </c>
    </row>
    <row r="983" spans="1:11" x14ac:dyDescent="0.25">
      <c r="A983">
        <v>200</v>
      </c>
      <c r="B983">
        <v>7.28</v>
      </c>
      <c r="C983" t="s">
        <v>14</v>
      </c>
      <c r="D983" t="s">
        <v>20</v>
      </c>
      <c r="E983">
        <v>600</v>
      </c>
      <c r="F983">
        <v>54.1</v>
      </c>
      <c r="G983">
        <v>19.07</v>
      </c>
      <c r="H983">
        <v>9.18</v>
      </c>
      <c r="I983">
        <v>126.1</v>
      </c>
      <c r="J983">
        <v>11</v>
      </c>
      <c r="K983" t="s">
        <v>16</v>
      </c>
    </row>
    <row r="984" spans="1:11" x14ac:dyDescent="0.25">
      <c r="A984">
        <v>500</v>
      </c>
      <c r="B984">
        <v>15.64</v>
      </c>
      <c r="C984" t="s">
        <v>21</v>
      </c>
      <c r="D984" t="s">
        <v>20</v>
      </c>
      <c r="E984">
        <v>300</v>
      </c>
      <c r="F984">
        <v>41.6</v>
      </c>
      <c r="G984">
        <v>3.71</v>
      </c>
      <c r="H984">
        <v>3.73</v>
      </c>
      <c r="I984">
        <v>23.85</v>
      </c>
      <c r="J984">
        <v>22</v>
      </c>
      <c r="K984" t="s">
        <v>13</v>
      </c>
    </row>
    <row r="985" spans="1:11" x14ac:dyDescent="0.25">
      <c r="A985">
        <v>200</v>
      </c>
      <c r="B985">
        <v>11.87</v>
      </c>
      <c r="C985" t="s">
        <v>22</v>
      </c>
      <c r="D985" t="s">
        <v>12</v>
      </c>
      <c r="E985">
        <v>600</v>
      </c>
      <c r="F985">
        <v>35.4</v>
      </c>
      <c r="G985">
        <v>19.72</v>
      </c>
      <c r="H985">
        <v>9.6</v>
      </c>
      <c r="I985">
        <v>80.88</v>
      </c>
      <c r="J985">
        <v>8</v>
      </c>
      <c r="K985" t="s">
        <v>16</v>
      </c>
    </row>
    <row r="986" spans="1:11" x14ac:dyDescent="0.25">
      <c r="A986">
        <v>150</v>
      </c>
      <c r="B986">
        <v>9.2799999999999994</v>
      </c>
      <c r="C986" t="s">
        <v>19</v>
      </c>
      <c r="D986" t="s">
        <v>20</v>
      </c>
      <c r="E986">
        <v>600</v>
      </c>
      <c r="F986">
        <v>-23.7</v>
      </c>
      <c r="G986">
        <v>16.37</v>
      </c>
      <c r="H986">
        <v>2.7</v>
      </c>
      <c r="I986">
        <v>29.09</v>
      </c>
      <c r="J986">
        <v>7</v>
      </c>
      <c r="K986" t="s">
        <v>13</v>
      </c>
    </row>
    <row r="987" spans="1:11" x14ac:dyDescent="0.25">
      <c r="A987">
        <v>800</v>
      </c>
      <c r="B987">
        <v>30.78</v>
      </c>
      <c r="C987" t="s">
        <v>21</v>
      </c>
      <c r="D987" t="s">
        <v>20</v>
      </c>
      <c r="E987">
        <v>900</v>
      </c>
      <c r="F987">
        <v>87.8</v>
      </c>
      <c r="G987">
        <v>18.36</v>
      </c>
      <c r="H987">
        <v>4.88</v>
      </c>
      <c r="I987">
        <v>15.85</v>
      </c>
      <c r="J987">
        <v>4</v>
      </c>
      <c r="K987" t="s">
        <v>13</v>
      </c>
    </row>
    <row r="988" spans="1:11" x14ac:dyDescent="0.25">
      <c r="A988">
        <v>150</v>
      </c>
      <c r="B988">
        <v>8.2899999999999991</v>
      </c>
      <c r="C988" t="s">
        <v>22</v>
      </c>
      <c r="D988" t="s">
        <v>17</v>
      </c>
      <c r="E988">
        <v>2500</v>
      </c>
      <c r="F988">
        <v>13.4</v>
      </c>
      <c r="G988">
        <v>19.59</v>
      </c>
      <c r="H988">
        <v>5.66</v>
      </c>
      <c r="I988">
        <v>68.28</v>
      </c>
      <c r="J988">
        <v>2</v>
      </c>
      <c r="K988" t="s">
        <v>16</v>
      </c>
    </row>
    <row r="989" spans="1:11" x14ac:dyDescent="0.25">
      <c r="A989">
        <v>100</v>
      </c>
      <c r="B989">
        <v>4.2300000000000004</v>
      </c>
      <c r="C989" t="s">
        <v>21</v>
      </c>
      <c r="D989" t="s">
        <v>17</v>
      </c>
      <c r="E989">
        <v>300</v>
      </c>
      <c r="F989">
        <v>24.2</v>
      </c>
      <c r="G989">
        <v>17.16</v>
      </c>
      <c r="H989">
        <v>6.84</v>
      </c>
      <c r="I989">
        <v>161.69999999999999</v>
      </c>
      <c r="J989">
        <v>17</v>
      </c>
      <c r="K989" t="s">
        <v>16</v>
      </c>
    </row>
    <row r="990" spans="1:11" x14ac:dyDescent="0.25">
      <c r="A990">
        <v>150</v>
      </c>
      <c r="B990">
        <v>8.26</v>
      </c>
      <c r="C990" t="s">
        <v>21</v>
      </c>
      <c r="D990" t="s">
        <v>18</v>
      </c>
      <c r="E990">
        <v>900</v>
      </c>
      <c r="F990">
        <v>107.8</v>
      </c>
      <c r="G990">
        <v>16.91</v>
      </c>
      <c r="H990">
        <v>1.18</v>
      </c>
      <c r="I990">
        <v>14.29</v>
      </c>
      <c r="J990">
        <v>10</v>
      </c>
      <c r="K990" t="s">
        <v>23</v>
      </c>
    </row>
    <row r="991" spans="1:11" x14ac:dyDescent="0.25">
      <c r="A991">
        <v>150</v>
      </c>
      <c r="B991">
        <v>9.4700000000000006</v>
      </c>
      <c r="C991" t="s">
        <v>22</v>
      </c>
      <c r="D991" t="s">
        <v>20</v>
      </c>
      <c r="E991">
        <v>150</v>
      </c>
      <c r="F991">
        <v>85.9</v>
      </c>
      <c r="G991">
        <v>15.5</v>
      </c>
      <c r="H991">
        <v>5.94</v>
      </c>
      <c r="I991">
        <v>62.72</v>
      </c>
      <c r="J991">
        <v>12</v>
      </c>
      <c r="K991" t="s">
        <v>16</v>
      </c>
    </row>
    <row r="992" spans="1:11" x14ac:dyDescent="0.25">
      <c r="A992">
        <v>300</v>
      </c>
      <c r="B992">
        <v>11.52</v>
      </c>
      <c r="C992" t="s">
        <v>19</v>
      </c>
      <c r="D992" t="s">
        <v>20</v>
      </c>
      <c r="E992">
        <v>900</v>
      </c>
      <c r="F992">
        <v>-11</v>
      </c>
      <c r="G992">
        <v>12</v>
      </c>
      <c r="H992">
        <v>4.9800000000000004</v>
      </c>
      <c r="I992">
        <v>43.23</v>
      </c>
      <c r="J992">
        <v>5</v>
      </c>
      <c r="K992" t="s">
        <v>13</v>
      </c>
    </row>
    <row r="993" spans="1:11" x14ac:dyDescent="0.25">
      <c r="A993">
        <v>50</v>
      </c>
      <c r="B993">
        <v>5.95</v>
      </c>
      <c r="C993" t="s">
        <v>22</v>
      </c>
      <c r="D993" t="s">
        <v>12</v>
      </c>
      <c r="E993">
        <v>1500</v>
      </c>
      <c r="F993">
        <v>14.8</v>
      </c>
      <c r="G993">
        <v>16.27</v>
      </c>
      <c r="H993">
        <v>9.25</v>
      </c>
      <c r="I993">
        <v>155.46</v>
      </c>
      <c r="J993">
        <v>11</v>
      </c>
      <c r="K993" t="s">
        <v>16</v>
      </c>
    </row>
    <row r="994" spans="1:11" x14ac:dyDescent="0.25">
      <c r="A994">
        <v>800</v>
      </c>
      <c r="B994">
        <v>28.69</v>
      </c>
      <c r="C994" t="s">
        <v>22</v>
      </c>
      <c r="D994" t="s">
        <v>20</v>
      </c>
      <c r="E994">
        <v>600</v>
      </c>
      <c r="F994">
        <v>11.4</v>
      </c>
      <c r="G994">
        <v>16.63</v>
      </c>
      <c r="H994">
        <v>0.91</v>
      </c>
      <c r="I994">
        <v>3.17</v>
      </c>
      <c r="J994">
        <v>14</v>
      </c>
      <c r="K994" t="s">
        <v>23</v>
      </c>
    </row>
    <row r="995" spans="1:11" x14ac:dyDescent="0.25">
      <c r="A995">
        <v>250</v>
      </c>
      <c r="B995">
        <v>13.4</v>
      </c>
      <c r="C995" t="s">
        <v>14</v>
      </c>
      <c r="D995" t="s">
        <v>18</v>
      </c>
      <c r="E995">
        <v>2500</v>
      </c>
      <c r="F995">
        <v>69.8</v>
      </c>
      <c r="G995">
        <v>3.74</v>
      </c>
      <c r="H995">
        <v>0.85</v>
      </c>
      <c r="I995">
        <v>6.34</v>
      </c>
      <c r="J995">
        <v>14</v>
      </c>
      <c r="K995" t="s">
        <v>23</v>
      </c>
    </row>
    <row r="996" spans="1:11" x14ac:dyDescent="0.25">
      <c r="A996">
        <v>500</v>
      </c>
      <c r="B996">
        <v>19.43</v>
      </c>
      <c r="C996" t="s">
        <v>22</v>
      </c>
      <c r="D996" t="s">
        <v>15</v>
      </c>
      <c r="E996">
        <v>600</v>
      </c>
      <c r="F996">
        <v>20.9</v>
      </c>
      <c r="G996">
        <v>4.03</v>
      </c>
      <c r="H996">
        <v>3.7</v>
      </c>
      <c r="I996">
        <v>19.04</v>
      </c>
      <c r="J996">
        <v>16</v>
      </c>
      <c r="K996" t="s">
        <v>13</v>
      </c>
    </row>
    <row r="997" spans="1:11" x14ac:dyDescent="0.25">
      <c r="A997">
        <v>1500</v>
      </c>
      <c r="B997">
        <v>34.85</v>
      </c>
      <c r="C997" t="s">
        <v>14</v>
      </c>
      <c r="D997" t="s">
        <v>20</v>
      </c>
      <c r="E997">
        <v>150</v>
      </c>
      <c r="F997">
        <v>96.2</v>
      </c>
      <c r="G997">
        <v>5.16</v>
      </c>
      <c r="H997">
        <v>9.98</v>
      </c>
      <c r="I997">
        <v>28.64</v>
      </c>
      <c r="J997">
        <v>15</v>
      </c>
      <c r="K997" t="s">
        <v>16</v>
      </c>
    </row>
    <row r="998" spans="1:11" x14ac:dyDescent="0.25">
      <c r="A998">
        <v>800</v>
      </c>
      <c r="B998">
        <v>12.53</v>
      </c>
      <c r="C998" t="s">
        <v>11</v>
      </c>
      <c r="D998" t="s">
        <v>12</v>
      </c>
      <c r="E998">
        <v>150</v>
      </c>
      <c r="F998">
        <v>6.5</v>
      </c>
      <c r="G998">
        <v>6.54</v>
      </c>
      <c r="H998">
        <v>1.07</v>
      </c>
      <c r="I998">
        <v>8.5399999999999991</v>
      </c>
      <c r="J998">
        <v>23</v>
      </c>
      <c r="K998" t="s">
        <v>23</v>
      </c>
    </row>
    <row r="999" spans="1:11" x14ac:dyDescent="0.25">
      <c r="A999">
        <v>100</v>
      </c>
      <c r="B999">
        <v>6.77</v>
      </c>
      <c r="C999" t="s">
        <v>14</v>
      </c>
      <c r="D999" t="s">
        <v>15</v>
      </c>
      <c r="E999">
        <v>600</v>
      </c>
      <c r="F999">
        <v>44.7</v>
      </c>
      <c r="G999">
        <v>15.9</v>
      </c>
      <c r="H999">
        <v>6.22</v>
      </c>
      <c r="I999">
        <v>91.88</v>
      </c>
      <c r="J999">
        <v>15</v>
      </c>
      <c r="K999" t="s">
        <v>16</v>
      </c>
    </row>
    <row r="1000" spans="1:11" x14ac:dyDescent="0.25">
      <c r="A1000">
        <v>300</v>
      </c>
      <c r="B1000">
        <v>15.05</v>
      </c>
      <c r="C1000" t="s">
        <v>19</v>
      </c>
      <c r="D1000" t="s">
        <v>18</v>
      </c>
      <c r="E1000">
        <v>600</v>
      </c>
      <c r="F1000">
        <v>37.9</v>
      </c>
      <c r="G1000">
        <v>6.6</v>
      </c>
      <c r="H1000">
        <v>5.39</v>
      </c>
      <c r="I1000">
        <v>35.81</v>
      </c>
      <c r="J1000">
        <v>12</v>
      </c>
      <c r="K1000" t="s">
        <v>16</v>
      </c>
    </row>
    <row r="1001" spans="1:11" x14ac:dyDescent="0.25">
      <c r="A1001">
        <v>300</v>
      </c>
      <c r="B1001">
        <v>15.01</v>
      </c>
      <c r="C1001" t="s">
        <v>19</v>
      </c>
      <c r="D1001" t="s">
        <v>12</v>
      </c>
      <c r="E1001">
        <v>300</v>
      </c>
      <c r="F1001">
        <v>92</v>
      </c>
      <c r="G1001">
        <v>16.53</v>
      </c>
      <c r="H1001">
        <v>4.3099999999999996</v>
      </c>
      <c r="I1001">
        <v>28.71</v>
      </c>
      <c r="J1001">
        <v>10</v>
      </c>
      <c r="K100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1002"/>
  <sheetViews>
    <sheetView topLeftCell="E1" workbookViewId="0">
      <selection activeCell="G1" sqref="G1"/>
    </sheetView>
  </sheetViews>
  <sheetFormatPr defaultRowHeight="15" x14ac:dyDescent="0.25"/>
  <cols>
    <col min="1" max="1" width="13.5703125" customWidth="1"/>
    <col min="2" max="2" width="19" customWidth="1"/>
    <col min="3" max="3" width="14.42578125" customWidth="1"/>
    <col min="4" max="4" width="18.7109375" customWidth="1"/>
    <col min="5" max="5" width="17.42578125" style="3" customWidth="1"/>
    <col min="6" max="6" width="16.5703125" customWidth="1"/>
    <col min="7" max="7" width="20.140625" customWidth="1"/>
    <col min="8" max="8" width="19" customWidth="1"/>
    <col min="9" max="9" width="16.42578125" customWidth="1"/>
    <col min="10" max="10" width="11.140625" customWidth="1"/>
    <col min="11" max="11" width="10.28515625" customWidth="1"/>
    <col min="12" max="12" width="12.42578125" customWidth="1"/>
    <col min="13" max="13" width="17.5703125" customWidth="1"/>
    <col min="14" max="14" width="20.28515625" customWidth="1"/>
    <col min="16" max="16" width="19" customWidth="1"/>
  </cols>
  <sheetData>
    <row r="1" spans="1:16" x14ac:dyDescent="0.25">
      <c r="A1" t="s">
        <v>34</v>
      </c>
      <c r="B1" t="s">
        <v>1</v>
      </c>
      <c r="C1" t="s">
        <v>2</v>
      </c>
      <c r="D1" t="s">
        <v>3</v>
      </c>
      <c r="E1" s="3" t="s">
        <v>4</v>
      </c>
      <c r="F1" t="s">
        <v>5</v>
      </c>
      <c r="G1" t="s">
        <v>24</v>
      </c>
      <c r="H1" t="s">
        <v>7</v>
      </c>
      <c r="I1" t="s">
        <v>25</v>
      </c>
      <c r="J1" t="s">
        <v>9</v>
      </c>
      <c r="K1" t="s">
        <v>10</v>
      </c>
      <c r="L1" t="s">
        <v>36</v>
      </c>
      <c r="M1" t="s">
        <v>35</v>
      </c>
      <c r="N1" t="s">
        <v>37</v>
      </c>
      <c r="O1" t="s">
        <v>39</v>
      </c>
      <c r="P1" t="s">
        <v>38</v>
      </c>
    </row>
    <row r="2" spans="1:16" x14ac:dyDescent="0.25">
      <c r="A2">
        <v>800</v>
      </c>
      <c r="B2">
        <v>15.48</v>
      </c>
      <c r="C2" t="s">
        <v>11</v>
      </c>
      <c r="D2" t="s">
        <v>12</v>
      </c>
      <c r="E2" s="3">
        <v>300</v>
      </c>
      <c r="F2">
        <v>84.9</v>
      </c>
      <c r="G2">
        <v>16.04</v>
      </c>
      <c r="H2">
        <v>4.91</v>
      </c>
      <c r="I2">
        <v>31.72</v>
      </c>
      <c r="J2">
        <v>2</v>
      </c>
      <c r="K2" t="s">
        <v>13</v>
      </c>
      <c r="L2" t="str">
        <f>IF(H2&gt;B2,"INVALID","VALID")</f>
        <v>VALID</v>
      </c>
      <c r="M2">
        <f>IF(J2&gt;0,H2/J2," ")</f>
        <v>2.4550000000000001</v>
      </c>
      <c r="N2" t="str">
        <f>IF(ISNUMBER(E2),IF(E2&lt;1000,"Low",IF(E2&lt;3000,"Medium","High")),"Unknown")</f>
        <v>Low</v>
      </c>
      <c r="O2">
        <f>(G2+I2)/2</f>
        <v>23.88</v>
      </c>
      <c r="P2" t="str">
        <f>IF(O2&lt;30,"Low",IF(O2&lt;60,"Medium","High"))</f>
        <v>Low</v>
      </c>
    </row>
    <row r="3" spans="1:16" x14ac:dyDescent="0.25">
      <c r="A3">
        <v>800</v>
      </c>
      <c r="B3">
        <v>22</v>
      </c>
      <c r="C3" t="s">
        <v>14</v>
      </c>
      <c r="D3" t="s">
        <v>15</v>
      </c>
      <c r="E3" s="3">
        <v>150</v>
      </c>
      <c r="F3">
        <v>14.1</v>
      </c>
      <c r="G3">
        <v>7.38</v>
      </c>
      <c r="H3">
        <v>7.32</v>
      </c>
      <c r="I3">
        <v>33.270000000000003</v>
      </c>
      <c r="J3">
        <v>4</v>
      </c>
      <c r="K3" t="s">
        <v>16</v>
      </c>
      <c r="L3" t="str">
        <f t="shared" ref="L3:L66" si="0">IF(H3&gt;B3,"INVALID","VALID")</f>
        <v>VALID</v>
      </c>
      <c r="M3">
        <f t="shared" ref="M3:M17" si="1">IF(J3&gt;0,H3/J3," ")</f>
        <v>1.83</v>
      </c>
      <c r="N3" t="str">
        <f t="shared" ref="N3:N14" si="2">IF(ISNUMBER(E3),IF(E3&lt;1000,"Low",IF(E3&lt;3000,"Medium","High")),"Unknown")</f>
        <v>Low</v>
      </c>
      <c r="O3">
        <f t="shared" ref="O3:O14" si="3">(G3+I3)/2</f>
        <v>20.325000000000003</v>
      </c>
      <c r="P3" t="str">
        <f t="shared" ref="P3:P14" si="4">IF(O3&lt;30,"Low",IF(O3&lt;60,"Medium","High"))</f>
        <v>Low</v>
      </c>
    </row>
    <row r="4" spans="1:16" x14ac:dyDescent="0.25">
      <c r="A4">
        <v>400</v>
      </c>
      <c r="B4">
        <v>12.05</v>
      </c>
      <c r="C4" t="s">
        <v>11</v>
      </c>
      <c r="D4" t="s">
        <v>17</v>
      </c>
      <c r="E4" s="3">
        <v>2500</v>
      </c>
      <c r="F4">
        <v>0.6</v>
      </c>
      <c r="G4">
        <v>2.12</v>
      </c>
      <c r="H4">
        <v>6.32</v>
      </c>
      <c r="I4">
        <v>52.45</v>
      </c>
      <c r="J4">
        <v>7</v>
      </c>
      <c r="K4" t="s">
        <v>16</v>
      </c>
      <c r="L4" t="str">
        <f t="shared" si="0"/>
        <v>VALID</v>
      </c>
      <c r="M4">
        <f t="shared" si="1"/>
        <v>0.90285714285714291</v>
      </c>
      <c r="N4" t="str">
        <f t="shared" si="2"/>
        <v>Medium</v>
      </c>
      <c r="O4">
        <f t="shared" si="3"/>
        <v>27.285</v>
      </c>
      <c r="P4" t="str">
        <f t="shared" si="4"/>
        <v>Low</v>
      </c>
    </row>
    <row r="5" spans="1:16" x14ac:dyDescent="0.25">
      <c r="A5">
        <v>1500</v>
      </c>
      <c r="B5">
        <v>38.72</v>
      </c>
      <c r="C5" t="s">
        <v>11</v>
      </c>
      <c r="D5" t="s">
        <v>18</v>
      </c>
      <c r="E5" s="3">
        <v>1500</v>
      </c>
      <c r="F5">
        <v>52.7</v>
      </c>
      <c r="G5">
        <v>5.58</v>
      </c>
      <c r="H5">
        <v>6.2</v>
      </c>
      <c r="I5">
        <v>16.010000000000002</v>
      </c>
      <c r="J5">
        <v>19</v>
      </c>
      <c r="K5" t="s">
        <v>16</v>
      </c>
      <c r="L5" t="str">
        <f t="shared" si="0"/>
        <v>VALID</v>
      </c>
      <c r="M5">
        <f t="shared" si="1"/>
        <v>0.32631578947368423</v>
      </c>
      <c r="N5" t="str">
        <f t="shared" si="2"/>
        <v>Medium</v>
      </c>
      <c r="O5">
        <f t="shared" si="3"/>
        <v>10.795000000000002</v>
      </c>
      <c r="P5" t="str">
        <f t="shared" si="4"/>
        <v>Low</v>
      </c>
    </row>
    <row r="6" spans="1:16" x14ac:dyDescent="0.25">
      <c r="A6">
        <v>1500</v>
      </c>
      <c r="B6">
        <v>24.32</v>
      </c>
      <c r="C6" t="s">
        <v>19</v>
      </c>
      <c r="D6" t="s">
        <v>20</v>
      </c>
      <c r="E6" s="3">
        <v>1500</v>
      </c>
      <c r="F6">
        <v>11.7</v>
      </c>
      <c r="G6">
        <v>12.29</v>
      </c>
      <c r="H6">
        <v>8.58</v>
      </c>
      <c r="I6">
        <v>35.28</v>
      </c>
      <c r="J6">
        <v>20</v>
      </c>
      <c r="K6" t="s">
        <v>16</v>
      </c>
      <c r="L6" t="str">
        <f t="shared" si="0"/>
        <v>VALID</v>
      </c>
      <c r="M6">
        <f t="shared" si="1"/>
        <v>0.42899999999999999</v>
      </c>
      <c r="N6" t="str">
        <f t="shared" si="2"/>
        <v>Medium</v>
      </c>
      <c r="O6">
        <f t="shared" si="3"/>
        <v>23.785</v>
      </c>
      <c r="P6" t="str">
        <f t="shared" si="4"/>
        <v>Low</v>
      </c>
    </row>
    <row r="7" spans="1:16" x14ac:dyDescent="0.25">
      <c r="A7">
        <v>600</v>
      </c>
      <c r="B7">
        <v>16.75</v>
      </c>
      <c r="C7" t="s">
        <v>21</v>
      </c>
      <c r="D7" t="s">
        <v>17</v>
      </c>
      <c r="E7" s="3">
        <v>600</v>
      </c>
      <c r="F7">
        <v>67.3</v>
      </c>
      <c r="G7">
        <v>2.06</v>
      </c>
      <c r="H7">
        <v>5.21</v>
      </c>
      <c r="I7">
        <v>31.1</v>
      </c>
      <c r="J7">
        <v>11</v>
      </c>
      <c r="K7" t="s">
        <v>16</v>
      </c>
      <c r="L7" t="str">
        <f t="shared" si="0"/>
        <v>VALID</v>
      </c>
      <c r="M7">
        <f t="shared" si="1"/>
        <v>0.47363636363636363</v>
      </c>
      <c r="N7" t="str">
        <f t="shared" si="2"/>
        <v>Low</v>
      </c>
      <c r="O7">
        <f t="shared" si="3"/>
        <v>16.580000000000002</v>
      </c>
      <c r="P7" t="str">
        <f t="shared" si="4"/>
        <v>Low</v>
      </c>
    </row>
    <row r="8" spans="1:16" x14ac:dyDescent="0.25">
      <c r="A8">
        <v>200</v>
      </c>
      <c r="B8">
        <v>9.94</v>
      </c>
      <c r="C8" t="s">
        <v>11</v>
      </c>
      <c r="D8" t="s">
        <v>15</v>
      </c>
      <c r="E8" s="3">
        <v>1500</v>
      </c>
      <c r="F8">
        <v>89.6</v>
      </c>
      <c r="G8">
        <v>1.34</v>
      </c>
      <c r="H8">
        <v>5.86</v>
      </c>
      <c r="I8">
        <v>58.95</v>
      </c>
      <c r="J8">
        <v>6</v>
      </c>
      <c r="K8" t="s">
        <v>16</v>
      </c>
      <c r="L8" t="str">
        <f t="shared" si="0"/>
        <v>VALID</v>
      </c>
      <c r="M8">
        <f t="shared" si="1"/>
        <v>0.97666666666666668</v>
      </c>
      <c r="N8" t="str">
        <f t="shared" si="2"/>
        <v>Medium</v>
      </c>
      <c r="O8">
        <f t="shared" si="3"/>
        <v>30.145000000000003</v>
      </c>
      <c r="P8" t="str">
        <f t="shared" si="4"/>
        <v>Medium</v>
      </c>
    </row>
    <row r="9" spans="1:16" x14ac:dyDescent="0.25">
      <c r="A9">
        <v>300</v>
      </c>
      <c r="B9">
        <v>13.87</v>
      </c>
      <c r="C9" t="s">
        <v>11</v>
      </c>
      <c r="D9" t="s">
        <v>15</v>
      </c>
      <c r="E9" s="3">
        <v>900</v>
      </c>
      <c r="F9">
        <v>40.799999999999997</v>
      </c>
      <c r="G9">
        <v>5.57</v>
      </c>
      <c r="H9">
        <v>3.02</v>
      </c>
      <c r="I9">
        <v>21.77</v>
      </c>
      <c r="J9">
        <v>21</v>
      </c>
      <c r="K9" t="s">
        <v>13</v>
      </c>
      <c r="L9" t="str">
        <f t="shared" si="0"/>
        <v>VALID</v>
      </c>
      <c r="M9">
        <f t="shared" si="1"/>
        <v>0.1438095238095238</v>
      </c>
      <c r="N9" t="str">
        <f t="shared" si="2"/>
        <v>Low</v>
      </c>
      <c r="O9">
        <f t="shared" si="3"/>
        <v>13.67</v>
      </c>
      <c r="P9" t="str">
        <f t="shared" si="4"/>
        <v>Low</v>
      </c>
    </row>
    <row r="10" spans="1:16" x14ac:dyDescent="0.25">
      <c r="A10">
        <v>150</v>
      </c>
      <c r="B10">
        <v>8.86</v>
      </c>
      <c r="C10" t="s">
        <v>21</v>
      </c>
      <c r="D10" t="s">
        <v>20</v>
      </c>
      <c r="E10" s="3">
        <v>300</v>
      </c>
      <c r="F10">
        <v>3.2</v>
      </c>
      <c r="G10">
        <v>13.84</v>
      </c>
      <c r="H10">
        <v>2.4700000000000002</v>
      </c>
      <c r="I10">
        <v>27.88</v>
      </c>
      <c r="J10">
        <v>19</v>
      </c>
      <c r="K10" t="s">
        <v>13</v>
      </c>
      <c r="L10" t="str">
        <f t="shared" si="0"/>
        <v>VALID</v>
      </c>
      <c r="M10">
        <f t="shared" si="1"/>
        <v>0.13</v>
      </c>
      <c r="N10" t="str">
        <f t="shared" si="2"/>
        <v>Low</v>
      </c>
      <c r="O10">
        <f t="shared" si="3"/>
        <v>20.86</v>
      </c>
      <c r="P10" t="str">
        <f t="shared" si="4"/>
        <v>Low</v>
      </c>
    </row>
    <row r="11" spans="1:16" x14ac:dyDescent="0.25">
      <c r="A11">
        <v>800</v>
      </c>
      <c r="B11">
        <v>25.78</v>
      </c>
      <c r="C11" t="s">
        <v>22</v>
      </c>
      <c r="D11" t="s">
        <v>12</v>
      </c>
      <c r="E11" s="3">
        <v>150</v>
      </c>
      <c r="F11">
        <v>11.6</v>
      </c>
      <c r="G11">
        <v>18.68</v>
      </c>
      <c r="H11">
        <v>0.53</v>
      </c>
      <c r="I11">
        <v>2.06</v>
      </c>
      <c r="J11">
        <v>1</v>
      </c>
      <c r="K11" t="s">
        <v>23</v>
      </c>
      <c r="L11" t="str">
        <f t="shared" si="0"/>
        <v>VALID</v>
      </c>
      <c r="M11">
        <f t="shared" si="1"/>
        <v>0.53</v>
      </c>
      <c r="N11" t="str">
        <f t="shared" si="2"/>
        <v>Low</v>
      </c>
      <c r="O11">
        <f t="shared" si="3"/>
        <v>10.37</v>
      </c>
      <c r="P11" t="str">
        <f t="shared" si="4"/>
        <v>Low</v>
      </c>
    </row>
    <row r="12" spans="1:16" x14ac:dyDescent="0.25">
      <c r="A12">
        <v>300</v>
      </c>
      <c r="B12">
        <v>11.52</v>
      </c>
      <c r="C12" t="s">
        <v>22</v>
      </c>
      <c r="D12" t="s">
        <v>12</v>
      </c>
      <c r="E12" s="3">
        <v>900</v>
      </c>
      <c r="F12">
        <v>100.4</v>
      </c>
      <c r="G12">
        <v>12.23</v>
      </c>
      <c r="H12">
        <v>8.8000000000000007</v>
      </c>
      <c r="I12">
        <v>76.39</v>
      </c>
      <c r="J12">
        <v>13</v>
      </c>
      <c r="K12" t="s">
        <v>16</v>
      </c>
      <c r="L12" t="str">
        <f t="shared" si="0"/>
        <v>VALID</v>
      </c>
      <c r="M12">
        <f t="shared" si="1"/>
        <v>0.67692307692307696</v>
      </c>
      <c r="N12" t="str">
        <f t="shared" si="2"/>
        <v>Low</v>
      </c>
      <c r="O12">
        <f t="shared" si="3"/>
        <v>44.31</v>
      </c>
      <c r="P12" t="str">
        <f t="shared" si="4"/>
        <v>Medium</v>
      </c>
    </row>
    <row r="13" spans="1:16" x14ac:dyDescent="0.25">
      <c r="A13">
        <v>1000</v>
      </c>
      <c r="B13">
        <v>20.58</v>
      </c>
      <c r="C13" t="s">
        <v>14</v>
      </c>
      <c r="D13" t="s">
        <v>20</v>
      </c>
      <c r="E13" s="3">
        <v>900</v>
      </c>
      <c r="F13">
        <v>67.5</v>
      </c>
      <c r="G13">
        <v>14.33</v>
      </c>
      <c r="H13">
        <v>7.32</v>
      </c>
      <c r="I13">
        <v>35.57</v>
      </c>
      <c r="J13">
        <v>6</v>
      </c>
      <c r="K13" t="s">
        <v>16</v>
      </c>
      <c r="L13" t="str">
        <f t="shared" si="0"/>
        <v>VALID</v>
      </c>
      <c r="M13">
        <f t="shared" si="1"/>
        <v>1.22</v>
      </c>
      <c r="N13" t="str">
        <f t="shared" si="2"/>
        <v>Low</v>
      </c>
      <c r="O13">
        <f t="shared" si="3"/>
        <v>24.95</v>
      </c>
      <c r="P13" t="str">
        <f t="shared" si="4"/>
        <v>Low</v>
      </c>
    </row>
    <row r="14" spans="1:16" x14ac:dyDescent="0.25">
      <c r="A14">
        <v>300</v>
      </c>
      <c r="B14">
        <v>13.03</v>
      </c>
      <c r="C14" t="s">
        <v>22</v>
      </c>
      <c r="D14" t="s">
        <v>15</v>
      </c>
      <c r="E14" s="3">
        <v>600</v>
      </c>
      <c r="F14">
        <v>9.6999999999999993</v>
      </c>
      <c r="G14">
        <v>14.93</v>
      </c>
      <c r="H14">
        <v>0.85</v>
      </c>
      <c r="I14">
        <v>6.52</v>
      </c>
      <c r="J14">
        <v>6</v>
      </c>
      <c r="K14" t="s">
        <v>23</v>
      </c>
      <c r="L14" t="str">
        <f t="shared" si="0"/>
        <v>VALID</v>
      </c>
      <c r="M14">
        <f t="shared" si="1"/>
        <v>0.14166666666666666</v>
      </c>
      <c r="N14" t="str">
        <f t="shared" si="2"/>
        <v>Low</v>
      </c>
      <c r="O14">
        <f t="shared" si="3"/>
        <v>10.725</v>
      </c>
      <c r="P14" t="str">
        <f t="shared" si="4"/>
        <v>Low</v>
      </c>
    </row>
    <row r="15" spans="1:16" hidden="1" x14ac:dyDescent="0.25">
      <c r="A15">
        <v>150</v>
      </c>
      <c r="B15">
        <v>5.19</v>
      </c>
      <c r="C15" t="s">
        <v>19</v>
      </c>
      <c r="D15" t="s">
        <v>12</v>
      </c>
      <c r="E15">
        <v>300</v>
      </c>
      <c r="F15">
        <v>43.6</v>
      </c>
      <c r="G15">
        <v>16.02</v>
      </c>
      <c r="H15">
        <v>6.12</v>
      </c>
      <c r="I15">
        <v>117.92</v>
      </c>
      <c r="J15">
        <v>13</v>
      </c>
      <c r="K15" t="s">
        <v>16</v>
      </c>
      <c r="L15" t="str">
        <f t="shared" si="0"/>
        <v>INVALID</v>
      </c>
      <c r="M15">
        <f t="shared" si="1"/>
        <v>0.47076923076923077</v>
      </c>
    </row>
    <row r="16" spans="1:16" x14ac:dyDescent="0.25">
      <c r="A16">
        <v>300</v>
      </c>
      <c r="B16">
        <v>15.48</v>
      </c>
      <c r="C16" t="s">
        <v>11</v>
      </c>
      <c r="D16" t="s">
        <v>18</v>
      </c>
      <c r="E16" s="3">
        <v>600</v>
      </c>
      <c r="F16">
        <v>63.4</v>
      </c>
      <c r="G16">
        <v>13.65</v>
      </c>
      <c r="H16">
        <v>9.2100000000000009</v>
      </c>
      <c r="I16">
        <v>59.5</v>
      </c>
      <c r="J16">
        <v>7</v>
      </c>
      <c r="K16" t="s">
        <v>16</v>
      </c>
      <c r="L16" t="str">
        <f t="shared" si="0"/>
        <v>VALID</v>
      </c>
      <c r="M16">
        <f t="shared" si="1"/>
        <v>1.3157142857142858</v>
      </c>
      <c r="N16" t="str">
        <f>IF(ISNUMBER(E16),IF(E16&lt;1000,"Low",IF(E16&lt;3000,"Medium","High")),"Unknown")</f>
        <v>Low</v>
      </c>
      <c r="O16">
        <f>(G16+I16)/2</f>
        <v>36.575000000000003</v>
      </c>
      <c r="P16" t="str">
        <f>IF(O16&lt;30,"Low",IF(O16&lt;60,"Medium","High"))</f>
        <v>Medium</v>
      </c>
    </row>
    <row r="17" spans="1:16" hidden="1" x14ac:dyDescent="0.25">
      <c r="A17">
        <v>100</v>
      </c>
      <c r="B17">
        <v>6</v>
      </c>
      <c r="C17" t="s">
        <v>21</v>
      </c>
      <c r="D17" t="s">
        <v>20</v>
      </c>
      <c r="E17">
        <v>1500</v>
      </c>
      <c r="F17">
        <v>60.1</v>
      </c>
      <c r="G17">
        <v>18.79</v>
      </c>
      <c r="H17">
        <v>7.01</v>
      </c>
      <c r="I17">
        <v>116.83</v>
      </c>
      <c r="J17">
        <v>21</v>
      </c>
      <c r="K17" t="s">
        <v>16</v>
      </c>
      <c r="L17" t="str">
        <f t="shared" si="0"/>
        <v>INVALID</v>
      </c>
      <c r="M17">
        <f t="shared" si="1"/>
        <v>0.33380952380952378</v>
      </c>
    </row>
    <row r="18" spans="1:16" x14ac:dyDescent="0.25">
      <c r="A18">
        <v>600</v>
      </c>
      <c r="B18">
        <v>10.56</v>
      </c>
      <c r="C18" t="s">
        <v>22</v>
      </c>
      <c r="D18" t="s">
        <v>15</v>
      </c>
      <c r="E18" s="3">
        <v>1500</v>
      </c>
      <c r="F18">
        <v>145.1</v>
      </c>
      <c r="G18">
        <v>11.2</v>
      </c>
      <c r="H18">
        <v>1.61</v>
      </c>
      <c r="I18">
        <v>15.25</v>
      </c>
      <c r="J18">
        <v>8</v>
      </c>
      <c r="K18" t="s">
        <v>23</v>
      </c>
      <c r="L18" t="str">
        <f t="shared" si="0"/>
        <v>VALID</v>
      </c>
      <c r="M18">
        <f t="shared" ref="M18:M22" si="5">IF(J18&gt;0,H18/J18," ")</f>
        <v>0.20125000000000001</v>
      </c>
      <c r="N18" t="str">
        <f t="shared" ref="N18:N22" si="6">IF(ISNUMBER(E18),IF(E18&lt;1000,"Low",IF(E18&lt;3000,"Medium","High")),"Unknown")</f>
        <v>Medium</v>
      </c>
      <c r="O18">
        <f t="shared" ref="O18:O22" si="7">(G18+I18)/2</f>
        <v>13.225</v>
      </c>
      <c r="P18" t="str">
        <f t="shared" ref="P18:P22" si="8">IF(O18&lt;30,"Low",IF(O18&lt;60,"Medium","High"))</f>
        <v>Low</v>
      </c>
    </row>
    <row r="19" spans="1:16" x14ac:dyDescent="0.25">
      <c r="A19">
        <v>300</v>
      </c>
      <c r="B19">
        <v>10.87</v>
      </c>
      <c r="C19" t="s">
        <v>14</v>
      </c>
      <c r="D19" t="s">
        <v>12</v>
      </c>
      <c r="E19" s="3">
        <v>900</v>
      </c>
      <c r="F19">
        <v>63.9</v>
      </c>
      <c r="G19">
        <v>10.99</v>
      </c>
      <c r="H19">
        <v>0.04</v>
      </c>
      <c r="I19">
        <v>0.37</v>
      </c>
      <c r="J19">
        <v>18</v>
      </c>
      <c r="K19" t="s">
        <v>23</v>
      </c>
      <c r="L19" t="str">
        <f t="shared" si="0"/>
        <v>VALID</v>
      </c>
      <c r="M19">
        <f t="shared" si="5"/>
        <v>2.2222222222222222E-3</v>
      </c>
      <c r="N19" t="str">
        <f t="shared" si="6"/>
        <v>Low</v>
      </c>
      <c r="O19">
        <f t="shared" si="7"/>
        <v>5.68</v>
      </c>
      <c r="P19" t="str">
        <f t="shared" si="8"/>
        <v>Low</v>
      </c>
    </row>
    <row r="20" spans="1:16" x14ac:dyDescent="0.25">
      <c r="A20">
        <v>100</v>
      </c>
      <c r="B20">
        <v>7.21</v>
      </c>
      <c r="C20" t="s">
        <v>14</v>
      </c>
      <c r="D20" t="s">
        <v>15</v>
      </c>
      <c r="E20" s="3">
        <v>600</v>
      </c>
      <c r="F20">
        <v>13.6</v>
      </c>
      <c r="G20">
        <v>4.51</v>
      </c>
      <c r="H20">
        <v>3.16</v>
      </c>
      <c r="I20">
        <v>43.83</v>
      </c>
      <c r="J20">
        <v>22</v>
      </c>
      <c r="K20" t="s">
        <v>13</v>
      </c>
      <c r="L20" t="str">
        <f t="shared" si="0"/>
        <v>VALID</v>
      </c>
      <c r="M20">
        <f t="shared" si="5"/>
        <v>0.14363636363636365</v>
      </c>
      <c r="N20" t="str">
        <f t="shared" si="6"/>
        <v>Low</v>
      </c>
      <c r="O20">
        <f t="shared" si="7"/>
        <v>24.169999999999998</v>
      </c>
      <c r="P20" t="str">
        <f t="shared" si="8"/>
        <v>Low</v>
      </c>
    </row>
    <row r="21" spans="1:16" x14ac:dyDescent="0.25">
      <c r="A21">
        <v>100</v>
      </c>
      <c r="B21">
        <v>5.49</v>
      </c>
      <c r="C21" t="s">
        <v>11</v>
      </c>
      <c r="D21" t="s">
        <v>18</v>
      </c>
      <c r="E21" s="3">
        <v>900</v>
      </c>
      <c r="F21">
        <v>52.6</v>
      </c>
      <c r="G21">
        <v>16.25</v>
      </c>
      <c r="H21">
        <v>4.2300000000000004</v>
      </c>
      <c r="I21">
        <v>77.05</v>
      </c>
      <c r="J21">
        <v>13</v>
      </c>
      <c r="K21" t="s">
        <v>13</v>
      </c>
      <c r="L21" t="str">
        <f t="shared" si="0"/>
        <v>VALID</v>
      </c>
      <c r="M21">
        <f t="shared" si="5"/>
        <v>0.32538461538461544</v>
      </c>
      <c r="N21" t="str">
        <f t="shared" si="6"/>
        <v>Low</v>
      </c>
      <c r="O21">
        <f t="shared" si="7"/>
        <v>46.65</v>
      </c>
      <c r="P21" t="str">
        <f t="shared" si="8"/>
        <v>Medium</v>
      </c>
    </row>
    <row r="22" spans="1:16" x14ac:dyDescent="0.25">
      <c r="A22">
        <v>300</v>
      </c>
      <c r="B22">
        <v>11.14</v>
      </c>
      <c r="C22" t="s">
        <v>22</v>
      </c>
      <c r="D22" t="s">
        <v>15</v>
      </c>
      <c r="E22" s="3">
        <v>900</v>
      </c>
      <c r="F22">
        <v>33</v>
      </c>
      <c r="G22">
        <v>16.23</v>
      </c>
      <c r="H22">
        <v>9.67</v>
      </c>
      <c r="I22">
        <v>86.8</v>
      </c>
      <c r="J22">
        <v>24</v>
      </c>
      <c r="K22" t="s">
        <v>16</v>
      </c>
      <c r="L22" t="str">
        <f t="shared" si="0"/>
        <v>VALID</v>
      </c>
      <c r="M22">
        <f t="shared" si="5"/>
        <v>0.40291666666666665</v>
      </c>
      <c r="N22" t="str">
        <f t="shared" si="6"/>
        <v>Low</v>
      </c>
      <c r="O22">
        <f t="shared" si="7"/>
        <v>51.515000000000001</v>
      </c>
      <c r="P22" t="str">
        <f t="shared" si="8"/>
        <v>Medium</v>
      </c>
    </row>
    <row r="23" spans="1:16" hidden="1" x14ac:dyDescent="0.25">
      <c r="A23">
        <v>100</v>
      </c>
      <c r="B23">
        <v>5.68</v>
      </c>
      <c r="C23" t="s">
        <v>11</v>
      </c>
      <c r="D23" t="s">
        <v>15</v>
      </c>
      <c r="E23">
        <v>1500</v>
      </c>
      <c r="F23">
        <v>45.3</v>
      </c>
      <c r="G23">
        <v>12.17</v>
      </c>
      <c r="H23">
        <v>7.59</v>
      </c>
      <c r="I23">
        <v>133.63</v>
      </c>
      <c r="J23">
        <v>10</v>
      </c>
      <c r="K23" t="s">
        <v>16</v>
      </c>
      <c r="L23" t="str">
        <f t="shared" si="0"/>
        <v>INVALID</v>
      </c>
    </row>
    <row r="24" spans="1:16" x14ac:dyDescent="0.25">
      <c r="A24">
        <v>1000</v>
      </c>
      <c r="B24">
        <v>32.89</v>
      </c>
      <c r="C24" t="s">
        <v>22</v>
      </c>
      <c r="D24" t="s">
        <v>12</v>
      </c>
      <c r="E24" s="3">
        <v>600</v>
      </c>
      <c r="F24">
        <v>56.9</v>
      </c>
      <c r="G24">
        <v>4.01</v>
      </c>
      <c r="H24">
        <v>0.84</v>
      </c>
      <c r="I24">
        <v>2.5499999999999998</v>
      </c>
      <c r="J24">
        <v>7</v>
      </c>
      <c r="K24" t="s">
        <v>23</v>
      </c>
      <c r="L24" t="str">
        <f t="shared" si="0"/>
        <v>VALID</v>
      </c>
      <c r="M24">
        <f t="shared" ref="M24:M37" si="9">IF(J24&gt;0,H24/J24," ")</f>
        <v>0.12</v>
      </c>
      <c r="N24" t="str">
        <f t="shared" ref="N24:N35" si="10">IF(ISNUMBER(E24),IF(E24&lt;1000,"Low",IF(E24&lt;3000,"Medium","High")),"Unknown")</f>
        <v>Low</v>
      </c>
      <c r="O24">
        <f t="shared" ref="O24:O35" si="11">(G24+I24)/2</f>
        <v>3.28</v>
      </c>
      <c r="P24" t="str">
        <f t="shared" ref="P24:P35" si="12">IF(O24&lt;30,"Low",IF(O24&lt;60,"Medium","High"))</f>
        <v>Low</v>
      </c>
    </row>
    <row r="25" spans="1:16" x14ac:dyDescent="0.25">
      <c r="A25">
        <v>250</v>
      </c>
      <c r="B25">
        <v>12.89</v>
      </c>
      <c r="C25" t="s">
        <v>11</v>
      </c>
      <c r="D25" t="s">
        <v>15</v>
      </c>
      <c r="E25" s="3">
        <v>300</v>
      </c>
      <c r="F25">
        <v>145.6</v>
      </c>
      <c r="G25">
        <v>2.4500000000000002</v>
      </c>
      <c r="H25">
        <v>4.1900000000000004</v>
      </c>
      <c r="I25">
        <v>32.51</v>
      </c>
      <c r="J25">
        <v>16</v>
      </c>
      <c r="K25" t="s">
        <v>13</v>
      </c>
      <c r="L25" t="str">
        <f t="shared" si="0"/>
        <v>VALID</v>
      </c>
      <c r="M25">
        <f t="shared" si="9"/>
        <v>0.26187500000000002</v>
      </c>
      <c r="N25" t="str">
        <f t="shared" si="10"/>
        <v>Low</v>
      </c>
      <c r="O25">
        <f t="shared" si="11"/>
        <v>17.48</v>
      </c>
      <c r="P25" t="str">
        <f t="shared" si="12"/>
        <v>Low</v>
      </c>
    </row>
    <row r="26" spans="1:16" x14ac:dyDescent="0.25">
      <c r="A26">
        <v>1000</v>
      </c>
      <c r="B26">
        <v>32.869999999999997</v>
      </c>
      <c r="C26" t="s">
        <v>22</v>
      </c>
      <c r="D26" t="s">
        <v>12</v>
      </c>
      <c r="E26" s="3">
        <v>600</v>
      </c>
      <c r="F26">
        <v>21.6</v>
      </c>
      <c r="G26">
        <v>17.260000000000002</v>
      </c>
      <c r="H26">
        <v>8.39</v>
      </c>
      <c r="I26">
        <v>25.52</v>
      </c>
      <c r="J26">
        <v>3</v>
      </c>
      <c r="K26" t="s">
        <v>16</v>
      </c>
      <c r="L26" t="str">
        <f t="shared" si="0"/>
        <v>VALID</v>
      </c>
      <c r="M26">
        <f t="shared" si="9"/>
        <v>2.7966666666666669</v>
      </c>
      <c r="N26" t="str">
        <f t="shared" si="10"/>
        <v>Low</v>
      </c>
      <c r="O26">
        <f t="shared" si="11"/>
        <v>21.39</v>
      </c>
      <c r="P26" t="str">
        <f t="shared" si="12"/>
        <v>Low</v>
      </c>
    </row>
    <row r="27" spans="1:16" x14ac:dyDescent="0.25">
      <c r="A27">
        <v>1500</v>
      </c>
      <c r="B27">
        <v>28.73</v>
      </c>
      <c r="C27" t="s">
        <v>19</v>
      </c>
      <c r="D27" t="s">
        <v>15</v>
      </c>
      <c r="E27" s="3">
        <v>300</v>
      </c>
      <c r="F27">
        <v>117.3</v>
      </c>
      <c r="G27">
        <v>4.55</v>
      </c>
      <c r="H27">
        <v>1.97</v>
      </c>
      <c r="I27">
        <v>6.86</v>
      </c>
      <c r="J27">
        <v>12</v>
      </c>
      <c r="K27" t="s">
        <v>23</v>
      </c>
      <c r="L27" t="str">
        <f t="shared" si="0"/>
        <v>VALID</v>
      </c>
      <c r="M27">
        <f t="shared" si="9"/>
        <v>0.16416666666666666</v>
      </c>
      <c r="N27" t="str">
        <f t="shared" si="10"/>
        <v>Low</v>
      </c>
      <c r="O27">
        <f t="shared" si="11"/>
        <v>5.7050000000000001</v>
      </c>
      <c r="P27" t="str">
        <f t="shared" si="12"/>
        <v>Low</v>
      </c>
    </row>
    <row r="28" spans="1:16" x14ac:dyDescent="0.25">
      <c r="A28">
        <v>100</v>
      </c>
      <c r="B28">
        <v>4.62</v>
      </c>
      <c r="C28" t="s">
        <v>19</v>
      </c>
      <c r="D28" t="s">
        <v>18</v>
      </c>
      <c r="E28" s="3">
        <v>1500</v>
      </c>
      <c r="F28">
        <v>52.5</v>
      </c>
      <c r="G28">
        <v>16.62</v>
      </c>
      <c r="H28">
        <v>1.79</v>
      </c>
      <c r="I28">
        <v>38.74</v>
      </c>
      <c r="J28">
        <v>3</v>
      </c>
      <c r="K28" t="s">
        <v>23</v>
      </c>
      <c r="L28" t="str">
        <f t="shared" si="0"/>
        <v>VALID</v>
      </c>
      <c r="M28">
        <f t="shared" si="9"/>
        <v>0.59666666666666668</v>
      </c>
      <c r="N28" t="str">
        <f t="shared" si="10"/>
        <v>Medium</v>
      </c>
      <c r="O28">
        <f t="shared" si="11"/>
        <v>27.68</v>
      </c>
      <c r="P28" t="str">
        <f t="shared" si="12"/>
        <v>Low</v>
      </c>
    </row>
    <row r="29" spans="1:16" x14ac:dyDescent="0.25">
      <c r="A29">
        <v>150</v>
      </c>
      <c r="B29">
        <v>6.81</v>
      </c>
      <c r="C29" t="s">
        <v>21</v>
      </c>
      <c r="D29" t="s">
        <v>20</v>
      </c>
      <c r="E29" s="3">
        <v>1500</v>
      </c>
      <c r="F29">
        <v>62.4</v>
      </c>
      <c r="G29">
        <v>16.100000000000001</v>
      </c>
      <c r="H29">
        <v>5.52</v>
      </c>
      <c r="I29">
        <v>81.06</v>
      </c>
      <c r="J29">
        <v>4</v>
      </c>
      <c r="K29" t="s">
        <v>16</v>
      </c>
      <c r="L29" t="str">
        <f t="shared" si="0"/>
        <v>VALID</v>
      </c>
      <c r="M29">
        <f t="shared" si="9"/>
        <v>1.38</v>
      </c>
      <c r="N29" t="str">
        <f t="shared" si="10"/>
        <v>Medium</v>
      </c>
      <c r="O29">
        <f t="shared" si="11"/>
        <v>48.58</v>
      </c>
      <c r="P29" t="str">
        <f t="shared" si="12"/>
        <v>Medium</v>
      </c>
    </row>
    <row r="30" spans="1:16" x14ac:dyDescent="0.25">
      <c r="A30">
        <v>1500</v>
      </c>
      <c r="B30">
        <v>30.19</v>
      </c>
      <c r="C30" t="s">
        <v>22</v>
      </c>
      <c r="D30" t="s">
        <v>15</v>
      </c>
      <c r="E30" s="3">
        <v>150</v>
      </c>
      <c r="F30">
        <v>109</v>
      </c>
      <c r="G30">
        <v>13</v>
      </c>
      <c r="H30">
        <v>0.22</v>
      </c>
      <c r="I30">
        <v>0.73</v>
      </c>
      <c r="J30">
        <v>14</v>
      </c>
      <c r="K30" t="s">
        <v>23</v>
      </c>
      <c r="L30" t="str">
        <f t="shared" si="0"/>
        <v>VALID</v>
      </c>
      <c r="M30">
        <f t="shared" si="9"/>
        <v>1.5714285714285715E-2</v>
      </c>
      <c r="N30" t="str">
        <f t="shared" si="10"/>
        <v>Low</v>
      </c>
      <c r="O30">
        <f t="shared" si="11"/>
        <v>6.8650000000000002</v>
      </c>
      <c r="P30" t="str">
        <f t="shared" si="12"/>
        <v>Low</v>
      </c>
    </row>
    <row r="31" spans="1:16" x14ac:dyDescent="0.25">
      <c r="A31">
        <v>1000</v>
      </c>
      <c r="B31">
        <v>24.79</v>
      </c>
      <c r="C31" t="s">
        <v>19</v>
      </c>
      <c r="D31" t="s">
        <v>12</v>
      </c>
      <c r="E31" s="3">
        <v>1500</v>
      </c>
      <c r="F31">
        <v>4.7</v>
      </c>
      <c r="G31">
        <v>4.6500000000000004</v>
      </c>
      <c r="H31">
        <v>4.76</v>
      </c>
      <c r="I31">
        <v>19.2</v>
      </c>
      <c r="J31">
        <v>17</v>
      </c>
      <c r="K31" t="s">
        <v>13</v>
      </c>
      <c r="L31" t="str">
        <f t="shared" si="0"/>
        <v>VALID</v>
      </c>
      <c r="M31">
        <f t="shared" si="9"/>
        <v>0.27999999999999997</v>
      </c>
      <c r="N31" t="str">
        <f t="shared" si="10"/>
        <v>Medium</v>
      </c>
      <c r="O31">
        <f t="shared" si="11"/>
        <v>11.925000000000001</v>
      </c>
      <c r="P31" t="str">
        <f t="shared" si="12"/>
        <v>Low</v>
      </c>
    </row>
    <row r="32" spans="1:16" x14ac:dyDescent="0.25">
      <c r="A32">
        <v>250</v>
      </c>
      <c r="B32">
        <v>7.16</v>
      </c>
      <c r="C32" t="s">
        <v>19</v>
      </c>
      <c r="D32" t="s">
        <v>18</v>
      </c>
      <c r="E32" s="3">
        <v>2500</v>
      </c>
      <c r="F32">
        <v>-23.1</v>
      </c>
      <c r="G32">
        <v>10.24</v>
      </c>
      <c r="H32">
        <v>4.96</v>
      </c>
      <c r="I32">
        <v>69.27</v>
      </c>
      <c r="J32">
        <v>14</v>
      </c>
      <c r="K32" t="s">
        <v>13</v>
      </c>
      <c r="L32" t="str">
        <f t="shared" si="0"/>
        <v>VALID</v>
      </c>
      <c r="M32">
        <f t="shared" si="9"/>
        <v>0.35428571428571426</v>
      </c>
      <c r="N32" t="str">
        <f t="shared" si="10"/>
        <v>Medium</v>
      </c>
      <c r="O32">
        <f t="shared" si="11"/>
        <v>39.754999999999995</v>
      </c>
      <c r="P32" t="str">
        <f t="shared" si="12"/>
        <v>Medium</v>
      </c>
    </row>
    <row r="33" spans="1:16" x14ac:dyDescent="0.25">
      <c r="A33">
        <v>150</v>
      </c>
      <c r="B33">
        <v>5.97</v>
      </c>
      <c r="C33" t="s">
        <v>14</v>
      </c>
      <c r="D33" t="s">
        <v>15</v>
      </c>
      <c r="E33" s="3">
        <v>150</v>
      </c>
      <c r="F33">
        <v>35.4</v>
      </c>
      <c r="G33">
        <v>14.28</v>
      </c>
      <c r="H33">
        <v>0.2</v>
      </c>
      <c r="I33">
        <v>3.35</v>
      </c>
      <c r="J33">
        <v>24</v>
      </c>
      <c r="K33" t="s">
        <v>23</v>
      </c>
      <c r="L33" t="str">
        <f t="shared" si="0"/>
        <v>VALID</v>
      </c>
      <c r="M33">
        <f t="shared" si="9"/>
        <v>8.3333333333333332E-3</v>
      </c>
      <c r="N33" t="str">
        <f t="shared" si="10"/>
        <v>Low</v>
      </c>
      <c r="O33">
        <f t="shared" si="11"/>
        <v>8.8149999999999995</v>
      </c>
      <c r="P33" t="str">
        <f t="shared" si="12"/>
        <v>Low</v>
      </c>
    </row>
    <row r="34" spans="1:16" x14ac:dyDescent="0.25">
      <c r="A34">
        <v>250</v>
      </c>
      <c r="B34">
        <v>13.7</v>
      </c>
      <c r="C34" t="s">
        <v>11</v>
      </c>
      <c r="D34" t="s">
        <v>20</v>
      </c>
      <c r="E34" s="3">
        <v>2500</v>
      </c>
      <c r="F34">
        <v>18.3</v>
      </c>
      <c r="G34">
        <v>0.28000000000000003</v>
      </c>
      <c r="H34">
        <v>5.94</v>
      </c>
      <c r="I34">
        <v>43.36</v>
      </c>
      <c r="J34">
        <v>13</v>
      </c>
      <c r="K34" t="s">
        <v>16</v>
      </c>
      <c r="L34" t="str">
        <f t="shared" si="0"/>
        <v>VALID</v>
      </c>
      <c r="M34">
        <f t="shared" si="9"/>
        <v>0.45692307692307693</v>
      </c>
      <c r="N34" t="str">
        <f t="shared" si="10"/>
        <v>Medium</v>
      </c>
      <c r="O34">
        <f t="shared" si="11"/>
        <v>21.82</v>
      </c>
      <c r="P34" t="str">
        <f t="shared" si="12"/>
        <v>Low</v>
      </c>
    </row>
    <row r="35" spans="1:16" x14ac:dyDescent="0.25">
      <c r="A35">
        <v>300</v>
      </c>
      <c r="B35">
        <v>9.65</v>
      </c>
      <c r="C35" t="s">
        <v>11</v>
      </c>
      <c r="D35" t="s">
        <v>18</v>
      </c>
      <c r="E35" s="3">
        <v>900</v>
      </c>
      <c r="F35">
        <v>58.2</v>
      </c>
      <c r="G35">
        <v>16.16</v>
      </c>
      <c r="H35">
        <v>5.04</v>
      </c>
      <c r="I35">
        <v>52.23</v>
      </c>
      <c r="J35">
        <v>19</v>
      </c>
      <c r="K35" t="s">
        <v>16</v>
      </c>
      <c r="L35" t="str">
        <f t="shared" si="0"/>
        <v>VALID</v>
      </c>
      <c r="M35">
        <f t="shared" si="9"/>
        <v>0.26526315789473687</v>
      </c>
      <c r="N35" t="str">
        <f t="shared" si="10"/>
        <v>Low</v>
      </c>
      <c r="O35">
        <f t="shared" si="11"/>
        <v>34.195</v>
      </c>
      <c r="P35" t="str">
        <f t="shared" si="12"/>
        <v>Medium</v>
      </c>
    </row>
    <row r="36" spans="1:16" hidden="1" x14ac:dyDescent="0.25">
      <c r="A36">
        <v>50</v>
      </c>
      <c r="B36">
        <v>4.55</v>
      </c>
      <c r="C36" t="s">
        <v>14</v>
      </c>
      <c r="D36" t="s">
        <v>12</v>
      </c>
      <c r="E36">
        <v>600</v>
      </c>
      <c r="F36">
        <v>51.7</v>
      </c>
      <c r="G36">
        <v>14.89</v>
      </c>
      <c r="H36">
        <v>8.91</v>
      </c>
      <c r="I36">
        <v>195.82</v>
      </c>
      <c r="J36">
        <v>1</v>
      </c>
      <c r="K36" t="s">
        <v>16</v>
      </c>
      <c r="L36" t="str">
        <f t="shared" si="0"/>
        <v>INVALID</v>
      </c>
      <c r="M36">
        <f t="shared" si="9"/>
        <v>8.91</v>
      </c>
    </row>
    <row r="37" spans="1:16" hidden="1" x14ac:dyDescent="0.25">
      <c r="A37">
        <v>50</v>
      </c>
      <c r="B37">
        <v>4.05</v>
      </c>
      <c r="C37" t="s">
        <v>14</v>
      </c>
      <c r="D37" t="s">
        <v>12</v>
      </c>
      <c r="E37">
        <v>150</v>
      </c>
      <c r="F37">
        <v>63</v>
      </c>
      <c r="G37">
        <v>16.940000000000001</v>
      </c>
      <c r="H37">
        <v>9.5299999999999994</v>
      </c>
      <c r="I37">
        <v>235.31</v>
      </c>
      <c r="J37">
        <v>1</v>
      </c>
      <c r="K37" t="s">
        <v>16</v>
      </c>
      <c r="L37" t="str">
        <f t="shared" si="0"/>
        <v>INVALID</v>
      </c>
      <c r="M37">
        <f t="shared" si="9"/>
        <v>9.5299999999999994</v>
      </c>
    </row>
    <row r="38" spans="1:16" x14ac:dyDescent="0.25">
      <c r="A38">
        <v>50</v>
      </c>
      <c r="B38">
        <v>4.1100000000000003</v>
      </c>
      <c r="C38" t="s">
        <v>21</v>
      </c>
      <c r="D38" t="s">
        <v>20</v>
      </c>
      <c r="E38" s="3">
        <v>150</v>
      </c>
      <c r="F38">
        <v>44.5</v>
      </c>
      <c r="G38">
        <v>7.24</v>
      </c>
      <c r="H38">
        <v>3.39</v>
      </c>
      <c r="I38">
        <v>82.48</v>
      </c>
      <c r="J38">
        <v>15</v>
      </c>
      <c r="K38" t="s">
        <v>13</v>
      </c>
      <c r="L38" t="str">
        <f t="shared" si="0"/>
        <v>VALID</v>
      </c>
      <c r="M38">
        <f t="shared" ref="M38:M48" si="13">IF(J38&gt;0,H38/J38," ")</f>
        <v>0.22600000000000001</v>
      </c>
      <c r="N38" t="str">
        <f t="shared" ref="N38:N47" si="14">IF(ISNUMBER(E38),IF(E38&lt;1000,"Low",IF(E38&lt;3000,"Medium","High")),"Unknown")</f>
        <v>Low</v>
      </c>
      <c r="O38">
        <f t="shared" ref="O38:O47" si="15">(G38+I38)/2</f>
        <v>44.86</v>
      </c>
      <c r="P38" t="str">
        <f t="shared" ref="P38:P47" si="16">IF(O38&lt;30,"Low",IF(O38&lt;60,"Medium","High"))</f>
        <v>Medium</v>
      </c>
    </row>
    <row r="39" spans="1:16" x14ac:dyDescent="0.25">
      <c r="A39">
        <v>150</v>
      </c>
      <c r="B39">
        <v>8.15</v>
      </c>
      <c r="C39" t="s">
        <v>14</v>
      </c>
      <c r="D39" t="s">
        <v>15</v>
      </c>
      <c r="E39" s="3">
        <v>150</v>
      </c>
      <c r="F39">
        <v>-23.9</v>
      </c>
      <c r="G39">
        <v>2.62</v>
      </c>
      <c r="H39">
        <v>0.2</v>
      </c>
      <c r="I39">
        <v>2.4500000000000002</v>
      </c>
      <c r="J39">
        <v>5</v>
      </c>
      <c r="K39" t="s">
        <v>23</v>
      </c>
      <c r="L39" t="str">
        <f t="shared" si="0"/>
        <v>VALID</v>
      </c>
      <c r="M39">
        <f t="shared" si="13"/>
        <v>0.04</v>
      </c>
      <c r="N39" t="str">
        <f t="shared" si="14"/>
        <v>Low</v>
      </c>
      <c r="O39">
        <f t="shared" si="15"/>
        <v>2.5350000000000001</v>
      </c>
      <c r="P39" t="str">
        <f t="shared" si="16"/>
        <v>Low</v>
      </c>
    </row>
    <row r="40" spans="1:16" x14ac:dyDescent="0.25">
      <c r="A40">
        <v>1000</v>
      </c>
      <c r="B40">
        <v>17.260000000000002</v>
      </c>
      <c r="C40" t="s">
        <v>21</v>
      </c>
      <c r="D40" t="s">
        <v>12</v>
      </c>
      <c r="E40" s="3">
        <v>1500</v>
      </c>
      <c r="F40">
        <v>-8</v>
      </c>
      <c r="G40">
        <v>1.79</v>
      </c>
      <c r="H40">
        <v>5.56</v>
      </c>
      <c r="I40">
        <v>32.21</v>
      </c>
      <c r="J40">
        <v>9</v>
      </c>
      <c r="K40" t="s">
        <v>16</v>
      </c>
      <c r="L40" t="str">
        <f t="shared" si="0"/>
        <v>VALID</v>
      </c>
      <c r="M40">
        <f t="shared" si="13"/>
        <v>0.61777777777777776</v>
      </c>
      <c r="N40" t="str">
        <f t="shared" si="14"/>
        <v>Medium</v>
      </c>
      <c r="O40">
        <f t="shared" si="15"/>
        <v>17</v>
      </c>
      <c r="P40" t="str">
        <f t="shared" si="16"/>
        <v>Low</v>
      </c>
    </row>
    <row r="41" spans="1:16" x14ac:dyDescent="0.25">
      <c r="A41">
        <v>250</v>
      </c>
      <c r="B41">
        <v>7.17</v>
      </c>
      <c r="C41" t="s">
        <v>21</v>
      </c>
      <c r="D41" t="s">
        <v>12</v>
      </c>
      <c r="E41" s="3">
        <v>150</v>
      </c>
      <c r="F41">
        <v>84.7</v>
      </c>
      <c r="G41">
        <v>16.86</v>
      </c>
      <c r="H41">
        <v>2.91</v>
      </c>
      <c r="I41">
        <v>40.590000000000003</v>
      </c>
      <c r="J41">
        <v>14</v>
      </c>
      <c r="K41" t="s">
        <v>13</v>
      </c>
      <c r="L41" t="str">
        <f t="shared" si="0"/>
        <v>VALID</v>
      </c>
      <c r="M41">
        <f t="shared" si="13"/>
        <v>0.20785714285714288</v>
      </c>
      <c r="N41" t="str">
        <f t="shared" si="14"/>
        <v>Low</v>
      </c>
      <c r="O41">
        <f t="shared" si="15"/>
        <v>28.725000000000001</v>
      </c>
      <c r="P41" t="str">
        <f t="shared" si="16"/>
        <v>Low</v>
      </c>
    </row>
    <row r="42" spans="1:16" x14ac:dyDescent="0.25">
      <c r="A42">
        <v>1200</v>
      </c>
      <c r="B42">
        <v>24.53</v>
      </c>
      <c r="C42" t="s">
        <v>21</v>
      </c>
      <c r="D42" t="s">
        <v>12</v>
      </c>
      <c r="E42" s="3">
        <v>600</v>
      </c>
      <c r="F42">
        <v>62.4</v>
      </c>
      <c r="G42">
        <v>16.22</v>
      </c>
      <c r="H42">
        <v>4.93</v>
      </c>
      <c r="I42">
        <v>20.100000000000001</v>
      </c>
      <c r="J42">
        <v>10</v>
      </c>
      <c r="K42" t="s">
        <v>13</v>
      </c>
      <c r="L42" t="str">
        <f t="shared" si="0"/>
        <v>VALID</v>
      </c>
      <c r="M42">
        <f t="shared" si="13"/>
        <v>0.49299999999999999</v>
      </c>
      <c r="N42" t="str">
        <f t="shared" si="14"/>
        <v>Low</v>
      </c>
      <c r="O42">
        <f t="shared" si="15"/>
        <v>18.16</v>
      </c>
      <c r="P42" t="str">
        <f t="shared" si="16"/>
        <v>Low</v>
      </c>
    </row>
    <row r="43" spans="1:16" x14ac:dyDescent="0.25">
      <c r="A43">
        <v>600</v>
      </c>
      <c r="B43">
        <v>17.32</v>
      </c>
      <c r="C43" t="s">
        <v>11</v>
      </c>
      <c r="D43" t="s">
        <v>20</v>
      </c>
      <c r="E43" s="3">
        <v>150</v>
      </c>
      <c r="F43">
        <v>59.8</v>
      </c>
      <c r="G43">
        <v>0.84</v>
      </c>
      <c r="H43">
        <v>7.74</v>
      </c>
      <c r="I43">
        <v>44.69</v>
      </c>
      <c r="J43">
        <v>1</v>
      </c>
      <c r="K43" t="s">
        <v>16</v>
      </c>
      <c r="L43" t="str">
        <f t="shared" si="0"/>
        <v>VALID</v>
      </c>
      <c r="M43">
        <f t="shared" si="13"/>
        <v>7.74</v>
      </c>
      <c r="N43" t="str">
        <f t="shared" si="14"/>
        <v>Low</v>
      </c>
      <c r="O43">
        <f t="shared" si="15"/>
        <v>22.765000000000001</v>
      </c>
      <c r="P43" t="str">
        <f t="shared" si="16"/>
        <v>Low</v>
      </c>
    </row>
    <row r="44" spans="1:16" x14ac:dyDescent="0.25">
      <c r="A44">
        <v>1000</v>
      </c>
      <c r="B44">
        <v>30.64</v>
      </c>
      <c r="C44" t="s">
        <v>11</v>
      </c>
      <c r="D44" t="s">
        <v>15</v>
      </c>
      <c r="E44" s="3">
        <v>2500</v>
      </c>
      <c r="F44">
        <v>148.69999999999999</v>
      </c>
      <c r="G44">
        <v>3.25</v>
      </c>
      <c r="H44">
        <v>1.06</v>
      </c>
      <c r="I44">
        <v>3.46</v>
      </c>
      <c r="J44">
        <v>11</v>
      </c>
      <c r="K44" t="s">
        <v>23</v>
      </c>
      <c r="L44" t="str">
        <f t="shared" si="0"/>
        <v>VALID</v>
      </c>
      <c r="M44">
        <f t="shared" si="13"/>
        <v>9.6363636363636374E-2</v>
      </c>
      <c r="N44" t="str">
        <f t="shared" si="14"/>
        <v>Medium</v>
      </c>
      <c r="O44">
        <f t="shared" si="15"/>
        <v>3.355</v>
      </c>
      <c r="P44" t="str">
        <f t="shared" si="16"/>
        <v>Low</v>
      </c>
    </row>
    <row r="45" spans="1:16" x14ac:dyDescent="0.25">
      <c r="A45">
        <v>100</v>
      </c>
      <c r="B45">
        <v>5.96</v>
      </c>
      <c r="C45" t="s">
        <v>22</v>
      </c>
      <c r="D45" t="s">
        <v>15</v>
      </c>
      <c r="E45" s="3">
        <v>150</v>
      </c>
      <c r="F45">
        <v>116.7</v>
      </c>
      <c r="G45">
        <v>2.42</v>
      </c>
      <c r="H45">
        <v>0.45</v>
      </c>
      <c r="I45">
        <v>7.55</v>
      </c>
      <c r="J45">
        <v>23</v>
      </c>
      <c r="K45" t="s">
        <v>23</v>
      </c>
      <c r="L45" t="str">
        <f t="shared" si="0"/>
        <v>VALID</v>
      </c>
      <c r="M45">
        <f t="shared" si="13"/>
        <v>1.9565217391304349E-2</v>
      </c>
      <c r="N45" t="str">
        <f t="shared" si="14"/>
        <v>Low</v>
      </c>
      <c r="O45">
        <f t="shared" si="15"/>
        <v>4.9849999999999994</v>
      </c>
      <c r="P45" t="str">
        <f t="shared" si="16"/>
        <v>Low</v>
      </c>
    </row>
    <row r="46" spans="1:16" x14ac:dyDescent="0.25">
      <c r="A46">
        <v>400</v>
      </c>
      <c r="B46">
        <v>12.67</v>
      </c>
      <c r="C46" t="s">
        <v>11</v>
      </c>
      <c r="D46" t="s">
        <v>18</v>
      </c>
      <c r="E46" s="3">
        <v>150</v>
      </c>
      <c r="F46">
        <v>0.1</v>
      </c>
      <c r="G46">
        <v>17.04</v>
      </c>
      <c r="H46">
        <v>0.37</v>
      </c>
      <c r="I46">
        <v>2.92</v>
      </c>
      <c r="J46">
        <v>5</v>
      </c>
      <c r="K46" t="s">
        <v>23</v>
      </c>
      <c r="L46" t="str">
        <f t="shared" si="0"/>
        <v>VALID</v>
      </c>
      <c r="M46">
        <f t="shared" si="13"/>
        <v>7.3999999999999996E-2</v>
      </c>
      <c r="N46" t="str">
        <f t="shared" si="14"/>
        <v>Low</v>
      </c>
      <c r="O46">
        <f t="shared" si="15"/>
        <v>9.98</v>
      </c>
      <c r="P46" t="str">
        <f t="shared" si="16"/>
        <v>Low</v>
      </c>
    </row>
    <row r="47" spans="1:16" x14ac:dyDescent="0.25">
      <c r="A47">
        <v>800</v>
      </c>
      <c r="B47">
        <v>21.57</v>
      </c>
      <c r="C47" t="s">
        <v>11</v>
      </c>
      <c r="D47" t="s">
        <v>12</v>
      </c>
      <c r="E47" s="3">
        <v>150</v>
      </c>
      <c r="F47">
        <v>-4.3</v>
      </c>
      <c r="G47">
        <v>10.97</v>
      </c>
      <c r="H47">
        <v>6.17</v>
      </c>
      <c r="I47">
        <v>28.6</v>
      </c>
      <c r="J47">
        <v>9</v>
      </c>
      <c r="K47" t="s">
        <v>16</v>
      </c>
      <c r="L47" t="str">
        <f t="shared" si="0"/>
        <v>VALID</v>
      </c>
      <c r="M47">
        <f t="shared" si="13"/>
        <v>0.68555555555555558</v>
      </c>
      <c r="N47" t="str">
        <f t="shared" si="14"/>
        <v>Low</v>
      </c>
      <c r="O47">
        <f t="shared" si="15"/>
        <v>19.785</v>
      </c>
      <c r="P47" t="str">
        <f t="shared" si="16"/>
        <v>Low</v>
      </c>
    </row>
    <row r="48" spans="1:16" hidden="1" x14ac:dyDescent="0.25">
      <c r="A48">
        <v>50</v>
      </c>
      <c r="B48">
        <v>3.6</v>
      </c>
      <c r="C48" t="s">
        <v>21</v>
      </c>
      <c r="D48" t="s">
        <v>18</v>
      </c>
      <c r="E48">
        <v>2500</v>
      </c>
      <c r="F48">
        <v>20.2</v>
      </c>
      <c r="G48">
        <v>15.29</v>
      </c>
      <c r="H48">
        <v>7.69</v>
      </c>
      <c r="I48">
        <v>213.61</v>
      </c>
      <c r="J48">
        <v>2</v>
      </c>
      <c r="K48" t="s">
        <v>16</v>
      </c>
      <c r="L48" t="str">
        <f t="shared" si="0"/>
        <v>INVALID</v>
      </c>
      <c r="M48">
        <f t="shared" si="13"/>
        <v>3.8450000000000002</v>
      </c>
    </row>
    <row r="49" spans="1:16" x14ac:dyDescent="0.25">
      <c r="A49">
        <v>1500</v>
      </c>
      <c r="B49">
        <v>21.15</v>
      </c>
      <c r="C49" t="s">
        <v>14</v>
      </c>
      <c r="D49" t="s">
        <v>20</v>
      </c>
      <c r="E49" s="3">
        <v>600</v>
      </c>
      <c r="F49">
        <v>109.7</v>
      </c>
      <c r="G49">
        <v>18.84</v>
      </c>
      <c r="H49">
        <v>0.93</v>
      </c>
      <c r="I49">
        <v>4.4000000000000004</v>
      </c>
      <c r="J49">
        <v>1</v>
      </c>
      <c r="K49" t="s">
        <v>23</v>
      </c>
      <c r="L49" t="str">
        <f t="shared" si="0"/>
        <v>VALID</v>
      </c>
      <c r="M49">
        <f t="shared" ref="M49:M53" si="17">IF(J49&gt;0,H49/J49," ")</f>
        <v>0.93</v>
      </c>
      <c r="N49" t="str">
        <f t="shared" ref="N49:N52" si="18">IF(ISNUMBER(E49),IF(E49&lt;1000,"Low",IF(E49&lt;3000,"Medium","High")),"Unknown")</f>
        <v>Low</v>
      </c>
      <c r="O49">
        <f t="shared" ref="O49:O52" si="19">(G49+I49)/2</f>
        <v>11.620000000000001</v>
      </c>
      <c r="P49" t="str">
        <f t="shared" ref="P49:P52" si="20">IF(O49&lt;30,"Low",IF(O49&lt;60,"Medium","High"))</f>
        <v>Low</v>
      </c>
    </row>
    <row r="50" spans="1:16" x14ac:dyDescent="0.25">
      <c r="A50">
        <v>800</v>
      </c>
      <c r="B50">
        <v>29.98</v>
      </c>
      <c r="C50" t="s">
        <v>14</v>
      </c>
      <c r="D50" t="s">
        <v>17</v>
      </c>
      <c r="E50" s="3">
        <v>1500</v>
      </c>
      <c r="F50">
        <v>9.8000000000000007</v>
      </c>
      <c r="G50">
        <v>14.24</v>
      </c>
      <c r="H50">
        <v>1.84</v>
      </c>
      <c r="I50">
        <v>6.14</v>
      </c>
      <c r="J50">
        <v>5</v>
      </c>
      <c r="K50" t="s">
        <v>23</v>
      </c>
      <c r="L50" t="str">
        <f t="shared" si="0"/>
        <v>VALID</v>
      </c>
      <c r="M50">
        <f t="shared" si="17"/>
        <v>0.36799999999999999</v>
      </c>
      <c r="N50" t="str">
        <f t="shared" si="18"/>
        <v>Medium</v>
      </c>
      <c r="O50">
        <f t="shared" si="19"/>
        <v>10.19</v>
      </c>
      <c r="P50" t="str">
        <f t="shared" si="20"/>
        <v>Low</v>
      </c>
    </row>
    <row r="51" spans="1:16" x14ac:dyDescent="0.25">
      <c r="A51">
        <v>800</v>
      </c>
      <c r="B51">
        <v>28.85</v>
      </c>
      <c r="C51" t="s">
        <v>22</v>
      </c>
      <c r="D51" t="s">
        <v>20</v>
      </c>
      <c r="E51" s="3">
        <v>2500</v>
      </c>
      <c r="F51">
        <v>57.3</v>
      </c>
      <c r="G51">
        <v>6.62</v>
      </c>
      <c r="H51">
        <v>9.51</v>
      </c>
      <c r="I51">
        <v>32.96</v>
      </c>
      <c r="J51">
        <v>19</v>
      </c>
      <c r="K51" t="s">
        <v>16</v>
      </c>
      <c r="L51" t="str">
        <f t="shared" si="0"/>
        <v>VALID</v>
      </c>
      <c r="M51">
        <f t="shared" si="17"/>
        <v>0.50052631578947371</v>
      </c>
      <c r="N51" t="str">
        <f t="shared" si="18"/>
        <v>Medium</v>
      </c>
      <c r="O51">
        <f t="shared" si="19"/>
        <v>19.79</v>
      </c>
      <c r="P51" t="str">
        <f t="shared" si="20"/>
        <v>Low</v>
      </c>
    </row>
    <row r="52" spans="1:16" x14ac:dyDescent="0.25">
      <c r="A52">
        <v>600</v>
      </c>
      <c r="B52">
        <v>12.82</v>
      </c>
      <c r="C52" t="s">
        <v>19</v>
      </c>
      <c r="D52" t="s">
        <v>12</v>
      </c>
      <c r="E52" s="3">
        <v>300</v>
      </c>
      <c r="F52">
        <v>54.9</v>
      </c>
      <c r="G52">
        <v>2.95</v>
      </c>
      <c r="H52">
        <v>9.19</v>
      </c>
      <c r="I52">
        <v>71.680000000000007</v>
      </c>
      <c r="J52">
        <v>15</v>
      </c>
      <c r="K52" t="s">
        <v>16</v>
      </c>
      <c r="L52" t="str">
        <f t="shared" si="0"/>
        <v>VALID</v>
      </c>
      <c r="M52">
        <f t="shared" si="17"/>
        <v>0.61266666666666658</v>
      </c>
      <c r="N52" t="str">
        <f t="shared" si="18"/>
        <v>Low</v>
      </c>
      <c r="O52">
        <f t="shared" si="19"/>
        <v>37.315000000000005</v>
      </c>
      <c r="P52" t="str">
        <f t="shared" si="20"/>
        <v>Medium</v>
      </c>
    </row>
    <row r="53" spans="1:16" hidden="1" x14ac:dyDescent="0.25">
      <c r="A53">
        <v>150</v>
      </c>
      <c r="B53">
        <v>6.12</v>
      </c>
      <c r="C53" t="s">
        <v>11</v>
      </c>
      <c r="D53" t="s">
        <v>17</v>
      </c>
      <c r="E53">
        <v>1500</v>
      </c>
      <c r="F53">
        <v>42.6</v>
      </c>
      <c r="G53">
        <v>12.29</v>
      </c>
      <c r="H53">
        <v>6.31</v>
      </c>
      <c r="I53">
        <v>103.1</v>
      </c>
      <c r="J53">
        <v>17</v>
      </c>
      <c r="K53" t="s">
        <v>16</v>
      </c>
      <c r="L53" t="str">
        <f t="shared" si="0"/>
        <v>INVALID</v>
      </c>
      <c r="M53">
        <f t="shared" si="17"/>
        <v>0.37117647058823527</v>
      </c>
    </row>
    <row r="54" spans="1:16" x14ac:dyDescent="0.25">
      <c r="A54">
        <v>1500</v>
      </c>
      <c r="B54">
        <v>34.369999999999997</v>
      </c>
      <c r="C54" t="s">
        <v>11</v>
      </c>
      <c r="D54" t="s">
        <v>18</v>
      </c>
      <c r="E54" s="3">
        <v>900</v>
      </c>
      <c r="F54">
        <v>64.900000000000006</v>
      </c>
      <c r="G54">
        <v>17.54</v>
      </c>
      <c r="H54">
        <v>0.83</v>
      </c>
      <c r="I54">
        <v>2.41</v>
      </c>
      <c r="J54">
        <v>25</v>
      </c>
      <c r="K54" t="s">
        <v>23</v>
      </c>
      <c r="L54" t="str">
        <f t="shared" si="0"/>
        <v>VALID</v>
      </c>
      <c r="M54">
        <f t="shared" ref="M54:M71" si="21">IF(J54&gt;0,H54/J54," ")</f>
        <v>3.32E-2</v>
      </c>
      <c r="N54" t="str">
        <f t="shared" ref="N54:N70" si="22">IF(ISNUMBER(E54),IF(E54&lt;1000,"Low",IF(E54&lt;3000,"Medium","High")),"Unknown")</f>
        <v>Low</v>
      </c>
      <c r="O54">
        <f t="shared" ref="O54:O70" si="23">(G54+I54)/2</f>
        <v>9.9749999999999996</v>
      </c>
      <c r="P54" t="str">
        <f t="shared" ref="P54:P70" si="24">IF(O54&lt;30,"Low",IF(O54&lt;60,"Medium","High"))</f>
        <v>Low</v>
      </c>
    </row>
    <row r="55" spans="1:16" x14ac:dyDescent="0.25">
      <c r="A55">
        <v>100</v>
      </c>
      <c r="B55">
        <v>6.71</v>
      </c>
      <c r="C55" t="s">
        <v>21</v>
      </c>
      <c r="D55" t="s">
        <v>20</v>
      </c>
      <c r="E55" s="3">
        <v>300</v>
      </c>
      <c r="F55">
        <v>28.6</v>
      </c>
      <c r="G55">
        <v>12.61</v>
      </c>
      <c r="H55">
        <v>0.59</v>
      </c>
      <c r="I55">
        <v>8.7899999999999991</v>
      </c>
      <c r="J55">
        <v>19</v>
      </c>
      <c r="K55" t="s">
        <v>23</v>
      </c>
      <c r="L55" t="str">
        <f t="shared" si="0"/>
        <v>VALID</v>
      </c>
      <c r="M55">
        <f t="shared" si="21"/>
        <v>3.1052631578947366E-2</v>
      </c>
      <c r="N55" t="str">
        <f t="shared" si="22"/>
        <v>Low</v>
      </c>
      <c r="O55">
        <f t="shared" si="23"/>
        <v>10.7</v>
      </c>
      <c r="P55" t="str">
        <f t="shared" si="24"/>
        <v>Low</v>
      </c>
    </row>
    <row r="56" spans="1:16" x14ac:dyDescent="0.25">
      <c r="A56">
        <v>800</v>
      </c>
      <c r="B56">
        <v>18.86</v>
      </c>
      <c r="C56" t="s">
        <v>21</v>
      </c>
      <c r="D56" t="s">
        <v>18</v>
      </c>
      <c r="E56" s="3">
        <v>900</v>
      </c>
      <c r="F56">
        <v>16.899999999999999</v>
      </c>
      <c r="G56">
        <v>12.16</v>
      </c>
      <c r="H56">
        <v>3.96</v>
      </c>
      <c r="I56">
        <v>21</v>
      </c>
      <c r="J56">
        <v>11</v>
      </c>
      <c r="K56" t="s">
        <v>13</v>
      </c>
      <c r="L56" t="str">
        <f t="shared" si="0"/>
        <v>VALID</v>
      </c>
      <c r="M56">
        <f t="shared" si="21"/>
        <v>0.36</v>
      </c>
      <c r="N56" t="str">
        <f t="shared" si="22"/>
        <v>Low</v>
      </c>
      <c r="O56">
        <f t="shared" si="23"/>
        <v>16.579999999999998</v>
      </c>
      <c r="P56" t="str">
        <f t="shared" si="24"/>
        <v>Low</v>
      </c>
    </row>
    <row r="57" spans="1:16" x14ac:dyDescent="0.25">
      <c r="A57">
        <v>250</v>
      </c>
      <c r="B57">
        <v>12.79</v>
      </c>
      <c r="C57" t="s">
        <v>21</v>
      </c>
      <c r="D57" t="s">
        <v>15</v>
      </c>
      <c r="E57" s="3">
        <v>2500</v>
      </c>
      <c r="F57">
        <v>16.8</v>
      </c>
      <c r="G57">
        <v>18.350000000000001</v>
      </c>
      <c r="H57">
        <v>0.02</v>
      </c>
      <c r="I57">
        <v>0.16</v>
      </c>
      <c r="J57">
        <v>21</v>
      </c>
      <c r="K57" t="s">
        <v>23</v>
      </c>
      <c r="L57" t="str">
        <f t="shared" si="0"/>
        <v>VALID</v>
      </c>
      <c r="M57">
        <f t="shared" si="21"/>
        <v>9.5238095238095238E-4</v>
      </c>
      <c r="N57" t="str">
        <f t="shared" si="22"/>
        <v>Medium</v>
      </c>
      <c r="O57">
        <f t="shared" si="23"/>
        <v>9.2550000000000008</v>
      </c>
      <c r="P57" t="str">
        <f t="shared" si="24"/>
        <v>Low</v>
      </c>
    </row>
    <row r="58" spans="1:16" x14ac:dyDescent="0.25">
      <c r="A58">
        <v>1200</v>
      </c>
      <c r="B58">
        <v>24.48</v>
      </c>
      <c r="C58" t="s">
        <v>19</v>
      </c>
      <c r="D58" t="s">
        <v>12</v>
      </c>
      <c r="E58" s="3">
        <v>900</v>
      </c>
      <c r="F58">
        <v>30.8</v>
      </c>
      <c r="G58">
        <v>4.34</v>
      </c>
      <c r="H58">
        <v>6.35</v>
      </c>
      <c r="I58">
        <v>25.94</v>
      </c>
      <c r="J58">
        <v>1</v>
      </c>
      <c r="K58" t="s">
        <v>16</v>
      </c>
      <c r="L58" t="str">
        <f t="shared" si="0"/>
        <v>VALID</v>
      </c>
      <c r="M58">
        <f t="shared" si="21"/>
        <v>6.35</v>
      </c>
      <c r="N58" t="str">
        <f t="shared" si="22"/>
        <v>Low</v>
      </c>
      <c r="O58">
        <f t="shared" si="23"/>
        <v>15.14</v>
      </c>
      <c r="P58" t="str">
        <f t="shared" si="24"/>
        <v>Low</v>
      </c>
    </row>
    <row r="59" spans="1:16" x14ac:dyDescent="0.25">
      <c r="A59">
        <v>50</v>
      </c>
      <c r="B59">
        <v>5.73</v>
      </c>
      <c r="C59" t="s">
        <v>19</v>
      </c>
      <c r="D59" t="s">
        <v>12</v>
      </c>
      <c r="E59" s="3">
        <v>1500</v>
      </c>
      <c r="F59">
        <v>136.80000000000001</v>
      </c>
      <c r="G59">
        <v>16.739999999999998</v>
      </c>
      <c r="H59">
        <v>3.89</v>
      </c>
      <c r="I59">
        <v>67.89</v>
      </c>
      <c r="J59">
        <v>4</v>
      </c>
      <c r="K59" t="s">
        <v>13</v>
      </c>
      <c r="L59" t="str">
        <f t="shared" si="0"/>
        <v>VALID</v>
      </c>
      <c r="M59">
        <f t="shared" si="21"/>
        <v>0.97250000000000003</v>
      </c>
      <c r="N59" t="str">
        <f t="shared" si="22"/>
        <v>Medium</v>
      </c>
      <c r="O59">
        <f t="shared" si="23"/>
        <v>42.314999999999998</v>
      </c>
      <c r="P59" t="str">
        <f t="shared" si="24"/>
        <v>Medium</v>
      </c>
    </row>
    <row r="60" spans="1:16" x14ac:dyDescent="0.25">
      <c r="A60">
        <v>600</v>
      </c>
      <c r="B60">
        <v>28.18</v>
      </c>
      <c r="C60" t="s">
        <v>11</v>
      </c>
      <c r="D60" t="s">
        <v>17</v>
      </c>
      <c r="E60" s="3">
        <v>1500</v>
      </c>
      <c r="F60">
        <v>-28.3</v>
      </c>
      <c r="G60">
        <v>0.69</v>
      </c>
      <c r="H60">
        <v>1.67</v>
      </c>
      <c r="I60">
        <v>5.93</v>
      </c>
      <c r="J60">
        <v>1</v>
      </c>
      <c r="K60" t="s">
        <v>23</v>
      </c>
      <c r="L60" t="str">
        <f t="shared" si="0"/>
        <v>VALID</v>
      </c>
      <c r="M60">
        <f t="shared" si="21"/>
        <v>1.67</v>
      </c>
      <c r="N60" t="str">
        <f t="shared" si="22"/>
        <v>Medium</v>
      </c>
      <c r="O60">
        <f t="shared" si="23"/>
        <v>3.3099999999999996</v>
      </c>
      <c r="P60" t="str">
        <f t="shared" si="24"/>
        <v>Low</v>
      </c>
    </row>
    <row r="61" spans="1:16" x14ac:dyDescent="0.25">
      <c r="A61">
        <v>1500</v>
      </c>
      <c r="B61">
        <v>36.909999999999997</v>
      </c>
      <c r="C61" t="s">
        <v>14</v>
      </c>
      <c r="D61" t="s">
        <v>20</v>
      </c>
      <c r="E61" s="3">
        <v>2500</v>
      </c>
      <c r="F61">
        <v>77.7</v>
      </c>
      <c r="G61">
        <v>18.28</v>
      </c>
      <c r="H61">
        <v>9.5299999999999994</v>
      </c>
      <c r="I61">
        <v>25.82</v>
      </c>
      <c r="J61">
        <v>9</v>
      </c>
      <c r="K61" t="s">
        <v>16</v>
      </c>
      <c r="L61" t="str">
        <f t="shared" si="0"/>
        <v>VALID</v>
      </c>
      <c r="M61">
        <f t="shared" si="21"/>
        <v>1.0588888888888888</v>
      </c>
      <c r="N61" t="str">
        <f t="shared" si="22"/>
        <v>Medium</v>
      </c>
      <c r="O61">
        <f t="shared" si="23"/>
        <v>22.05</v>
      </c>
      <c r="P61" t="str">
        <f t="shared" si="24"/>
        <v>Low</v>
      </c>
    </row>
    <row r="62" spans="1:16" x14ac:dyDescent="0.25">
      <c r="A62">
        <v>600</v>
      </c>
      <c r="B62">
        <v>10.56</v>
      </c>
      <c r="C62" t="s">
        <v>19</v>
      </c>
      <c r="D62" t="s">
        <v>17</v>
      </c>
      <c r="E62" s="3">
        <v>150</v>
      </c>
      <c r="F62">
        <v>58.6</v>
      </c>
      <c r="G62">
        <v>0.2</v>
      </c>
      <c r="H62">
        <v>6.37</v>
      </c>
      <c r="I62">
        <v>60.32</v>
      </c>
      <c r="J62">
        <v>13</v>
      </c>
      <c r="K62" t="s">
        <v>16</v>
      </c>
      <c r="L62" t="str">
        <f t="shared" si="0"/>
        <v>VALID</v>
      </c>
      <c r="M62">
        <f t="shared" si="21"/>
        <v>0.49</v>
      </c>
      <c r="N62" t="str">
        <f t="shared" si="22"/>
        <v>Low</v>
      </c>
      <c r="O62">
        <f t="shared" si="23"/>
        <v>30.26</v>
      </c>
      <c r="P62" t="str">
        <f t="shared" si="24"/>
        <v>Medium</v>
      </c>
    </row>
    <row r="63" spans="1:16" x14ac:dyDescent="0.25">
      <c r="A63">
        <v>500</v>
      </c>
      <c r="B63">
        <v>24.81</v>
      </c>
      <c r="C63" t="s">
        <v>14</v>
      </c>
      <c r="D63" t="s">
        <v>12</v>
      </c>
      <c r="E63" s="3">
        <v>300</v>
      </c>
      <c r="F63">
        <v>8.8000000000000007</v>
      </c>
      <c r="G63">
        <v>5.78</v>
      </c>
      <c r="H63">
        <v>0.87</v>
      </c>
      <c r="I63">
        <v>3.51</v>
      </c>
      <c r="J63">
        <v>19</v>
      </c>
      <c r="K63" t="s">
        <v>23</v>
      </c>
      <c r="L63" t="str">
        <f t="shared" si="0"/>
        <v>VALID</v>
      </c>
      <c r="M63">
        <f t="shared" si="21"/>
        <v>4.5789473684210526E-2</v>
      </c>
      <c r="N63" t="str">
        <f t="shared" si="22"/>
        <v>Low</v>
      </c>
      <c r="O63">
        <f t="shared" si="23"/>
        <v>4.6449999999999996</v>
      </c>
      <c r="P63" t="str">
        <f t="shared" si="24"/>
        <v>Low</v>
      </c>
    </row>
    <row r="64" spans="1:16" x14ac:dyDescent="0.25">
      <c r="A64">
        <v>800</v>
      </c>
      <c r="B64">
        <v>19.87</v>
      </c>
      <c r="C64" t="s">
        <v>22</v>
      </c>
      <c r="D64" t="s">
        <v>15</v>
      </c>
      <c r="E64" s="3">
        <v>600</v>
      </c>
      <c r="F64">
        <v>20.3</v>
      </c>
      <c r="G64">
        <v>7.6</v>
      </c>
      <c r="H64">
        <v>4.6500000000000004</v>
      </c>
      <c r="I64">
        <v>23.4</v>
      </c>
      <c r="J64">
        <v>7</v>
      </c>
      <c r="K64" t="s">
        <v>13</v>
      </c>
      <c r="L64" t="str">
        <f t="shared" si="0"/>
        <v>VALID</v>
      </c>
      <c r="M64">
        <f t="shared" si="21"/>
        <v>0.66428571428571437</v>
      </c>
      <c r="N64" t="str">
        <f t="shared" si="22"/>
        <v>Low</v>
      </c>
      <c r="O64">
        <f t="shared" si="23"/>
        <v>15.5</v>
      </c>
      <c r="P64" t="str">
        <f t="shared" si="24"/>
        <v>Low</v>
      </c>
    </row>
    <row r="65" spans="1:16" x14ac:dyDescent="0.25">
      <c r="A65">
        <v>1000</v>
      </c>
      <c r="B65">
        <v>31.7</v>
      </c>
      <c r="C65" t="s">
        <v>11</v>
      </c>
      <c r="D65" t="s">
        <v>17</v>
      </c>
      <c r="E65" s="3">
        <v>600</v>
      </c>
      <c r="F65">
        <v>38.799999999999997</v>
      </c>
      <c r="G65">
        <v>0.09</v>
      </c>
      <c r="H65">
        <v>4.0999999999999996</v>
      </c>
      <c r="I65">
        <v>12.93</v>
      </c>
      <c r="J65">
        <v>11</v>
      </c>
      <c r="K65" t="s">
        <v>13</v>
      </c>
      <c r="L65" t="str">
        <f t="shared" si="0"/>
        <v>VALID</v>
      </c>
      <c r="M65">
        <f t="shared" si="21"/>
        <v>0.37272727272727268</v>
      </c>
      <c r="N65" t="str">
        <f t="shared" si="22"/>
        <v>Low</v>
      </c>
      <c r="O65">
        <f t="shared" si="23"/>
        <v>6.51</v>
      </c>
      <c r="P65" t="str">
        <f t="shared" si="24"/>
        <v>Low</v>
      </c>
    </row>
    <row r="66" spans="1:16" x14ac:dyDescent="0.25">
      <c r="A66">
        <v>300</v>
      </c>
      <c r="B66">
        <v>14.23</v>
      </c>
      <c r="C66" t="s">
        <v>19</v>
      </c>
      <c r="D66" t="s">
        <v>15</v>
      </c>
      <c r="E66" s="3">
        <v>900</v>
      </c>
      <c r="F66">
        <v>77.8</v>
      </c>
      <c r="G66">
        <v>16.27</v>
      </c>
      <c r="H66">
        <v>1.51</v>
      </c>
      <c r="I66">
        <v>10.61</v>
      </c>
      <c r="J66">
        <v>14</v>
      </c>
      <c r="K66" t="s">
        <v>23</v>
      </c>
      <c r="L66" t="str">
        <f t="shared" si="0"/>
        <v>VALID</v>
      </c>
      <c r="M66">
        <f t="shared" si="21"/>
        <v>0.10785714285714286</v>
      </c>
      <c r="N66" t="str">
        <f t="shared" si="22"/>
        <v>Low</v>
      </c>
      <c r="O66">
        <f t="shared" si="23"/>
        <v>13.44</v>
      </c>
      <c r="P66" t="str">
        <f t="shared" si="24"/>
        <v>Low</v>
      </c>
    </row>
    <row r="67" spans="1:16" x14ac:dyDescent="0.25">
      <c r="A67">
        <v>600</v>
      </c>
      <c r="B67">
        <v>28.35</v>
      </c>
      <c r="C67" t="s">
        <v>22</v>
      </c>
      <c r="D67" t="s">
        <v>15</v>
      </c>
      <c r="E67" s="3">
        <v>150</v>
      </c>
      <c r="F67">
        <v>37.4</v>
      </c>
      <c r="G67">
        <v>14.36</v>
      </c>
      <c r="H67">
        <v>9.06</v>
      </c>
      <c r="I67">
        <v>31.96</v>
      </c>
      <c r="J67">
        <v>2</v>
      </c>
      <c r="K67" t="s">
        <v>16</v>
      </c>
      <c r="L67" t="str">
        <f t="shared" ref="L67:L130" si="25">IF(H67&gt;B67,"INVALID","VALID")</f>
        <v>VALID</v>
      </c>
      <c r="M67">
        <f t="shared" si="21"/>
        <v>4.53</v>
      </c>
      <c r="N67" t="str">
        <f t="shared" si="22"/>
        <v>Low</v>
      </c>
      <c r="O67">
        <f t="shared" si="23"/>
        <v>23.16</v>
      </c>
      <c r="P67" t="str">
        <f t="shared" si="24"/>
        <v>Low</v>
      </c>
    </row>
    <row r="68" spans="1:16" x14ac:dyDescent="0.25">
      <c r="A68">
        <v>1000</v>
      </c>
      <c r="B68">
        <v>33.18</v>
      </c>
      <c r="C68" t="s">
        <v>14</v>
      </c>
      <c r="D68" t="s">
        <v>17</v>
      </c>
      <c r="E68" s="3">
        <v>2500</v>
      </c>
      <c r="F68">
        <v>51.3</v>
      </c>
      <c r="G68">
        <v>9.27</v>
      </c>
      <c r="H68">
        <v>3.64</v>
      </c>
      <c r="I68">
        <v>10.97</v>
      </c>
      <c r="J68">
        <v>25</v>
      </c>
      <c r="K68" t="s">
        <v>13</v>
      </c>
      <c r="L68" t="str">
        <f t="shared" si="25"/>
        <v>VALID</v>
      </c>
      <c r="M68">
        <f t="shared" si="21"/>
        <v>0.14560000000000001</v>
      </c>
      <c r="N68" t="str">
        <f t="shared" si="22"/>
        <v>Medium</v>
      </c>
      <c r="O68">
        <f t="shared" si="23"/>
        <v>10.120000000000001</v>
      </c>
      <c r="P68" t="str">
        <f t="shared" si="24"/>
        <v>Low</v>
      </c>
    </row>
    <row r="69" spans="1:16" x14ac:dyDescent="0.25">
      <c r="A69">
        <v>400</v>
      </c>
      <c r="B69">
        <v>13.52</v>
      </c>
      <c r="C69" t="s">
        <v>19</v>
      </c>
      <c r="D69" t="s">
        <v>20</v>
      </c>
      <c r="E69" s="3">
        <v>900</v>
      </c>
      <c r="F69">
        <v>87.1</v>
      </c>
      <c r="G69">
        <v>4.63</v>
      </c>
      <c r="H69">
        <v>0.36</v>
      </c>
      <c r="I69">
        <v>2.66</v>
      </c>
      <c r="J69">
        <v>5</v>
      </c>
      <c r="K69" t="s">
        <v>23</v>
      </c>
      <c r="L69" t="str">
        <f t="shared" si="25"/>
        <v>VALID</v>
      </c>
      <c r="M69">
        <f t="shared" si="21"/>
        <v>7.1999999999999995E-2</v>
      </c>
      <c r="N69" t="str">
        <f t="shared" si="22"/>
        <v>Low</v>
      </c>
      <c r="O69">
        <f t="shared" si="23"/>
        <v>3.645</v>
      </c>
      <c r="P69" t="str">
        <f t="shared" si="24"/>
        <v>Low</v>
      </c>
    </row>
    <row r="70" spans="1:16" x14ac:dyDescent="0.25">
      <c r="A70">
        <v>300</v>
      </c>
      <c r="B70">
        <v>17.13</v>
      </c>
      <c r="C70" t="s">
        <v>14</v>
      </c>
      <c r="D70" t="s">
        <v>20</v>
      </c>
      <c r="E70" s="3">
        <v>150</v>
      </c>
      <c r="F70">
        <v>77.400000000000006</v>
      </c>
      <c r="G70">
        <v>5.6</v>
      </c>
      <c r="H70">
        <v>6.28</v>
      </c>
      <c r="I70">
        <v>36.659999999999997</v>
      </c>
      <c r="J70">
        <v>9</v>
      </c>
      <c r="K70" t="s">
        <v>16</v>
      </c>
      <c r="L70" t="str">
        <f t="shared" si="25"/>
        <v>VALID</v>
      </c>
      <c r="M70">
        <f t="shared" si="21"/>
        <v>0.69777777777777783</v>
      </c>
      <c r="N70" t="str">
        <f t="shared" si="22"/>
        <v>Low</v>
      </c>
      <c r="O70">
        <f t="shared" si="23"/>
        <v>21.13</v>
      </c>
      <c r="P70" t="str">
        <f t="shared" si="24"/>
        <v>Low</v>
      </c>
    </row>
    <row r="71" spans="1:16" hidden="1" x14ac:dyDescent="0.25">
      <c r="A71">
        <v>100</v>
      </c>
      <c r="B71">
        <v>4.43</v>
      </c>
      <c r="C71" t="s">
        <v>21</v>
      </c>
      <c r="D71" t="s">
        <v>18</v>
      </c>
      <c r="E71">
        <v>150</v>
      </c>
      <c r="F71">
        <v>-38.9</v>
      </c>
      <c r="G71">
        <v>17.62</v>
      </c>
      <c r="H71">
        <v>5.55</v>
      </c>
      <c r="I71">
        <v>125.28</v>
      </c>
      <c r="J71">
        <v>5</v>
      </c>
      <c r="K71" t="s">
        <v>16</v>
      </c>
      <c r="L71" t="str">
        <f t="shared" si="25"/>
        <v>INVALID</v>
      </c>
      <c r="M71">
        <f t="shared" si="21"/>
        <v>1.1099999999999999</v>
      </c>
    </row>
    <row r="72" spans="1:16" x14ac:dyDescent="0.25">
      <c r="A72">
        <v>500</v>
      </c>
      <c r="B72">
        <v>22</v>
      </c>
      <c r="C72" t="s">
        <v>21</v>
      </c>
      <c r="D72" t="s">
        <v>20</v>
      </c>
      <c r="E72" s="3">
        <v>900</v>
      </c>
      <c r="F72">
        <v>28.7</v>
      </c>
      <c r="G72">
        <v>10.3</v>
      </c>
      <c r="H72">
        <v>0.18</v>
      </c>
      <c r="I72">
        <v>0.82</v>
      </c>
      <c r="J72">
        <v>16</v>
      </c>
      <c r="K72" t="s">
        <v>23</v>
      </c>
      <c r="L72" t="str">
        <f t="shared" si="25"/>
        <v>VALID</v>
      </c>
      <c r="M72">
        <f>IF(J72&gt;0,H72/J72," ")</f>
        <v>1.125E-2</v>
      </c>
      <c r="N72" t="str">
        <f>IF(ISNUMBER(E72),IF(E72&lt;1000,"Low",IF(E72&lt;3000,"Medium","High")),"Unknown")</f>
        <v>Low</v>
      </c>
      <c r="O72">
        <f>(G72+I72)/2</f>
        <v>5.5600000000000005</v>
      </c>
      <c r="P72" t="str">
        <f>IF(O72&lt;30,"Low",IF(O72&lt;60,"Medium","High"))</f>
        <v>Low</v>
      </c>
    </row>
    <row r="73" spans="1:16" hidden="1" x14ac:dyDescent="0.25">
      <c r="A73">
        <v>50</v>
      </c>
      <c r="B73">
        <v>4.71</v>
      </c>
      <c r="C73" t="s">
        <v>21</v>
      </c>
      <c r="D73" t="s">
        <v>15</v>
      </c>
      <c r="E73">
        <v>300</v>
      </c>
      <c r="F73">
        <v>29.2</v>
      </c>
      <c r="G73">
        <v>2.9</v>
      </c>
      <c r="H73">
        <v>9.9700000000000006</v>
      </c>
      <c r="I73">
        <v>211.68</v>
      </c>
      <c r="J73">
        <v>13</v>
      </c>
      <c r="K73" t="s">
        <v>16</v>
      </c>
      <c r="L73" t="str">
        <f t="shared" si="25"/>
        <v>INVALID</v>
      </c>
      <c r="M73">
        <f>IF(J73&gt;0,H73/J73," ")</f>
        <v>0.76692307692307693</v>
      </c>
    </row>
    <row r="74" spans="1:16" x14ac:dyDescent="0.25">
      <c r="A74">
        <v>50</v>
      </c>
      <c r="B74">
        <v>5.89</v>
      </c>
      <c r="C74" t="s">
        <v>11</v>
      </c>
      <c r="D74" t="s">
        <v>12</v>
      </c>
      <c r="E74" s="3">
        <v>1500</v>
      </c>
      <c r="F74">
        <v>-12.3</v>
      </c>
      <c r="G74">
        <v>12.98</v>
      </c>
      <c r="H74">
        <v>4.68</v>
      </c>
      <c r="I74">
        <v>79.459999999999994</v>
      </c>
      <c r="J74">
        <v>21</v>
      </c>
      <c r="K74" t="s">
        <v>13</v>
      </c>
      <c r="L74" t="str">
        <f t="shared" si="25"/>
        <v>VALID</v>
      </c>
      <c r="M74">
        <f t="shared" ref="M74:M81" si="26">IF(J74&gt;0,H74/J74," ")</f>
        <v>0.22285714285714284</v>
      </c>
      <c r="N74" t="str">
        <f t="shared" ref="N74:N81" si="27">IF(ISNUMBER(E74),IF(E74&lt;1000,"Low",IF(E74&lt;3000,"Medium","High")),"Unknown")</f>
        <v>Medium</v>
      </c>
      <c r="O74">
        <f t="shared" ref="O74:O81" si="28">(G74+I74)/2</f>
        <v>46.22</v>
      </c>
      <c r="P74" t="str">
        <f t="shared" ref="P74:P81" si="29">IF(O74&lt;30,"Low",IF(O74&lt;60,"Medium","High"))</f>
        <v>Medium</v>
      </c>
    </row>
    <row r="75" spans="1:16" x14ac:dyDescent="0.25">
      <c r="A75">
        <v>150</v>
      </c>
      <c r="B75">
        <v>6.26</v>
      </c>
      <c r="C75" t="s">
        <v>14</v>
      </c>
      <c r="D75" t="s">
        <v>12</v>
      </c>
      <c r="E75" s="3">
        <v>150</v>
      </c>
      <c r="F75">
        <v>61.2</v>
      </c>
      <c r="G75">
        <v>4.6500000000000004</v>
      </c>
      <c r="H75">
        <v>5.72</v>
      </c>
      <c r="I75">
        <v>91.37</v>
      </c>
      <c r="J75">
        <v>23</v>
      </c>
      <c r="K75" t="s">
        <v>16</v>
      </c>
      <c r="L75" t="str">
        <f t="shared" si="25"/>
        <v>VALID</v>
      </c>
      <c r="M75">
        <f t="shared" si="26"/>
        <v>0.24869565217391304</v>
      </c>
      <c r="N75" t="str">
        <f t="shared" si="27"/>
        <v>Low</v>
      </c>
      <c r="O75">
        <f t="shared" si="28"/>
        <v>48.010000000000005</v>
      </c>
      <c r="P75" t="str">
        <f t="shared" si="29"/>
        <v>Medium</v>
      </c>
    </row>
    <row r="76" spans="1:16" x14ac:dyDescent="0.25">
      <c r="A76">
        <v>300</v>
      </c>
      <c r="B76">
        <v>8.07</v>
      </c>
      <c r="C76" t="s">
        <v>21</v>
      </c>
      <c r="D76" t="s">
        <v>17</v>
      </c>
      <c r="E76" s="3">
        <v>600</v>
      </c>
      <c r="F76">
        <v>-19</v>
      </c>
      <c r="G76">
        <v>4.41</v>
      </c>
      <c r="H76">
        <v>3.18</v>
      </c>
      <c r="I76">
        <v>39.409999999999997</v>
      </c>
      <c r="J76">
        <v>6</v>
      </c>
      <c r="K76" t="s">
        <v>13</v>
      </c>
      <c r="L76" t="str">
        <f t="shared" si="25"/>
        <v>VALID</v>
      </c>
      <c r="M76">
        <f t="shared" si="26"/>
        <v>0.53</v>
      </c>
      <c r="N76" t="str">
        <f t="shared" si="27"/>
        <v>Low</v>
      </c>
      <c r="O76">
        <f t="shared" si="28"/>
        <v>21.909999999999997</v>
      </c>
      <c r="P76" t="str">
        <f t="shared" si="29"/>
        <v>Low</v>
      </c>
    </row>
    <row r="77" spans="1:16" x14ac:dyDescent="0.25">
      <c r="A77">
        <v>300</v>
      </c>
      <c r="B77">
        <v>16.309999999999999</v>
      </c>
      <c r="C77" t="s">
        <v>11</v>
      </c>
      <c r="D77" t="s">
        <v>12</v>
      </c>
      <c r="E77" s="3">
        <v>2500</v>
      </c>
      <c r="F77">
        <v>-37.4</v>
      </c>
      <c r="G77">
        <v>4.32</v>
      </c>
      <c r="H77">
        <v>5.54</v>
      </c>
      <c r="I77">
        <v>33.97</v>
      </c>
      <c r="J77">
        <v>25</v>
      </c>
      <c r="K77" t="s">
        <v>16</v>
      </c>
      <c r="L77" t="str">
        <f t="shared" si="25"/>
        <v>VALID</v>
      </c>
      <c r="M77">
        <f t="shared" si="26"/>
        <v>0.22159999999999999</v>
      </c>
      <c r="N77" t="str">
        <f t="shared" si="27"/>
        <v>Medium</v>
      </c>
      <c r="O77">
        <f t="shared" si="28"/>
        <v>19.145</v>
      </c>
      <c r="P77" t="str">
        <f t="shared" si="29"/>
        <v>Low</v>
      </c>
    </row>
    <row r="78" spans="1:16" x14ac:dyDescent="0.25">
      <c r="A78">
        <v>300</v>
      </c>
      <c r="B78">
        <v>14.96</v>
      </c>
      <c r="C78" t="s">
        <v>11</v>
      </c>
      <c r="D78" t="s">
        <v>17</v>
      </c>
      <c r="E78" s="3">
        <v>2500</v>
      </c>
      <c r="F78">
        <v>27.6</v>
      </c>
      <c r="G78">
        <v>14.19</v>
      </c>
      <c r="H78">
        <v>0.63</v>
      </c>
      <c r="I78">
        <v>4.21</v>
      </c>
      <c r="J78">
        <v>2</v>
      </c>
      <c r="K78" t="s">
        <v>23</v>
      </c>
      <c r="L78" t="str">
        <f t="shared" si="25"/>
        <v>VALID</v>
      </c>
      <c r="M78">
        <f t="shared" si="26"/>
        <v>0.315</v>
      </c>
      <c r="N78" t="str">
        <f t="shared" si="27"/>
        <v>Medium</v>
      </c>
      <c r="O78">
        <f t="shared" si="28"/>
        <v>9.1999999999999993</v>
      </c>
      <c r="P78" t="str">
        <f t="shared" si="29"/>
        <v>Low</v>
      </c>
    </row>
    <row r="79" spans="1:16" x14ac:dyDescent="0.25">
      <c r="A79">
        <v>300</v>
      </c>
      <c r="B79">
        <v>9.27</v>
      </c>
      <c r="C79" t="s">
        <v>19</v>
      </c>
      <c r="D79" t="s">
        <v>12</v>
      </c>
      <c r="E79" s="3">
        <v>1500</v>
      </c>
      <c r="F79">
        <v>30.6</v>
      </c>
      <c r="G79">
        <v>16.91</v>
      </c>
      <c r="H79">
        <v>0.33</v>
      </c>
      <c r="I79">
        <v>3.56</v>
      </c>
      <c r="J79">
        <v>12</v>
      </c>
      <c r="K79" t="s">
        <v>23</v>
      </c>
      <c r="L79" t="str">
        <f t="shared" si="25"/>
        <v>VALID</v>
      </c>
      <c r="M79">
        <f t="shared" si="26"/>
        <v>2.75E-2</v>
      </c>
      <c r="N79" t="str">
        <f t="shared" si="27"/>
        <v>Medium</v>
      </c>
      <c r="O79">
        <f t="shared" si="28"/>
        <v>10.234999999999999</v>
      </c>
      <c r="P79" t="str">
        <f t="shared" si="29"/>
        <v>Low</v>
      </c>
    </row>
    <row r="80" spans="1:16" x14ac:dyDescent="0.25">
      <c r="A80">
        <v>500</v>
      </c>
      <c r="B80">
        <v>14.33</v>
      </c>
      <c r="C80" t="s">
        <v>19</v>
      </c>
      <c r="D80" t="s">
        <v>12</v>
      </c>
      <c r="E80" s="3">
        <v>300</v>
      </c>
      <c r="F80">
        <v>39.9</v>
      </c>
      <c r="G80">
        <v>10.63</v>
      </c>
      <c r="H80">
        <v>0.23</v>
      </c>
      <c r="I80">
        <v>1.61</v>
      </c>
      <c r="J80">
        <v>9</v>
      </c>
      <c r="K80" t="s">
        <v>23</v>
      </c>
      <c r="L80" t="str">
        <f t="shared" si="25"/>
        <v>VALID</v>
      </c>
      <c r="M80">
        <f t="shared" si="26"/>
        <v>2.5555555555555557E-2</v>
      </c>
      <c r="N80" t="str">
        <f t="shared" si="27"/>
        <v>Low</v>
      </c>
      <c r="O80">
        <f t="shared" si="28"/>
        <v>6.12</v>
      </c>
      <c r="P80" t="str">
        <f t="shared" si="29"/>
        <v>Low</v>
      </c>
    </row>
    <row r="81" spans="1:16" x14ac:dyDescent="0.25">
      <c r="A81">
        <v>250</v>
      </c>
      <c r="B81">
        <v>6.79</v>
      </c>
      <c r="C81" t="s">
        <v>22</v>
      </c>
      <c r="D81" t="s">
        <v>15</v>
      </c>
      <c r="E81" s="3">
        <v>1500</v>
      </c>
      <c r="F81">
        <v>79.5</v>
      </c>
      <c r="G81">
        <v>3.85</v>
      </c>
      <c r="H81">
        <v>3.79</v>
      </c>
      <c r="I81">
        <v>55.82</v>
      </c>
      <c r="J81">
        <v>22</v>
      </c>
      <c r="K81" t="s">
        <v>13</v>
      </c>
      <c r="L81" t="str">
        <f t="shared" si="25"/>
        <v>VALID</v>
      </c>
      <c r="M81">
        <f t="shared" si="26"/>
        <v>0.17227272727272727</v>
      </c>
      <c r="N81" t="str">
        <f t="shared" si="27"/>
        <v>Medium</v>
      </c>
      <c r="O81">
        <f t="shared" si="28"/>
        <v>29.835000000000001</v>
      </c>
      <c r="P81" t="str">
        <f t="shared" si="29"/>
        <v>Low</v>
      </c>
    </row>
    <row r="82" spans="1:16" hidden="1" x14ac:dyDescent="0.25">
      <c r="A82">
        <v>50</v>
      </c>
      <c r="B82">
        <v>4.96</v>
      </c>
      <c r="C82" t="s">
        <v>19</v>
      </c>
      <c r="D82" t="s">
        <v>18</v>
      </c>
      <c r="E82">
        <v>2500</v>
      </c>
      <c r="F82">
        <v>35.6</v>
      </c>
      <c r="G82">
        <v>13.87</v>
      </c>
      <c r="H82">
        <v>7.04</v>
      </c>
      <c r="I82">
        <v>141.94</v>
      </c>
      <c r="J82">
        <v>2</v>
      </c>
      <c r="K82" t="s">
        <v>16</v>
      </c>
      <c r="L82" t="str">
        <f t="shared" si="25"/>
        <v>INVALID</v>
      </c>
    </row>
    <row r="83" spans="1:16" x14ac:dyDescent="0.25">
      <c r="A83">
        <v>250</v>
      </c>
      <c r="B83">
        <v>12.43</v>
      </c>
      <c r="C83" t="s">
        <v>21</v>
      </c>
      <c r="D83" t="s">
        <v>12</v>
      </c>
      <c r="E83" s="3">
        <v>1500</v>
      </c>
      <c r="F83">
        <v>-31.1</v>
      </c>
      <c r="G83">
        <v>4.2300000000000004</v>
      </c>
      <c r="H83">
        <v>2.92</v>
      </c>
      <c r="I83">
        <v>23.49</v>
      </c>
      <c r="J83">
        <v>14</v>
      </c>
      <c r="K83" t="s">
        <v>13</v>
      </c>
      <c r="L83" t="str">
        <f t="shared" si="25"/>
        <v>VALID</v>
      </c>
      <c r="M83">
        <f t="shared" ref="M83:M95" si="30">IF(J83&gt;0,H83/J83," ")</f>
        <v>0.20857142857142857</v>
      </c>
      <c r="N83" t="str">
        <f t="shared" ref="N83:N95" si="31">IF(ISNUMBER(E83),IF(E83&lt;1000,"Low",IF(E83&lt;3000,"Medium","High")),"Unknown")</f>
        <v>Medium</v>
      </c>
      <c r="O83">
        <f t="shared" ref="O83:O95" si="32">(G83+I83)/2</f>
        <v>13.86</v>
      </c>
      <c r="P83" t="str">
        <f t="shared" ref="P83:P95" si="33">IF(O83&lt;30,"Low",IF(O83&lt;60,"Medium","High"))</f>
        <v>Low</v>
      </c>
    </row>
    <row r="84" spans="1:16" x14ac:dyDescent="0.25">
      <c r="A84">
        <v>500</v>
      </c>
      <c r="B84">
        <v>13.73</v>
      </c>
      <c r="C84" t="s">
        <v>21</v>
      </c>
      <c r="D84" t="s">
        <v>15</v>
      </c>
      <c r="E84" s="3">
        <v>2500</v>
      </c>
      <c r="F84">
        <v>72.900000000000006</v>
      </c>
      <c r="G84">
        <v>13.47</v>
      </c>
      <c r="H84">
        <v>8.6</v>
      </c>
      <c r="I84">
        <v>62.64</v>
      </c>
      <c r="J84">
        <v>9</v>
      </c>
      <c r="K84" t="s">
        <v>16</v>
      </c>
      <c r="L84" t="str">
        <f t="shared" si="25"/>
        <v>VALID</v>
      </c>
      <c r="M84">
        <f t="shared" si="30"/>
        <v>0.95555555555555549</v>
      </c>
      <c r="N84" t="str">
        <f t="shared" si="31"/>
        <v>Medium</v>
      </c>
      <c r="O84">
        <f t="shared" si="32"/>
        <v>38.055</v>
      </c>
      <c r="P84" t="str">
        <f t="shared" si="33"/>
        <v>Medium</v>
      </c>
    </row>
    <row r="85" spans="1:16" x14ac:dyDescent="0.25">
      <c r="A85">
        <v>100</v>
      </c>
      <c r="B85">
        <v>4.03</v>
      </c>
      <c r="C85" t="s">
        <v>14</v>
      </c>
      <c r="D85" t="s">
        <v>15</v>
      </c>
      <c r="E85" s="3">
        <v>2500</v>
      </c>
      <c r="F85">
        <v>70</v>
      </c>
      <c r="G85">
        <v>3.71</v>
      </c>
      <c r="H85">
        <v>0.59</v>
      </c>
      <c r="I85">
        <v>14.64</v>
      </c>
      <c r="J85">
        <v>8</v>
      </c>
      <c r="K85" t="s">
        <v>23</v>
      </c>
      <c r="L85" t="str">
        <f t="shared" si="25"/>
        <v>VALID</v>
      </c>
      <c r="M85">
        <f t="shared" si="30"/>
        <v>7.3749999999999996E-2</v>
      </c>
      <c r="N85" t="str">
        <f t="shared" si="31"/>
        <v>Medium</v>
      </c>
      <c r="O85">
        <f t="shared" si="32"/>
        <v>9.1750000000000007</v>
      </c>
      <c r="P85" t="str">
        <f t="shared" si="33"/>
        <v>Low</v>
      </c>
    </row>
    <row r="86" spans="1:16" x14ac:dyDescent="0.25">
      <c r="A86">
        <v>500</v>
      </c>
      <c r="B86">
        <v>24.1</v>
      </c>
      <c r="C86" t="s">
        <v>21</v>
      </c>
      <c r="D86" t="s">
        <v>12</v>
      </c>
      <c r="E86" s="3">
        <v>900</v>
      </c>
      <c r="F86">
        <v>2.1</v>
      </c>
      <c r="G86">
        <v>18.059999999999999</v>
      </c>
      <c r="H86">
        <v>0.47</v>
      </c>
      <c r="I86">
        <v>1.95</v>
      </c>
      <c r="J86">
        <v>22</v>
      </c>
      <c r="K86" t="s">
        <v>23</v>
      </c>
      <c r="L86" t="str">
        <f t="shared" si="25"/>
        <v>VALID</v>
      </c>
      <c r="M86">
        <f t="shared" si="30"/>
        <v>2.1363636363636362E-2</v>
      </c>
      <c r="N86" t="str">
        <f t="shared" si="31"/>
        <v>Low</v>
      </c>
      <c r="O86">
        <f t="shared" si="32"/>
        <v>10.004999999999999</v>
      </c>
      <c r="P86" t="str">
        <f t="shared" si="33"/>
        <v>Low</v>
      </c>
    </row>
    <row r="87" spans="1:16" x14ac:dyDescent="0.25">
      <c r="A87">
        <v>100</v>
      </c>
      <c r="B87">
        <v>7.55</v>
      </c>
      <c r="C87" t="s">
        <v>21</v>
      </c>
      <c r="D87" t="s">
        <v>15</v>
      </c>
      <c r="E87" s="3">
        <v>1500</v>
      </c>
      <c r="F87">
        <v>109.9</v>
      </c>
      <c r="G87">
        <v>7.63</v>
      </c>
      <c r="H87">
        <v>7.12</v>
      </c>
      <c r="I87">
        <v>94.3</v>
      </c>
      <c r="J87">
        <v>10</v>
      </c>
      <c r="K87" t="s">
        <v>16</v>
      </c>
      <c r="L87" t="str">
        <f t="shared" si="25"/>
        <v>VALID</v>
      </c>
      <c r="M87">
        <f t="shared" si="30"/>
        <v>0.71199999999999997</v>
      </c>
      <c r="N87" t="str">
        <f t="shared" si="31"/>
        <v>Medium</v>
      </c>
      <c r="O87">
        <f t="shared" si="32"/>
        <v>50.964999999999996</v>
      </c>
      <c r="P87" t="str">
        <f t="shared" si="33"/>
        <v>Medium</v>
      </c>
    </row>
    <row r="88" spans="1:16" x14ac:dyDescent="0.25">
      <c r="A88">
        <v>1200</v>
      </c>
      <c r="B88">
        <v>31.11</v>
      </c>
      <c r="C88" t="s">
        <v>11</v>
      </c>
      <c r="D88" t="s">
        <v>12</v>
      </c>
      <c r="E88" s="3">
        <v>2500</v>
      </c>
      <c r="F88">
        <v>22.7</v>
      </c>
      <c r="G88">
        <v>15.45</v>
      </c>
      <c r="H88">
        <v>8.01</v>
      </c>
      <c r="I88">
        <v>25.75</v>
      </c>
      <c r="J88">
        <v>10</v>
      </c>
      <c r="K88" t="s">
        <v>16</v>
      </c>
      <c r="L88" t="str">
        <f t="shared" si="25"/>
        <v>VALID</v>
      </c>
      <c r="M88">
        <f t="shared" si="30"/>
        <v>0.80099999999999993</v>
      </c>
      <c r="N88" t="str">
        <f t="shared" si="31"/>
        <v>Medium</v>
      </c>
      <c r="O88">
        <f t="shared" si="32"/>
        <v>20.6</v>
      </c>
      <c r="P88" t="str">
        <f t="shared" si="33"/>
        <v>Low</v>
      </c>
    </row>
    <row r="89" spans="1:16" x14ac:dyDescent="0.25">
      <c r="A89">
        <v>400</v>
      </c>
      <c r="B89">
        <v>14.91</v>
      </c>
      <c r="C89" t="s">
        <v>22</v>
      </c>
      <c r="D89" t="s">
        <v>18</v>
      </c>
      <c r="E89" s="3">
        <v>2500</v>
      </c>
      <c r="F89">
        <v>0.1</v>
      </c>
      <c r="G89">
        <v>10.44</v>
      </c>
      <c r="H89">
        <v>8.8000000000000007</v>
      </c>
      <c r="I89">
        <v>59.02</v>
      </c>
      <c r="J89">
        <v>22</v>
      </c>
      <c r="K89" t="s">
        <v>16</v>
      </c>
      <c r="L89" t="str">
        <f t="shared" si="25"/>
        <v>VALID</v>
      </c>
      <c r="M89">
        <f t="shared" si="30"/>
        <v>0.4</v>
      </c>
      <c r="N89" t="str">
        <f t="shared" si="31"/>
        <v>Medium</v>
      </c>
      <c r="O89">
        <f t="shared" si="32"/>
        <v>34.730000000000004</v>
      </c>
      <c r="P89" t="str">
        <f t="shared" si="33"/>
        <v>Medium</v>
      </c>
    </row>
    <row r="90" spans="1:16" x14ac:dyDescent="0.25">
      <c r="A90">
        <v>1200</v>
      </c>
      <c r="B90">
        <v>27.92</v>
      </c>
      <c r="C90" t="s">
        <v>19</v>
      </c>
      <c r="D90" t="s">
        <v>12</v>
      </c>
      <c r="E90" s="3">
        <v>1500</v>
      </c>
      <c r="F90">
        <v>60.3</v>
      </c>
      <c r="G90">
        <v>10</v>
      </c>
      <c r="H90">
        <v>8.0399999999999991</v>
      </c>
      <c r="I90">
        <v>28.8</v>
      </c>
      <c r="J90">
        <v>7</v>
      </c>
      <c r="K90" t="s">
        <v>16</v>
      </c>
      <c r="L90" t="str">
        <f t="shared" si="25"/>
        <v>VALID</v>
      </c>
      <c r="M90">
        <f t="shared" si="30"/>
        <v>1.1485714285714284</v>
      </c>
      <c r="N90" t="str">
        <f t="shared" si="31"/>
        <v>Medium</v>
      </c>
      <c r="O90">
        <f t="shared" si="32"/>
        <v>19.399999999999999</v>
      </c>
      <c r="P90" t="str">
        <f t="shared" si="33"/>
        <v>Low</v>
      </c>
    </row>
    <row r="91" spans="1:16" x14ac:dyDescent="0.25">
      <c r="A91">
        <v>1000</v>
      </c>
      <c r="B91">
        <v>20.11</v>
      </c>
      <c r="C91" t="s">
        <v>11</v>
      </c>
      <c r="D91" t="s">
        <v>12</v>
      </c>
      <c r="E91" s="3">
        <v>900</v>
      </c>
      <c r="F91">
        <v>53.7</v>
      </c>
      <c r="G91">
        <v>10.5</v>
      </c>
      <c r="H91">
        <v>3.18</v>
      </c>
      <c r="I91">
        <v>15.81</v>
      </c>
      <c r="J91">
        <v>13</v>
      </c>
      <c r="K91" t="s">
        <v>13</v>
      </c>
      <c r="L91" t="str">
        <f t="shared" si="25"/>
        <v>VALID</v>
      </c>
      <c r="M91">
        <f t="shared" si="30"/>
        <v>0.24461538461538462</v>
      </c>
      <c r="N91" t="str">
        <f t="shared" si="31"/>
        <v>Low</v>
      </c>
      <c r="O91">
        <f t="shared" si="32"/>
        <v>13.155000000000001</v>
      </c>
      <c r="P91" t="str">
        <f t="shared" si="33"/>
        <v>Low</v>
      </c>
    </row>
    <row r="92" spans="1:16" x14ac:dyDescent="0.25">
      <c r="A92">
        <v>200</v>
      </c>
      <c r="B92">
        <v>6.69</v>
      </c>
      <c r="C92" t="s">
        <v>11</v>
      </c>
      <c r="D92" t="s">
        <v>18</v>
      </c>
      <c r="E92" s="3">
        <v>2500</v>
      </c>
      <c r="F92">
        <v>129.80000000000001</v>
      </c>
      <c r="G92">
        <v>9.16</v>
      </c>
      <c r="H92">
        <v>6.56</v>
      </c>
      <c r="I92">
        <v>98.06</v>
      </c>
      <c r="J92">
        <v>7</v>
      </c>
      <c r="K92" t="s">
        <v>16</v>
      </c>
      <c r="L92" t="str">
        <f t="shared" si="25"/>
        <v>VALID</v>
      </c>
      <c r="M92">
        <f t="shared" si="30"/>
        <v>0.93714285714285706</v>
      </c>
      <c r="N92" t="str">
        <f t="shared" si="31"/>
        <v>Medium</v>
      </c>
      <c r="O92">
        <f t="shared" si="32"/>
        <v>53.61</v>
      </c>
      <c r="P92" t="str">
        <f t="shared" si="33"/>
        <v>Medium</v>
      </c>
    </row>
    <row r="93" spans="1:16" x14ac:dyDescent="0.25">
      <c r="A93">
        <v>300</v>
      </c>
      <c r="B93">
        <v>11.47</v>
      </c>
      <c r="C93" t="s">
        <v>21</v>
      </c>
      <c r="D93" t="s">
        <v>12</v>
      </c>
      <c r="E93" s="3">
        <v>900</v>
      </c>
      <c r="F93">
        <v>137.9</v>
      </c>
      <c r="G93">
        <v>6.96</v>
      </c>
      <c r="H93">
        <v>5.22</v>
      </c>
      <c r="I93">
        <v>45.51</v>
      </c>
      <c r="J93">
        <v>14</v>
      </c>
      <c r="K93" t="s">
        <v>16</v>
      </c>
      <c r="L93" t="str">
        <f t="shared" si="25"/>
        <v>VALID</v>
      </c>
      <c r="M93">
        <f t="shared" si="30"/>
        <v>0.37285714285714283</v>
      </c>
      <c r="N93" t="str">
        <f t="shared" si="31"/>
        <v>Low</v>
      </c>
      <c r="O93">
        <f t="shared" si="32"/>
        <v>26.234999999999999</v>
      </c>
      <c r="P93" t="str">
        <f t="shared" si="33"/>
        <v>Low</v>
      </c>
    </row>
    <row r="94" spans="1:16" x14ac:dyDescent="0.25">
      <c r="A94">
        <v>1500</v>
      </c>
      <c r="B94">
        <v>28.64</v>
      </c>
      <c r="C94" t="s">
        <v>22</v>
      </c>
      <c r="D94" t="s">
        <v>17</v>
      </c>
      <c r="E94" s="3">
        <v>2500</v>
      </c>
      <c r="F94">
        <v>-24.8</v>
      </c>
      <c r="G94">
        <v>2.35</v>
      </c>
      <c r="H94">
        <v>2.39</v>
      </c>
      <c r="I94">
        <v>8.34</v>
      </c>
      <c r="J94">
        <v>10</v>
      </c>
      <c r="K94" t="s">
        <v>13</v>
      </c>
      <c r="L94" t="str">
        <f t="shared" si="25"/>
        <v>VALID</v>
      </c>
      <c r="M94">
        <f t="shared" si="30"/>
        <v>0.23900000000000002</v>
      </c>
      <c r="N94" t="str">
        <f t="shared" si="31"/>
        <v>Medium</v>
      </c>
      <c r="O94">
        <f t="shared" si="32"/>
        <v>5.3449999999999998</v>
      </c>
      <c r="P94" t="str">
        <f t="shared" si="33"/>
        <v>Low</v>
      </c>
    </row>
    <row r="95" spans="1:16" x14ac:dyDescent="0.25">
      <c r="A95">
        <v>800</v>
      </c>
      <c r="B95">
        <v>19.010000000000002</v>
      </c>
      <c r="C95" t="s">
        <v>14</v>
      </c>
      <c r="D95" t="s">
        <v>20</v>
      </c>
      <c r="E95" s="3">
        <v>1500</v>
      </c>
      <c r="F95">
        <v>41.1</v>
      </c>
      <c r="G95">
        <v>8.52</v>
      </c>
      <c r="H95">
        <v>5.25</v>
      </c>
      <c r="I95">
        <v>27.62</v>
      </c>
      <c r="J95">
        <v>17</v>
      </c>
      <c r="K95" t="s">
        <v>16</v>
      </c>
      <c r="L95" t="str">
        <f t="shared" si="25"/>
        <v>VALID</v>
      </c>
      <c r="M95">
        <f t="shared" si="30"/>
        <v>0.30882352941176472</v>
      </c>
      <c r="N95" t="str">
        <f t="shared" si="31"/>
        <v>Medium</v>
      </c>
      <c r="O95">
        <f t="shared" si="32"/>
        <v>18.07</v>
      </c>
      <c r="P95" t="str">
        <f t="shared" si="33"/>
        <v>Low</v>
      </c>
    </row>
    <row r="96" spans="1:16" hidden="1" x14ac:dyDescent="0.25">
      <c r="A96">
        <v>150</v>
      </c>
      <c r="B96">
        <v>5.34</v>
      </c>
      <c r="C96" t="s">
        <v>19</v>
      </c>
      <c r="D96" t="s">
        <v>20</v>
      </c>
      <c r="E96">
        <v>300</v>
      </c>
      <c r="F96">
        <v>7.6</v>
      </c>
      <c r="G96">
        <v>8.19</v>
      </c>
      <c r="H96">
        <v>6.94</v>
      </c>
      <c r="I96">
        <v>129.96</v>
      </c>
      <c r="J96">
        <v>25</v>
      </c>
      <c r="K96" t="s">
        <v>16</v>
      </c>
      <c r="L96" t="str">
        <f t="shared" si="25"/>
        <v>INVALID</v>
      </c>
    </row>
    <row r="97" spans="1:16" x14ac:dyDescent="0.25">
      <c r="A97">
        <v>600</v>
      </c>
      <c r="B97">
        <v>23.37</v>
      </c>
      <c r="C97" t="s">
        <v>22</v>
      </c>
      <c r="D97" t="s">
        <v>12</v>
      </c>
      <c r="E97" s="3">
        <v>900</v>
      </c>
      <c r="F97">
        <v>68.5</v>
      </c>
      <c r="G97">
        <v>2.5299999999999998</v>
      </c>
      <c r="H97">
        <v>8.4499999999999993</v>
      </c>
      <c r="I97">
        <v>36.159999999999997</v>
      </c>
      <c r="J97">
        <v>22</v>
      </c>
      <c r="K97" t="s">
        <v>16</v>
      </c>
      <c r="L97" t="str">
        <f t="shared" si="25"/>
        <v>VALID</v>
      </c>
      <c r="M97">
        <f t="shared" ref="M97:M99" si="34">IF(J97&gt;0,H97/J97," ")</f>
        <v>0.38409090909090904</v>
      </c>
      <c r="N97" t="str">
        <f t="shared" ref="N97:N99" si="35">IF(ISNUMBER(E97),IF(E97&lt;1000,"Low",IF(E97&lt;3000,"Medium","High")),"Unknown")</f>
        <v>Low</v>
      </c>
      <c r="O97">
        <f t="shared" ref="O97:O99" si="36">(G97+I97)/2</f>
        <v>19.344999999999999</v>
      </c>
      <c r="P97" t="str">
        <f t="shared" ref="P97:P99" si="37">IF(O97&lt;30,"Low",IF(O97&lt;60,"Medium","High"))</f>
        <v>Low</v>
      </c>
    </row>
    <row r="98" spans="1:16" x14ac:dyDescent="0.25">
      <c r="A98">
        <v>600</v>
      </c>
      <c r="B98">
        <v>14.07</v>
      </c>
      <c r="C98" t="s">
        <v>11</v>
      </c>
      <c r="D98" t="s">
        <v>18</v>
      </c>
      <c r="E98" s="3">
        <v>600</v>
      </c>
      <c r="F98">
        <v>3.7</v>
      </c>
      <c r="G98">
        <v>5.98</v>
      </c>
      <c r="H98">
        <v>6</v>
      </c>
      <c r="I98">
        <v>42.64</v>
      </c>
      <c r="J98">
        <v>2</v>
      </c>
      <c r="K98" t="s">
        <v>16</v>
      </c>
      <c r="L98" t="str">
        <f t="shared" si="25"/>
        <v>VALID</v>
      </c>
      <c r="M98">
        <f t="shared" si="34"/>
        <v>3</v>
      </c>
      <c r="N98" t="str">
        <f t="shared" si="35"/>
        <v>Low</v>
      </c>
      <c r="O98">
        <f t="shared" si="36"/>
        <v>24.310000000000002</v>
      </c>
      <c r="P98" t="str">
        <f t="shared" si="37"/>
        <v>Low</v>
      </c>
    </row>
    <row r="99" spans="1:16" x14ac:dyDescent="0.25">
      <c r="A99">
        <v>200</v>
      </c>
      <c r="B99">
        <v>10.46</v>
      </c>
      <c r="C99" t="s">
        <v>11</v>
      </c>
      <c r="D99" t="s">
        <v>20</v>
      </c>
      <c r="E99" s="3">
        <v>1500</v>
      </c>
      <c r="F99">
        <v>5</v>
      </c>
      <c r="G99">
        <v>7.88</v>
      </c>
      <c r="H99">
        <v>6.02</v>
      </c>
      <c r="I99">
        <v>57.55</v>
      </c>
      <c r="J99">
        <v>3</v>
      </c>
      <c r="K99" t="s">
        <v>16</v>
      </c>
      <c r="L99" t="str">
        <f t="shared" si="25"/>
        <v>VALID</v>
      </c>
      <c r="M99">
        <f t="shared" si="34"/>
        <v>2.0066666666666664</v>
      </c>
      <c r="N99" t="str">
        <f t="shared" si="35"/>
        <v>Medium</v>
      </c>
      <c r="O99">
        <f t="shared" si="36"/>
        <v>32.714999999999996</v>
      </c>
      <c r="P99" t="str">
        <f t="shared" si="37"/>
        <v>Medium</v>
      </c>
    </row>
    <row r="100" spans="1:16" hidden="1" x14ac:dyDescent="0.25">
      <c r="A100">
        <v>50</v>
      </c>
      <c r="B100">
        <v>4.7699999999999996</v>
      </c>
      <c r="C100" t="s">
        <v>11</v>
      </c>
      <c r="D100" t="s">
        <v>12</v>
      </c>
      <c r="E100">
        <v>1500</v>
      </c>
      <c r="F100">
        <v>65.900000000000006</v>
      </c>
      <c r="G100">
        <v>6.41</v>
      </c>
      <c r="H100">
        <v>8.5</v>
      </c>
      <c r="I100">
        <v>178.2</v>
      </c>
      <c r="J100">
        <v>21</v>
      </c>
      <c r="K100" t="s">
        <v>16</v>
      </c>
      <c r="L100" t="str">
        <f t="shared" si="25"/>
        <v>INVALID</v>
      </c>
    </row>
    <row r="101" spans="1:16" x14ac:dyDescent="0.25">
      <c r="A101">
        <v>1500</v>
      </c>
      <c r="B101">
        <v>32.08</v>
      </c>
      <c r="C101" t="s">
        <v>14</v>
      </c>
      <c r="D101" t="s">
        <v>15</v>
      </c>
      <c r="E101" s="3">
        <v>2500</v>
      </c>
      <c r="F101">
        <v>39.5</v>
      </c>
      <c r="G101">
        <v>9.5399999999999991</v>
      </c>
      <c r="H101">
        <v>9.73</v>
      </c>
      <c r="I101">
        <v>30.33</v>
      </c>
      <c r="J101">
        <v>13</v>
      </c>
      <c r="K101" t="s">
        <v>16</v>
      </c>
      <c r="L101" t="str">
        <f t="shared" si="25"/>
        <v>VALID</v>
      </c>
      <c r="M101">
        <f t="shared" ref="M101:M106" si="38">IF(J101&gt;0,H101/J101," ")</f>
        <v>0.74846153846153851</v>
      </c>
      <c r="N101" t="str">
        <f t="shared" ref="N101:N106" si="39">IF(ISNUMBER(E101),IF(E101&lt;1000,"Low",IF(E101&lt;3000,"Medium","High")),"Unknown")</f>
        <v>Medium</v>
      </c>
      <c r="O101">
        <f t="shared" ref="O101:O106" si="40">(G101+I101)/2</f>
        <v>19.934999999999999</v>
      </c>
      <c r="P101" t="str">
        <f t="shared" ref="P101:P106" si="41">IF(O101&lt;30,"Low",IF(O101&lt;60,"Medium","High"))</f>
        <v>Low</v>
      </c>
    </row>
    <row r="102" spans="1:16" x14ac:dyDescent="0.25">
      <c r="A102">
        <v>1000</v>
      </c>
      <c r="B102">
        <v>26.09</v>
      </c>
      <c r="C102" t="s">
        <v>19</v>
      </c>
      <c r="D102" t="s">
        <v>18</v>
      </c>
      <c r="E102" s="3">
        <v>2500</v>
      </c>
      <c r="F102">
        <v>59.5</v>
      </c>
      <c r="G102">
        <v>14.82</v>
      </c>
      <c r="H102">
        <v>2.64</v>
      </c>
      <c r="I102">
        <v>10.119999999999999</v>
      </c>
      <c r="J102">
        <v>23</v>
      </c>
      <c r="K102" t="s">
        <v>13</v>
      </c>
      <c r="L102" t="str">
        <f t="shared" si="25"/>
        <v>VALID</v>
      </c>
      <c r="M102">
        <f t="shared" si="38"/>
        <v>0.11478260869565218</v>
      </c>
      <c r="N102" t="str">
        <f t="shared" si="39"/>
        <v>Medium</v>
      </c>
      <c r="O102">
        <f t="shared" si="40"/>
        <v>12.469999999999999</v>
      </c>
      <c r="P102" t="str">
        <f t="shared" si="41"/>
        <v>Low</v>
      </c>
    </row>
    <row r="103" spans="1:16" x14ac:dyDescent="0.25">
      <c r="A103">
        <v>200</v>
      </c>
      <c r="B103">
        <v>8.99</v>
      </c>
      <c r="C103" t="s">
        <v>14</v>
      </c>
      <c r="D103" t="s">
        <v>17</v>
      </c>
      <c r="E103" s="3">
        <v>300</v>
      </c>
      <c r="F103">
        <v>37.700000000000003</v>
      </c>
      <c r="G103">
        <v>19.399999999999999</v>
      </c>
      <c r="H103">
        <v>8.4700000000000006</v>
      </c>
      <c r="I103">
        <v>94.22</v>
      </c>
      <c r="J103">
        <v>11</v>
      </c>
      <c r="K103" t="s">
        <v>16</v>
      </c>
      <c r="L103" t="str">
        <f t="shared" si="25"/>
        <v>VALID</v>
      </c>
      <c r="M103">
        <f t="shared" si="38"/>
        <v>0.77</v>
      </c>
      <c r="N103" t="str">
        <f t="shared" si="39"/>
        <v>Low</v>
      </c>
      <c r="O103">
        <f t="shared" si="40"/>
        <v>56.81</v>
      </c>
      <c r="P103" t="str">
        <f t="shared" si="41"/>
        <v>Medium</v>
      </c>
    </row>
    <row r="104" spans="1:16" x14ac:dyDescent="0.25">
      <c r="A104">
        <v>200</v>
      </c>
      <c r="B104">
        <v>10.29</v>
      </c>
      <c r="C104" t="s">
        <v>22</v>
      </c>
      <c r="D104" t="s">
        <v>18</v>
      </c>
      <c r="E104" s="3">
        <v>300</v>
      </c>
      <c r="F104">
        <v>127.4</v>
      </c>
      <c r="G104">
        <v>14.07</v>
      </c>
      <c r="H104">
        <v>2.59</v>
      </c>
      <c r="I104">
        <v>25.17</v>
      </c>
      <c r="J104">
        <v>12</v>
      </c>
      <c r="K104" t="s">
        <v>13</v>
      </c>
      <c r="L104" t="str">
        <f t="shared" si="25"/>
        <v>VALID</v>
      </c>
      <c r="M104">
        <f t="shared" si="38"/>
        <v>0.21583333333333332</v>
      </c>
      <c r="N104" t="str">
        <f t="shared" si="39"/>
        <v>Low</v>
      </c>
      <c r="O104">
        <f t="shared" si="40"/>
        <v>19.62</v>
      </c>
      <c r="P104" t="str">
        <f t="shared" si="41"/>
        <v>Low</v>
      </c>
    </row>
    <row r="105" spans="1:16" x14ac:dyDescent="0.25">
      <c r="A105">
        <v>1200</v>
      </c>
      <c r="B105">
        <v>31.05</v>
      </c>
      <c r="C105" t="s">
        <v>11</v>
      </c>
      <c r="D105" t="s">
        <v>15</v>
      </c>
      <c r="E105" s="3">
        <v>1500</v>
      </c>
      <c r="F105">
        <v>32.9</v>
      </c>
      <c r="G105">
        <v>8.93</v>
      </c>
      <c r="H105">
        <v>1.23</v>
      </c>
      <c r="I105">
        <v>3.96</v>
      </c>
      <c r="J105">
        <v>1</v>
      </c>
      <c r="K105" t="s">
        <v>23</v>
      </c>
      <c r="L105" t="str">
        <f t="shared" si="25"/>
        <v>VALID</v>
      </c>
      <c r="M105">
        <f t="shared" si="38"/>
        <v>1.23</v>
      </c>
      <c r="N105" t="str">
        <f t="shared" si="39"/>
        <v>Medium</v>
      </c>
      <c r="O105">
        <f t="shared" si="40"/>
        <v>6.4450000000000003</v>
      </c>
      <c r="P105" t="str">
        <f t="shared" si="41"/>
        <v>Low</v>
      </c>
    </row>
    <row r="106" spans="1:16" x14ac:dyDescent="0.25">
      <c r="A106">
        <v>500</v>
      </c>
      <c r="B106">
        <v>18.100000000000001</v>
      </c>
      <c r="C106" t="s">
        <v>19</v>
      </c>
      <c r="D106" t="s">
        <v>17</v>
      </c>
      <c r="E106" s="3">
        <v>2500</v>
      </c>
      <c r="F106">
        <v>103.7</v>
      </c>
      <c r="G106">
        <v>17.809999999999999</v>
      </c>
      <c r="H106">
        <v>1.45</v>
      </c>
      <c r="I106">
        <v>8.01</v>
      </c>
      <c r="J106">
        <v>13</v>
      </c>
      <c r="K106" t="s">
        <v>23</v>
      </c>
      <c r="L106" t="str">
        <f t="shared" si="25"/>
        <v>VALID</v>
      </c>
      <c r="M106">
        <f t="shared" si="38"/>
        <v>0.11153846153846153</v>
      </c>
      <c r="N106" t="str">
        <f t="shared" si="39"/>
        <v>Medium</v>
      </c>
      <c r="O106">
        <f t="shared" si="40"/>
        <v>12.91</v>
      </c>
      <c r="P106" t="str">
        <f t="shared" si="41"/>
        <v>Low</v>
      </c>
    </row>
    <row r="107" spans="1:16" hidden="1" x14ac:dyDescent="0.25">
      <c r="A107">
        <v>50</v>
      </c>
      <c r="B107">
        <v>4.7699999999999996</v>
      </c>
      <c r="C107" t="s">
        <v>19</v>
      </c>
      <c r="D107" t="s">
        <v>12</v>
      </c>
      <c r="E107">
        <v>150</v>
      </c>
      <c r="F107">
        <v>13.4</v>
      </c>
      <c r="G107">
        <v>0.28000000000000003</v>
      </c>
      <c r="H107">
        <v>7.41</v>
      </c>
      <c r="I107">
        <v>155.35</v>
      </c>
      <c r="J107">
        <v>7</v>
      </c>
      <c r="K107" t="s">
        <v>16</v>
      </c>
      <c r="L107" t="str">
        <f t="shared" si="25"/>
        <v>INVALID</v>
      </c>
    </row>
    <row r="108" spans="1:16" x14ac:dyDescent="0.25">
      <c r="A108">
        <v>1500</v>
      </c>
      <c r="B108">
        <v>42.64</v>
      </c>
      <c r="C108" t="s">
        <v>21</v>
      </c>
      <c r="D108" t="s">
        <v>12</v>
      </c>
      <c r="E108" s="3">
        <v>300</v>
      </c>
      <c r="F108">
        <v>106.8</v>
      </c>
      <c r="G108">
        <v>12.28</v>
      </c>
      <c r="H108">
        <v>7.63</v>
      </c>
      <c r="I108">
        <v>17.89</v>
      </c>
      <c r="J108">
        <v>16</v>
      </c>
      <c r="K108" t="s">
        <v>16</v>
      </c>
      <c r="L108" t="str">
        <f t="shared" si="25"/>
        <v>VALID</v>
      </c>
      <c r="M108">
        <f t="shared" ref="M108:M119" si="42">IF(J108&gt;0,H108/J108," ")</f>
        <v>0.47687499999999999</v>
      </c>
      <c r="N108" t="str">
        <f t="shared" ref="N108:N119" si="43">IF(ISNUMBER(E108),IF(E108&lt;1000,"Low",IF(E108&lt;3000,"Medium","High")),"Unknown")</f>
        <v>Low</v>
      </c>
      <c r="O108">
        <f t="shared" ref="O108:O119" si="44">(G108+I108)/2</f>
        <v>15.085000000000001</v>
      </c>
      <c r="P108" t="str">
        <f t="shared" ref="P108:P119" si="45">IF(O108&lt;30,"Low",IF(O108&lt;60,"Medium","High"))</f>
        <v>Low</v>
      </c>
    </row>
    <row r="109" spans="1:16" x14ac:dyDescent="0.25">
      <c r="A109">
        <v>600</v>
      </c>
      <c r="B109">
        <v>10.33</v>
      </c>
      <c r="C109" t="s">
        <v>22</v>
      </c>
      <c r="D109" t="s">
        <v>15</v>
      </c>
      <c r="E109" s="3">
        <v>600</v>
      </c>
      <c r="F109">
        <v>74.5</v>
      </c>
      <c r="G109">
        <v>7.45</v>
      </c>
      <c r="H109">
        <v>2.37</v>
      </c>
      <c r="I109">
        <v>22.94</v>
      </c>
      <c r="J109">
        <v>6</v>
      </c>
      <c r="K109" t="s">
        <v>13</v>
      </c>
      <c r="L109" t="str">
        <f t="shared" si="25"/>
        <v>VALID</v>
      </c>
      <c r="M109">
        <f t="shared" si="42"/>
        <v>0.39500000000000002</v>
      </c>
      <c r="N109" t="str">
        <f t="shared" si="43"/>
        <v>Low</v>
      </c>
      <c r="O109">
        <f t="shared" si="44"/>
        <v>15.195</v>
      </c>
      <c r="P109" t="str">
        <f t="shared" si="45"/>
        <v>Low</v>
      </c>
    </row>
    <row r="110" spans="1:16" x14ac:dyDescent="0.25">
      <c r="A110">
        <v>300</v>
      </c>
      <c r="B110">
        <v>14.32</v>
      </c>
      <c r="C110" t="s">
        <v>11</v>
      </c>
      <c r="D110" t="s">
        <v>17</v>
      </c>
      <c r="E110" s="3">
        <v>600</v>
      </c>
      <c r="F110">
        <v>25</v>
      </c>
      <c r="G110">
        <v>18.29</v>
      </c>
      <c r="H110">
        <v>8.1999999999999993</v>
      </c>
      <c r="I110">
        <v>57.26</v>
      </c>
      <c r="J110">
        <v>5</v>
      </c>
      <c r="K110" t="s">
        <v>16</v>
      </c>
      <c r="L110" t="str">
        <f t="shared" si="25"/>
        <v>VALID</v>
      </c>
      <c r="M110">
        <f t="shared" si="42"/>
        <v>1.64</v>
      </c>
      <c r="N110" t="str">
        <f t="shared" si="43"/>
        <v>Low</v>
      </c>
      <c r="O110">
        <f t="shared" si="44"/>
        <v>37.774999999999999</v>
      </c>
      <c r="P110" t="str">
        <f t="shared" si="45"/>
        <v>Medium</v>
      </c>
    </row>
    <row r="111" spans="1:16" x14ac:dyDescent="0.25">
      <c r="A111">
        <v>800</v>
      </c>
      <c r="B111">
        <v>30.66</v>
      </c>
      <c r="C111" t="s">
        <v>19</v>
      </c>
      <c r="D111" t="s">
        <v>17</v>
      </c>
      <c r="E111" s="3">
        <v>600</v>
      </c>
      <c r="F111">
        <v>105.4</v>
      </c>
      <c r="G111">
        <v>12.33</v>
      </c>
      <c r="H111">
        <v>1.45</v>
      </c>
      <c r="I111">
        <v>4.7300000000000004</v>
      </c>
      <c r="J111">
        <v>10</v>
      </c>
      <c r="K111" t="s">
        <v>23</v>
      </c>
      <c r="L111" t="str">
        <f t="shared" si="25"/>
        <v>VALID</v>
      </c>
      <c r="M111">
        <f t="shared" si="42"/>
        <v>0.14499999999999999</v>
      </c>
      <c r="N111" t="str">
        <f t="shared" si="43"/>
        <v>Low</v>
      </c>
      <c r="O111">
        <f t="shared" si="44"/>
        <v>8.5300000000000011</v>
      </c>
      <c r="P111" t="str">
        <f t="shared" si="45"/>
        <v>Low</v>
      </c>
    </row>
    <row r="112" spans="1:16" x14ac:dyDescent="0.25">
      <c r="A112">
        <v>150</v>
      </c>
      <c r="B112">
        <v>6.98</v>
      </c>
      <c r="C112" t="s">
        <v>11</v>
      </c>
      <c r="D112" t="s">
        <v>17</v>
      </c>
      <c r="E112" s="3">
        <v>300</v>
      </c>
      <c r="F112">
        <v>51.1</v>
      </c>
      <c r="G112">
        <v>15.43</v>
      </c>
      <c r="H112">
        <v>4.03</v>
      </c>
      <c r="I112">
        <v>57.74</v>
      </c>
      <c r="J112">
        <v>8</v>
      </c>
      <c r="K112" t="s">
        <v>13</v>
      </c>
      <c r="L112" t="str">
        <f t="shared" si="25"/>
        <v>VALID</v>
      </c>
      <c r="M112">
        <f t="shared" si="42"/>
        <v>0.50375000000000003</v>
      </c>
      <c r="N112" t="str">
        <f t="shared" si="43"/>
        <v>Low</v>
      </c>
      <c r="O112">
        <f t="shared" si="44"/>
        <v>36.585000000000001</v>
      </c>
      <c r="P112" t="str">
        <f t="shared" si="45"/>
        <v>Medium</v>
      </c>
    </row>
    <row r="113" spans="1:16" x14ac:dyDescent="0.25">
      <c r="A113">
        <v>600</v>
      </c>
      <c r="B113">
        <v>12.2</v>
      </c>
      <c r="C113" t="s">
        <v>14</v>
      </c>
      <c r="D113" t="s">
        <v>15</v>
      </c>
      <c r="E113" s="3">
        <v>300</v>
      </c>
      <c r="F113">
        <v>-11.6</v>
      </c>
      <c r="G113">
        <v>15.77</v>
      </c>
      <c r="H113">
        <v>2.1800000000000002</v>
      </c>
      <c r="I113">
        <v>17.87</v>
      </c>
      <c r="J113">
        <v>19</v>
      </c>
      <c r="K113" t="s">
        <v>13</v>
      </c>
      <c r="L113" t="str">
        <f t="shared" si="25"/>
        <v>VALID</v>
      </c>
      <c r="M113">
        <f t="shared" si="42"/>
        <v>0.11473684210526316</v>
      </c>
      <c r="N113" t="str">
        <f t="shared" si="43"/>
        <v>Low</v>
      </c>
      <c r="O113">
        <f t="shared" si="44"/>
        <v>16.82</v>
      </c>
      <c r="P113" t="str">
        <f t="shared" si="45"/>
        <v>Low</v>
      </c>
    </row>
    <row r="114" spans="1:16" x14ac:dyDescent="0.25">
      <c r="A114">
        <v>500</v>
      </c>
      <c r="B114">
        <v>23.91</v>
      </c>
      <c r="C114" t="s">
        <v>21</v>
      </c>
      <c r="D114" t="s">
        <v>12</v>
      </c>
      <c r="E114" s="3">
        <v>300</v>
      </c>
      <c r="F114">
        <v>76.2</v>
      </c>
      <c r="G114">
        <v>12.37</v>
      </c>
      <c r="H114">
        <v>5.67</v>
      </c>
      <c r="I114">
        <v>23.71</v>
      </c>
      <c r="J114">
        <v>12</v>
      </c>
      <c r="K114" t="s">
        <v>16</v>
      </c>
      <c r="L114" t="str">
        <f t="shared" si="25"/>
        <v>VALID</v>
      </c>
      <c r="M114">
        <f t="shared" si="42"/>
        <v>0.47249999999999998</v>
      </c>
      <c r="N114" t="str">
        <f t="shared" si="43"/>
        <v>Low</v>
      </c>
      <c r="O114">
        <f t="shared" si="44"/>
        <v>18.04</v>
      </c>
      <c r="P114" t="str">
        <f t="shared" si="45"/>
        <v>Low</v>
      </c>
    </row>
    <row r="115" spans="1:16" x14ac:dyDescent="0.25">
      <c r="A115">
        <v>1200</v>
      </c>
      <c r="B115">
        <v>32.57</v>
      </c>
      <c r="C115" t="s">
        <v>14</v>
      </c>
      <c r="D115" t="s">
        <v>18</v>
      </c>
      <c r="E115" s="3">
        <v>300</v>
      </c>
      <c r="F115">
        <v>96.5</v>
      </c>
      <c r="G115">
        <v>12.31</v>
      </c>
      <c r="H115">
        <v>6.7</v>
      </c>
      <c r="I115">
        <v>20.57</v>
      </c>
      <c r="J115">
        <v>19</v>
      </c>
      <c r="K115" t="s">
        <v>16</v>
      </c>
      <c r="L115" t="str">
        <f t="shared" si="25"/>
        <v>VALID</v>
      </c>
      <c r="M115">
        <f t="shared" si="42"/>
        <v>0.35263157894736841</v>
      </c>
      <c r="N115" t="str">
        <f t="shared" si="43"/>
        <v>Low</v>
      </c>
      <c r="O115">
        <f t="shared" si="44"/>
        <v>16.440000000000001</v>
      </c>
      <c r="P115" t="str">
        <f t="shared" si="45"/>
        <v>Low</v>
      </c>
    </row>
    <row r="116" spans="1:16" x14ac:dyDescent="0.25">
      <c r="A116">
        <v>1000</v>
      </c>
      <c r="B116">
        <v>24.79</v>
      </c>
      <c r="C116" t="s">
        <v>14</v>
      </c>
      <c r="D116" t="s">
        <v>18</v>
      </c>
      <c r="E116" s="3">
        <v>600</v>
      </c>
      <c r="F116">
        <v>14.4</v>
      </c>
      <c r="G116">
        <v>0.88</v>
      </c>
      <c r="H116">
        <v>6.86</v>
      </c>
      <c r="I116">
        <v>27.67</v>
      </c>
      <c r="J116">
        <v>2</v>
      </c>
      <c r="K116" t="s">
        <v>16</v>
      </c>
      <c r="L116" t="str">
        <f t="shared" si="25"/>
        <v>VALID</v>
      </c>
      <c r="M116">
        <f t="shared" si="42"/>
        <v>3.43</v>
      </c>
      <c r="N116" t="str">
        <f t="shared" si="43"/>
        <v>Low</v>
      </c>
      <c r="O116">
        <f t="shared" si="44"/>
        <v>14.275</v>
      </c>
      <c r="P116" t="str">
        <f t="shared" si="45"/>
        <v>Low</v>
      </c>
    </row>
    <row r="117" spans="1:16" x14ac:dyDescent="0.25">
      <c r="A117">
        <v>250</v>
      </c>
      <c r="B117">
        <v>10.210000000000001</v>
      </c>
      <c r="C117" t="s">
        <v>22</v>
      </c>
      <c r="D117" t="s">
        <v>12</v>
      </c>
      <c r="E117" s="3">
        <v>600</v>
      </c>
      <c r="F117">
        <v>32.1</v>
      </c>
      <c r="G117">
        <v>6.22</v>
      </c>
      <c r="H117">
        <v>4.53</v>
      </c>
      <c r="I117">
        <v>44.37</v>
      </c>
      <c r="J117">
        <v>21</v>
      </c>
      <c r="K117" t="s">
        <v>13</v>
      </c>
      <c r="L117" t="str">
        <f t="shared" si="25"/>
        <v>VALID</v>
      </c>
      <c r="M117">
        <f t="shared" si="42"/>
        <v>0.21571428571428572</v>
      </c>
      <c r="N117" t="str">
        <f t="shared" si="43"/>
        <v>Low</v>
      </c>
      <c r="O117">
        <f t="shared" si="44"/>
        <v>25.294999999999998</v>
      </c>
      <c r="P117" t="str">
        <f t="shared" si="45"/>
        <v>Low</v>
      </c>
    </row>
    <row r="118" spans="1:16" x14ac:dyDescent="0.25">
      <c r="A118">
        <v>800</v>
      </c>
      <c r="B118">
        <v>14.17</v>
      </c>
      <c r="C118" t="s">
        <v>21</v>
      </c>
      <c r="D118" t="s">
        <v>20</v>
      </c>
      <c r="E118" s="3">
        <v>150</v>
      </c>
      <c r="F118">
        <v>36</v>
      </c>
      <c r="G118">
        <v>4.8600000000000003</v>
      </c>
      <c r="H118">
        <v>3.33</v>
      </c>
      <c r="I118">
        <v>23.5</v>
      </c>
      <c r="J118">
        <v>7</v>
      </c>
      <c r="K118" t="s">
        <v>13</v>
      </c>
      <c r="L118" t="str">
        <f t="shared" si="25"/>
        <v>VALID</v>
      </c>
      <c r="M118">
        <f t="shared" si="42"/>
        <v>0.4757142857142857</v>
      </c>
      <c r="N118" t="str">
        <f t="shared" si="43"/>
        <v>Low</v>
      </c>
      <c r="O118">
        <f t="shared" si="44"/>
        <v>14.18</v>
      </c>
      <c r="P118" t="str">
        <f t="shared" si="45"/>
        <v>Low</v>
      </c>
    </row>
    <row r="119" spans="1:16" x14ac:dyDescent="0.25">
      <c r="A119">
        <v>800</v>
      </c>
      <c r="B119">
        <v>21.79</v>
      </c>
      <c r="C119" t="s">
        <v>14</v>
      </c>
      <c r="D119" t="s">
        <v>17</v>
      </c>
      <c r="E119" s="3">
        <v>2500</v>
      </c>
      <c r="F119">
        <v>44.2</v>
      </c>
      <c r="G119">
        <v>14.79</v>
      </c>
      <c r="H119">
        <v>7.24</v>
      </c>
      <c r="I119">
        <v>33.229999999999997</v>
      </c>
      <c r="J119">
        <v>5</v>
      </c>
      <c r="K119" t="s">
        <v>16</v>
      </c>
      <c r="L119" t="str">
        <f t="shared" si="25"/>
        <v>VALID</v>
      </c>
      <c r="M119">
        <f t="shared" si="42"/>
        <v>1.448</v>
      </c>
      <c r="N119" t="str">
        <f t="shared" si="43"/>
        <v>Medium</v>
      </c>
      <c r="O119">
        <f t="shared" si="44"/>
        <v>24.009999999999998</v>
      </c>
      <c r="P119" t="str">
        <f t="shared" si="45"/>
        <v>Low</v>
      </c>
    </row>
    <row r="120" spans="1:16" hidden="1" x14ac:dyDescent="0.25">
      <c r="A120">
        <v>100</v>
      </c>
      <c r="B120">
        <v>7.29</v>
      </c>
      <c r="C120" t="s">
        <v>22</v>
      </c>
      <c r="D120" t="s">
        <v>17</v>
      </c>
      <c r="E120">
        <v>150</v>
      </c>
      <c r="F120">
        <v>-15.8</v>
      </c>
      <c r="G120">
        <v>3.59</v>
      </c>
      <c r="H120">
        <v>7.32</v>
      </c>
      <c r="I120">
        <v>100.41</v>
      </c>
      <c r="J120">
        <v>7</v>
      </c>
      <c r="K120" t="s">
        <v>16</v>
      </c>
      <c r="L120" t="str">
        <f t="shared" si="25"/>
        <v>INVALID</v>
      </c>
    </row>
    <row r="121" spans="1:16" x14ac:dyDescent="0.25">
      <c r="A121">
        <v>150</v>
      </c>
      <c r="B121">
        <v>9.0299999999999994</v>
      </c>
      <c r="C121" t="s">
        <v>14</v>
      </c>
      <c r="D121" t="s">
        <v>17</v>
      </c>
      <c r="E121" s="3">
        <v>300</v>
      </c>
      <c r="F121">
        <v>19.7</v>
      </c>
      <c r="G121">
        <v>9.65</v>
      </c>
      <c r="H121">
        <v>6.02</v>
      </c>
      <c r="I121">
        <v>66.67</v>
      </c>
      <c r="J121">
        <v>14</v>
      </c>
      <c r="K121" t="s">
        <v>16</v>
      </c>
      <c r="L121" t="str">
        <f t="shared" si="25"/>
        <v>VALID</v>
      </c>
      <c r="M121">
        <f t="shared" ref="M121:M123" si="46">IF(J121&gt;0,H121/J121," ")</f>
        <v>0.43</v>
      </c>
      <c r="N121" t="str">
        <f t="shared" ref="N121:N123" si="47">IF(ISNUMBER(E121),IF(E121&lt;1000,"Low",IF(E121&lt;3000,"Medium","High")),"Unknown")</f>
        <v>Low</v>
      </c>
      <c r="O121">
        <f t="shared" ref="O121:O123" si="48">(G121+I121)/2</f>
        <v>38.160000000000004</v>
      </c>
      <c r="P121" t="str">
        <f t="shared" ref="P121:P123" si="49">IF(O121&lt;30,"Low",IF(O121&lt;60,"Medium","High"))</f>
        <v>Medium</v>
      </c>
    </row>
    <row r="122" spans="1:16" x14ac:dyDescent="0.25">
      <c r="A122">
        <v>200</v>
      </c>
      <c r="B122">
        <v>9.41</v>
      </c>
      <c r="C122" t="s">
        <v>19</v>
      </c>
      <c r="D122" t="s">
        <v>15</v>
      </c>
      <c r="E122" s="3">
        <v>150</v>
      </c>
      <c r="F122">
        <v>5.3</v>
      </c>
      <c r="G122">
        <v>12.74</v>
      </c>
      <c r="H122">
        <v>6.06</v>
      </c>
      <c r="I122">
        <v>64.400000000000006</v>
      </c>
      <c r="J122">
        <v>24</v>
      </c>
      <c r="K122" t="s">
        <v>16</v>
      </c>
      <c r="L122" t="str">
        <f t="shared" si="25"/>
        <v>VALID</v>
      </c>
      <c r="M122">
        <f t="shared" si="46"/>
        <v>0.2525</v>
      </c>
      <c r="N122" t="str">
        <f t="shared" si="47"/>
        <v>Low</v>
      </c>
      <c r="O122">
        <f t="shared" si="48"/>
        <v>38.57</v>
      </c>
      <c r="P122" t="str">
        <f t="shared" si="49"/>
        <v>Medium</v>
      </c>
    </row>
    <row r="123" spans="1:16" x14ac:dyDescent="0.25">
      <c r="A123">
        <v>150</v>
      </c>
      <c r="B123">
        <v>9.16</v>
      </c>
      <c r="C123" t="s">
        <v>11</v>
      </c>
      <c r="D123" t="s">
        <v>17</v>
      </c>
      <c r="E123" s="3">
        <v>600</v>
      </c>
      <c r="F123">
        <v>7.9</v>
      </c>
      <c r="G123">
        <v>16.16</v>
      </c>
      <c r="H123">
        <v>2.61</v>
      </c>
      <c r="I123">
        <v>28.49</v>
      </c>
      <c r="J123">
        <v>10</v>
      </c>
      <c r="K123" t="s">
        <v>13</v>
      </c>
      <c r="L123" t="str">
        <f t="shared" si="25"/>
        <v>VALID</v>
      </c>
      <c r="M123">
        <f t="shared" si="46"/>
        <v>0.26100000000000001</v>
      </c>
      <c r="N123" t="str">
        <f t="shared" si="47"/>
        <v>Low</v>
      </c>
      <c r="O123">
        <f t="shared" si="48"/>
        <v>22.324999999999999</v>
      </c>
      <c r="P123" t="str">
        <f t="shared" si="49"/>
        <v>Low</v>
      </c>
    </row>
    <row r="124" spans="1:16" hidden="1" x14ac:dyDescent="0.25">
      <c r="A124">
        <v>250</v>
      </c>
      <c r="B124">
        <v>6.69</v>
      </c>
      <c r="C124" t="s">
        <v>21</v>
      </c>
      <c r="D124" t="s">
        <v>12</v>
      </c>
      <c r="E124">
        <v>1500</v>
      </c>
      <c r="F124">
        <v>-32.5</v>
      </c>
      <c r="G124">
        <v>5.99</v>
      </c>
      <c r="H124">
        <v>9.0299999999999994</v>
      </c>
      <c r="I124">
        <v>134.97999999999999</v>
      </c>
      <c r="J124">
        <v>12</v>
      </c>
      <c r="K124" t="s">
        <v>16</v>
      </c>
      <c r="L124" t="str">
        <f t="shared" si="25"/>
        <v>INVALID</v>
      </c>
    </row>
    <row r="125" spans="1:16" hidden="1" x14ac:dyDescent="0.25">
      <c r="A125">
        <v>150</v>
      </c>
      <c r="B125">
        <v>5.88</v>
      </c>
      <c r="C125" t="s">
        <v>14</v>
      </c>
      <c r="D125" t="s">
        <v>17</v>
      </c>
      <c r="E125">
        <v>150</v>
      </c>
      <c r="F125">
        <v>14</v>
      </c>
      <c r="G125">
        <v>4.28</v>
      </c>
      <c r="H125">
        <v>6.13</v>
      </c>
      <c r="I125">
        <v>104.25</v>
      </c>
      <c r="J125">
        <v>13</v>
      </c>
      <c r="K125" t="s">
        <v>16</v>
      </c>
      <c r="L125" t="str">
        <f t="shared" si="25"/>
        <v>INVALID</v>
      </c>
    </row>
    <row r="126" spans="1:16" x14ac:dyDescent="0.25">
      <c r="A126">
        <v>1000</v>
      </c>
      <c r="B126">
        <v>22.09</v>
      </c>
      <c r="C126" t="s">
        <v>11</v>
      </c>
      <c r="D126" t="s">
        <v>18</v>
      </c>
      <c r="E126" s="3">
        <v>600</v>
      </c>
      <c r="F126">
        <v>13.1</v>
      </c>
      <c r="G126">
        <v>19.73</v>
      </c>
      <c r="H126">
        <v>9.2799999999999994</v>
      </c>
      <c r="I126">
        <v>42.01</v>
      </c>
      <c r="J126">
        <v>3</v>
      </c>
      <c r="K126" t="s">
        <v>16</v>
      </c>
      <c r="L126" t="str">
        <f t="shared" si="25"/>
        <v>VALID</v>
      </c>
      <c r="M126">
        <f t="shared" ref="M126:M140" si="50">IF(J126&gt;0,H126/J126," ")</f>
        <v>3.0933333333333333</v>
      </c>
      <c r="N126" t="str">
        <f t="shared" ref="N126:N140" si="51">IF(ISNUMBER(E126),IF(E126&lt;1000,"Low",IF(E126&lt;3000,"Medium","High")),"Unknown")</f>
        <v>Low</v>
      </c>
      <c r="O126">
        <f t="shared" ref="O126:O140" si="52">(G126+I126)/2</f>
        <v>30.869999999999997</v>
      </c>
      <c r="P126" t="str">
        <f t="shared" ref="P126:P140" si="53">IF(O126&lt;30,"Low",IF(O126&lt;60,"Medium","High"))</f>
        <v>Medium</v>
      </c>
    </row>
    <row r="127" spans="1:16" x14ac:dyDescent="0.25">
      <c r="A127">
        <v>1200</v>
      </c>
      <c r="B127">
        <v>25.68</v>
      </c>
      <c r="C127" t="s">
        <v>19</v>
      </c>
      <c r="D127" t="s">
        <v>12</v>
      </c>
      <c r="E127" s="3">
        <v>600</v>
      </c>
      <c r="F127">
        <v>46.6</v>
      </c>
      <c r="G127">
        <v>17.66</v>
      </c>
      <c r="H127">
        <v>6.07</v>
      </c>
      <c r="I127">
        <v>23.64</v>
      </c>
      <c r="J127">
        <v>13</v>
      </c>
      <c r="K127" t="s">
        <v>16</v>
      </c>
      <c r="L127" t="str">
        <f t="shared" si="25"/>
        <v>VALID</v>
      </c>
      <c r="M127">
        <f t="shared" si="50"/>
        <v>0.46692307692307694</v>
      </c>
      <c r="N127" t="str">
        <f t="shared" si="51"/>
        <v>Low</v>
      </c>
      <c r="O127">
        <f t="shared" si="52"/>
        <v>20.65</v>
      </c>
      <c r="P127" t="str">
        <f t="shared" si="53"/>
        <v>Low</v>
      </c>
    </row>
    <row r="128" spans="1:16" x14ac:dyDescent="0.25">
      <c r="A128">
        <v>50</v>
      </c>
      <c r="B128">
        <v>4.8</v>
      </c>
      <c r="C128" t="s">
        <v>11</v>
      </c>
      <c r="D128" t="s">
        <v>15</v>
      </c>
      <c r="E128" s="3">
        <v>1500</v>
      </c>
      <c r="F128">
        <v>125.6</v>
      </c>
      <c r="G128">
        <v>18.25</v>
      </c>
      <c r="H128">
        <v>0.92</v>
      </c>
      <c r="I128">
        <v>19.170000000000002</v>
      </c>
      <c r="J128">
        <v>18</v>
      </c>
      <c r="K128" t="s">
        <v>23</v>
      </c>
      <c r="L128" t="str">
        <f t="shared" si="25"/>
        <v>VALID</v>
      </c>
      <c r="M128">
        <f t="shared" si="50"/>
        <v>5.1111111111111114E-2</v>
      </c>
      <c r="N128" t="str">
        <f t="shared" si="51"/>
        <v>Medium</v>
      </c>
      <c r="O128">
        <f t="shared" si="52"/>
        <v>18.71</v>
      </c>
      <c r="P128" t="str">
        <f t="shared" si="53"/>
        <v>Low</v>
      </c>
    </row>
    <row r="129" spans="1:16" x14ac:dyDescent="0.25">
      <c r="A129">
        <v>500</v>
      </c>
      <c r="B129">
        <v>9.8000000000000007</v>
      </c>
      <c r="C129" t="s">
        <v>14</v>
      </c>
      <c r="D129" t="s">
        <v>20</v>
      </c>
      <c r="E129" s="3">
        <v>2500</v>
      </c>
      <c r="F129">
        <v>26.2</v>
      </c>
      <c r="G129">
        <v>10.34</v>
      </c>
      <c r="H129">
        <v>3.2</v>
      </c>
      <c r="I129">
        <v>32.65</v>
      </c>
      <c r="J129">
        <v>14</v>
      </c>
      <c r="K129" t="s">
        <v>13</v>
      </c>
      <c r="L129" t="str">
        <f t="shared" si="25"/>
        <v>VALID</v>
      </c>
      <c r="M129">
        <f t="shared" si="50"/>
        <v>0.22857142857142859</v>
      </c>
      <c r="N129" t="str">
        <f t="shared" si="51"/>
        <v>Medium</v>
      </c>
      <c r="O129">
        <f t="shared" si="52"/>
        <v>21.494999999999997</v>
      </c>
      <c r="P129" t="str">
        <f t="shared" si="53"/>
        <v>Low</v>
      </c>
    </row>
    <row r="130" spans="1:16" x14ac:dyDescent="0.25">
      <c r="A130">
        <v>100</v>
      </c>
      <c r="B130">
        <v>7.07</v>
      </c>
      <c r="C130" t="s">
        <v>22</v>
      </c>
      <c r="D130" t="s">
        <v>20</v>
      </c>
      <c r="E130" s="3">
        <v>150</v>
      </c>
      <c r="F130">
        <v>12.5</v>
      </c>
      <c r="G130">
        <v>3.04</v>
      </c>
      <c r="H130">
        <v>5.78</v>
      </c>
      <c r="I130">
        <v>81.75</v>
      </c>
      <c r="J130">
        <v>21</v>
      </c>
      <c r="K130" t="s">
        <v>16</v>
      </c>
      <c r="L130" t="str">
        <f t="shared" si="25"/>
        <v>VALID</v>
      </c>
      <c r="M130">
        <f t="shared" si="50"/>
        <v>0.27523809523809523</v>
      </c>
      <c r="N130" t="str">
        <f t="shared" si="51"/>
        <v>Low</v>
      </c>
      <c r="O130">
        <f t="shared" si="52"/>
        <v>42.395000000000003</v>
      </c>
      <c r="P130" t="str">
        <f t="shared" si="53"/>
        <v>Medium</v>
      </c>
    </row>
    <row r="131" spans="1:16" x14ac:dyDescent="0.25">
      <c r="A131">
        <v>400</v>
      </c>
      <c r="B131">
        <v>17.39</v>
      </c>
      <c r="C131" t="s">
        <v>21</v>
      </c>
      <c r="D131" t="s">
        <v>20</v>
      </c>
      <c r="E131" s="3">
        <v>150</v>
      </c>
      <c r="F131">
        <v>-12.8</v>
      </c>
      <c r="G131">
        <v>12.59</v>
      </c>
      <c r="H131">
        <v>7.23</v>
      </c>
      <c r="I131">
        <v>41.58</v>
      </c>
      <c r="J131">
        <v>2</v>
      </c>
      <c r="K131" t="s">
        <v>16</v>
      </c>
      <c r="L131" t="str">
        <f t="shared" ref="L131:L194" si="54">IF(H131&gt;B131,"INVALID","VALID")</f>
        <v>VALID</v>
      </c>
      <c r="M131">
        <f t="shared" si="50"/>
        <v>3.6150000000000002</v>
      </c>
      <c r="N131" t="str">
        <f t="shared" si="51"/>
        <v>Low</v>
      </c>
      <c r="O131">
        <f t="shared" si="52"/>
        <v>27.085000000000001</v>
      </c>
      <c r="P131" t="str">
        <f t="shared" si="53"/>
        <v>Low</v>
      </c>
    </row>
    <row r="132" spans="1:16" x14ac:dyDescent="0.25">
      <c r="A132">
        <v>150</v>
      </c>
      <c r="B132">
        <v>7.94</v>
      </c>
      <c r="C132" t="s">
        <v>11</v>
      </c>
      <c r="D132" t="s">
        <v>18</v>
      </c>
      <c r="E132" s="3">
        <v>2500</v>
      </c>
      <c r="F132">
        <v>57.2</v>
      </c>
      <c r="G132">
        <v>10.79</v>
      </c>
      <c r="H132">
        <v>4.92</v>
      </c>
      <c r="I132">
        <v>61.96</v>
      </c>
      <c r="J132">
        <v>15</v>
      </c>
      <c r="K132" t="s">
        <v>13</v>
      </c>
      <c r="L132" t="str">
        <f t="shared" si="54"/>
        <v>VALID</v>
      </c>
      <c r="M132">
        <f t="shared" si="50"/>
        <v>0.32800000000000001</v>
      </c>
      <c r="N132" t="str">
        <f t="shared" si="51"/>
        <v>Medium</v>
      </c>
      <c r="O132">
        <f t="shared" si="52"/>
        <v>36.375</v>
      </c>
      <c r="P132" t="str">
        <f t="shared" si="53"/>
        <v>Medium</v>
      </c>
    </row>
    <row r="133" spans="1:16" x14ac:dyDescent="0.25">
      <c r="A133">
        <v>250</v>
      </c>
      <c r="B133">
        <v>7.29</v>
      </c>
      <c r="C133" t="s">
        <v>21</v>
      </c>
      <c r="D133" t="s">
        <v>17</v>
      </c>
      <c r="E133" s="3">
        <v>1500</v>
      </c>
      <c r="F133">
        <v>140.1</v>
      </c>
      <c r="G133">
        <v>16.13</v>
      </c>
      <c r="H133">
        <v>5.7</v>
      </c>
      <c r="I133">
        <v>78.19</v>
      </c>
      <c r="J133">
        <v>16</v>
      </c>
      <c r="K133" t="s">
        <v>16</v>
      </c>
      <c r="L133" t="str">
        <f t="shared" si="54"/>
        <v>VALID</v>
      </c>
      <c r="M133">
        <f t="shared" si="50"/>
        <v>0.35625000000000001</v>
      </c>
      <c r="N133" t="str">
        <f t="shared" si="51"/>
        <v>Medium</v>
      </c>
      <c r="O133">
        <f t="shared" si="52"/>
        <v>47.16</v>
      </c>
      <c r="P133" t="str">
        <f t="shared" si="53"/>
        <v>Medium</v>
      </c>
    </row>
    <row r="134" spans="1:16" x14ac:dyDescent="0.25">
      <c r="A134">
        <v>1000</v>
      </c>
      <c r="B134">
        <v>29.55</v>
      </c>
      <c r="C134" t="s">
        <v>21</v>
      </c>
      <c r="D134" t="s">
        <v>12</v>
      </c>
      <c r="E134" s="3">
        <v>1500</v>
      </c>
      <c r="F134">
        <v>82.5</v>
      </c>
      <c r="G134">
        <v>1.26</v>
      </c>
      <c r="H134">
        <v>0.24</v>
      </c>
      <c r="I134">
        <v>0.81</v>
      </c>
      <c r="J134">
        <v>25</v>
      </c>
      <c r="K134" t="s">
        <v>23</v>
      </c>
      <c r="L134" t="str">
        <f t="shared" si="54"/>
        <v>VALID</v>
      </c>
      <c r="M134">
        <f t="shared" si="50"/>
        <v>9.5999999999999992E-3</v>
      </c>
      <c r="N134" t="str">
        <f t="shared" si="51"/>
        <v>Medium</v>
      </c>
      <c r="O134">
        <f t="shared" si="52"/>
        <v>1.0350000000000001</v>
      </c>
      <c r="P134" t="str">
        <f t="shared" si="53"/>
        <v>Low</v>
      </c>
    </row>
    <row r="135" spans="1:16" x14ac:dyDescent="0.25">
      <c r="A135">
        <v>1200</v>
      </c>
      <c r="B135">
        <v>35.76</v>
      </c>
      <c r="C135" t="s">
        <v>14</v>
      </c>
      <c r="D135" t="s">
        <v>20</v>
      </c>
      <c r="E135" s="3">
        <v>2500</v>
      </c>
      <c r="F135">
        <v>-15.3</v>
      </c>
      <c r="G135">
        <v>10.6</v>
      </c>
      <c r="H135">
        <v>2.4500000000000002</v>
      </c>
      <c r="I135">
        <v>6.85</v>
      </c>
      <c r="J135">
        <v>5</v>
      </c>
      <c r="K135" t="s">
        <v>13</v>
      </c>
      <c r="L135" t="str">
        <f t="shared" si="54"/>
        <v>VALID</v>
      </c>
      <c r="M135">
        <f t="shared" si="50"/>
        <v>0.49000000000000005</v>
      </c>
      <c r="N135" t="str">
        <f t="shared" si="51"/>
        <v>Medium</v>
      </c>
      <c r="O135">
        <f t="shared" si="52"/>
        <v>8.7249999999999996</v>
      </c>
      <c r="P135" t="str">
        <f t="shared" si="53"/>
        <v>Low</v>
      </c>
    </row>
    <row r="136" spans="1:16" x14ac:dyDescent="0.25">
      <c r="A136">
        <v>600</v>
      </c>
      <c r="B136">
        <v>26.97</v>
      </c>
      <c r="C136" t="s">
        <v>11</v>
      </c>
      <c r="D136" t="s">
        <v>12</v>
      </c>
      <c r="E136" s="3">
        <v>1500</v>
      </c>
      <c r="F136">
        <v>82</v>
      </c>
      <c r="G136">
        <v>16.29</v>
      </c>
      <c r="H136">
        <v>1.53</v>
      </c>
      <c r="I136">
        <v>5.67</v>
      </c>
      <c r="J136">
        <v>22</v>
      </c>
      <c r="K136" t="s">
        <v>23</v>
      </c>
      <c r="L136" t="str">
        <f t="shared" si="54"/>
        <v>VALID</v>
      </c>
      <c r="M136">
        <f t="shared" si="50"/>
        <v>6.9545454545454549E-2</v>
      </c>
      <c r="N136" t="str">
        <f t="shared" si="51"/>
        <v>Medium</v>
      </c>
      <c r="O136">
        <f t="shared" si="52"/>
        <v>10.98</v>
      </c>
      <c r="P136" t="str">
        <f t="shared" si="53"/>
        <v>Low</v>
      </c>
    </row>
    <row r="137" spans="1:16" x14ac:dyDescent="0.25">
      <c r="A137">
        <v>400</v>
      </c>
      <c r="B137">
        <v>10.27</v>
      </c>
      <c r="C137" t="s">
        <v>14</v>
      </c>
      <c r="D137" t="s">
        <v>20</v>
      </c>
      <c r="E137" s="3">
        <v>300</v>
      </c>
      <c r="F137">
        <v>40.1</v>
      </c>
      <c r="G137">
        <v>8.69</v>
      </c>
      <c r="H137">
        <v>6.45</v>
      </c>
      <c r="I137">
        <v>62.8</v>
      </c>
      <c r="J137">
        <v>16</v>
      </c>
      <c r="K137" t="s">
        <v>16</v>
      </c>
      <c r="L137" t="str">
        <f t="shared" si="54"/>
        <v>VALID</v>
      </c>
      <c r="M137">
        <f t="shared" si="50"/>
        <v>0.40312500000000001</v>
      </c>
      <c r="N137" t="str">
        <f t="shared" si="51"/>
        <v>Low</v>
      </c>
      <c r="O137">
        <f t="shared" si="52"/>
        <v>35.744999999999997</v>
      </c>
      <c r="P137" t="str">
        <f t="shared" si="53"/>
        <v>Medium</v>
      </c>
    </row>
    <row r="138" spans="1:16" x14ac:dyDescent="0.25">
      <c r="A138">
        <v>200</v>
      </c>
      <c r="B138">
        <v>7.56</v>
      </c>
      <c r="C138" t="s">
        <v>22</v>
      </c>
      <c r="D138" t="s">
        <v>17</v>
      </c>
      <c r="E138" s="3">
        <v>2500</v>
      </c>
      <c r="F138">
        <v>79.8</v>
      </c>
      <c r="G138">
        <v>0</v>
      </c>
      <c r="H138">
        <v>5.88</v>
      </c>
      <c r="I138">
        <v>77.78</v>
      </c>
      <c r="J138">
        <v>9</v>
      </c>
      <c r="K138" t="s">
        <v>16</v>
      </c>
      <c r="L138" t="str">
        <f t="shared" si="54"/>
        <v>VALID</v>
      </c>
      <c r="M138">
        <f t="shared" si="50"/>
        <v>0.65333333333333332</v>
      </c>
      <c r="N138" t="str">
        <f t="shared" si="51"/>
        <v>Medium</v>
      </c>
      <c r="O138">
        <f t="shared" si="52"/>
        <v>38.89</v>
      </c>
      <c r="P138" t="str">
        <f t="shared" si="53"/>
        <v>Medium</v>
      </c>
    </row>
    <row r="139" spans="1:16" x14ac:dyDescent="0.25">
      <c r="A139">
        <v>150</v>
      </c>
      <c r="B139">
        <v>9.25</v>
      </c>
      <c r="C139" t="s">
        <v>21</v>
      </c>
      <c r="D139" t="s">
        <v>20</v>
      </c>
      <c r="E139" s="3">
        <v>2500</v>
      </c>
      <c r="F139">
        <v>22.3</v>
      </c>
      <c r="G139">
        <v>2.35</v>
      </c>
      <c r="H139">
        <v>6.26</v>
      </c>
      <c r="I139">
        <v>67.680000000000007</v>
      </c>
      <c r="J139">
        <v>18</v>
      </c>
      <c r="K139" t="s">
        <v>16</v>
      </c>
      <c r="L139" t="str">
        <f t="shared" si="54"/>
        <v>VALID</v>
      </c>
      <c r="M139">
        <f t="shared" si="50"/>
        <v>0.34777777777777774</v>
      </c>
      <c r="N139" t="str">
        <f t="shared" si="51"/>
        <v>Medium</v>
      </c>
      <c r="O139">
        <f t="shared" si="52"/>
        <v>35.015000000000001</v>
      </c>
      <c r="P139" t="str">
        <f t="shared" si="53"/>
        <v>Medium</v>
      </c>
    </row>
    <row r="140" spans="1:16" x14ac:dyDescent="0.25">
      <c r="A140">
        <v>800</v>
      </c>
      <c r="B140">
        <v>17.64</v>
      </c>
      <c r="C140" t="s">
        <v>21</v>
      </c>
      <c r="D140" t="s">
        <v>12</v>
      </c>
      <c r="E140" s="3">
        <v>300</v>
      </c>
      <c r="F140">
        <v>13.5</v>
      </c>
      <c r="G140">
        <v>14.19</v>
      </c>
      <c r="H140">
        <v>6.31</v>
      </c>
      <c r="I140">
        <v>35.770000000000003</v>
      </c>
      <c r="J140">
        <v>9</v>
      </c>
      <c r="K140" t="s">
        <v>16</v>
      </c>
      <c r="L140" t="str">
        <f t="shared" si="54"/>
        <v>VALID</v>
      </c>
      <c r="M140">
        <f t="shared" si="50"/>
        <v>0.70111111111111102</v>
      </c>
      <c r="N140" t="str">
        <f t="shared" si="51"/>
        <v>Low</v>
      </c>
      <c r="O140">
        <f t="shared" si="52"/>
        <v>24.98</v>
      </c>
      <c r="P140" t="str">
        <f t="shared" si="53"/>
        <v>Low</v>
      </c>
    </row>
    <row r="141" spans="1:16" hidden="1" x14ac:dyDescent="0.25">
      <c r="A141">
        <v>50</v>
      </c>
      <c r="B141">
        <v>5.21</v>
      </c>
      <c r="C141" t="s">
        <v>22</v>
      </c>
      <c r="D141" t="s">
        <v>20</v>
      </c>
      <c r="E141">
        <v>150</v>
      </c>
      <c r="F141">
        <v>74</v>
      </c>
      <c r="G141">
        <v>0.87</v>
      </c>
      <c r="H141">
        <v>5.35</v>
      </c>
      <c r="I141">
        <v>102.69</v>
      </c>
      <c r="J141">
        <v>5</v>
      </c>
      <c r="K141" t="s">
        <v>16</v>
      </c>
      <c r="L141" t="str">
        <f t="shared" si="54"/>
        <v>INVALID</v>
      </c>
    </row>
    <row r="142" spans="1:16" x14ac:dyDescent="0.25">
      <c r="A142">
        <v>800</v>
      </c>
      <c r="B142">
        <v>28.66</v>
      </c>
      <c r="C142" t="s">
        <v>21</v>
      </c>
      <c r="D142" t="s">
        <v>20</v>
      </c>
      <c r="E142" s="3">
        <v>1500</v>
      </c>
      <c r="F142">
        <v>149.69999999999999</v>
      </c>
      <c r="G142">
        <v>8.48</v>
      </c>
      <c r="H142">
        <v>7.29</v>
      </c>
      <c r="I142">
        <v>25.44</v>
      </c>
      <c r="J142">
        <v>19</v>
      </c>
      <c r="K142" t="s">
        <v>16</v>
      </c>
      <c r="L142" t="str">
        <f t="shared" si="54"/>
        <v>VALID</v>
      </c>
      <c r="M142">
        <f t="shared" ref="M142:M165" si="55">IF(J142&gt;0,H142/J142," ")</f>
        <v>0.38368421052631579</v>
      </c>
      <c r="N142" t="str">
        <f t="shared" ref="N142:N165" si="56">IF(ISNUMBER(E142),IF(E142&lt;1000,"Low",IF(E142&lt;3000,"Medium","High")),"Unknown")</f>
        <v>Medium</v>
      </c>
      <c r="O142">
        <f t="shared" ref="O142:O165" si="57">(G142+I142)/2</f>
        <v>16.96</v>
      </c>
      <c r="P142" t="str">
        <f t="shared" ref="P142:P165" si="58">IF(O142&lt;30,"Low",IF(O142&lt;60,"Medium","High"))</f>
        <v>Low</v>
      </c>
    </row>
    <row r="143" spans="1:16" x14ac:dyDescent="0.25">
      <c r="A143">
        <v>300</v>
      </c>
      <c r="B143">
        <v>10.01</v>
      </c>
      <c r="C143" t="s">
        <v>19</v>
      </c>
      <c r="D143" t="s">
        <v>15</v>
      </c>
      <c r="E143" s="3">
        <v>1500</v>
      </c>
      <c r="F143">
        <v>-4.9000000000000004</v>
      </c>
      <c r="G143">
        <v>13.56</v>
      </c>
      <c r="H143">
        <v>2.37</v>
      </c>
      <c r="I143">
        <v>23.68</v>
      </c>
      <c r="J143">
        <v>19</v>
      </c>
      <c r="K143" t="s">
        <v>13</v>
      </c>
      <c r="L143" t="str">
        <f t="shared" si="54"/>
        <v>VALID</v>
      </c>
      <c r="M143">
        <f t="shared" si="55"/>
        <v>0.12473684210526316</v>
      </c>
      <c r="N143" t="str">
        <f t="shared" si="56"/>
        <v>Medium</v>
      </c>
      <c r="O143">
        <f t="shared" si="57"/>
        <v>18.62</v>
      </c>
      <c r="P143" t="str">
        <f t="shared" si="58"/>
        <v>Low</v>
      </c>
    </row>
    <row r="144" spans="1:16" x14ac:dyDescent="0.25">
      <c r="A144">
        <v>400</v>
      </c>
      <c r="B144">
        <v>16.52</v>
      </c>
      <c r="C144" t="s">
        <v>21</v>
      </c>
      <c r="D144" t="s">
        <v>17</v>
      </c>
      <c r="E144" s="3">
        <v>2500</v>
      </c>
      <c r="F144">
        <v>12.9</v>
      </c>
      <c r="G144">
        <v>16.78</v>
      </c>
      <c r="H144">
        <v>9.5399999999999991</v>
      </c>
      <c r="I144">
        <v>57.75</v>
      </c>
      <c r="J144">
        <v>12</v>
      </c>
      <c r="K144" t="s">
        <v>16</v>
      </c>
      <c r="L144" t="str">
        <f t="shared" si="54"/>
        <v>VALID</v>
      </c>
      <c r="M144">
        <f t="shared" si="55"/>
        <v>0.79499999999999993</v>
      </c>
      <c r="N144" t="str">
        <f t="shared" si="56"/>
        <v>Medium</v>
      </c>
      <c r="O144">
        <f t="shared" si="57"/>
        <v>37.265000000000001</v>
      </c>
      <c r="P144" t="str">
        <f t="shared" si="58"/>
        <v>Medium</v>
      </c>
    </row>
    <row r="145" spans="1:16" x14ac:dyDescent="0.25">
      <c r="A145">
        <v>1500</v>
      </c>
      <c r="B145">
        <v>31.97</v>
      </c>
      <c r="C145" t="s">
        <v>11</v>
      </c>
      <c r="D145" t="s">
        <v>20</v>
      </c>
      <c r="E145" s="3">
        <v>600</v>
      </c>
      <c r="F145">
        <v>59.8</v>
      </c>
      <c r="G145">
        <v>5.15</v>
      </c>
      <c r="H145">
        <v>2.33</v>
      </c>
      <c r="I145">
        <v>7.29</v>
      </c>
      <c r="J145">
        <v>15</v>
      </c>
      <c r="K145" t="s">
        <v>13</v>
      </c>
      <c r="L145" t="str">
        <f t="shared" si="54"/>
        <v>VALID</v>
      </c>
      <c r="M145">
        <f t="shared" si="55"/>
        <v>0.15533333333333335</v>
      </c>
      <c r="N145" t="str">
        <f t="shared" si="56"/>
        <v>Low</v>
      </c>
      <c r="O145">
        <f t="shared" si="57"/>
        <v>6.2200000000000006</v>
      </c>
      <c r="P145" t="str">
        <f t="shared" si="58"/>
        <v>Low</v>
      </c>
    </row>
    <row r="146" spans="1:16" x14ac:dyDescent="0.25">
      <c r="A146">
        <v>1500</v>
      </c>
      <c r="B146">
        <v>34.61</v>
      </c>
      <c r="C146" t="s">
        <v>19</v>
      </c>
      <c r="D146" t="s">
        <v>17</v>
      </c>
      <c r="E146" s="3">
        <v>300</v>
      </c>
      <c r="F146">
        <v>61.6</v>
      </c>
      <c r="G146">
        <v>1.92</v>
      </c>
      <c r="H146">
        <v>6.26</v>
      </c>
      <c r="I146">
        <v>18.09</v>
      </c>
      <c r="J146">
        <v>19</v>
      </c>
      <c r="K146" t="s">
        <v>16</v>
      </c>
      <c r="L146" t="str">
        <f t="shared" si="54"/>
        <v>VALID</v>
      </c>
      <c r="M146">
        <f t="shared" si="55"/>
        <v>0.32947368421052631</v>
      </c>
      <c r="N146" t="str">
        <f t="shared" si="56"/>
        <v>Low</v>
      </c>
      <c r="O146">
        <f t="shared" si="57"/>
        <v>10.004999999999999</v>
      </c>
      <c r="P146" t="str">
        <f t="shared" si="58"/>
        <v>Low</v>
      </c>
    </row>
    <row r="147" spans="1:16" x14ac:dyDescent="0.25">
      <c r="A147">
        <v>1200</v>
      </c>
      <c r="B147">
        <v>20.190000000000001</v>
      </c>
      <c r="C147" t="s">
        <v>19</v>
      </c>
      <c r="D147" t="s">
        <v>18</v>
      </c>
      <c r="E147" s="3">
        <v>150</v>
      </c>
      <c r="F147">
        <v>32.6</v>
      </c>
      <c r="G147">
        <v>15.86</v>
      </c>
      <c r="H147">
        <v>8.0500000000000007</v>
      </c>
      <c r="I147">
        <v>39.869999999999997</v>
      </c>
      <c r="J147">
        <v>24</v>
      </c>
      <c r="K147" t="s">
        <v>16</v>
      </c>
      <c r="L147" t="str">
        <f t="shared" si="54"/>
        <v>VALID</v>
      </c>
      <c r="M147">
        <f t="shared" si="55"/>
        <v>0.3354166666666667</v>
      </c>
      <c r="N147" t="str">
        <f t="shared" si="56"/>
        <v>Low</v>
      </c>
      <c r="O147">
        <f t="shared" si="57"/>
        <v>27.864999999999998</v>
      </c>
      <c r="P147" t="str">
        <f t="shared" si="58"/>
        <v>Low</v>
      </c>
    </row>
    <row r="148" spans="1:16" x14ac:dyDescent="0.25">
      <c r="A148">
        <v>100</v>
      </c>
      <c r="B148">
        <v>7.71</v>
      </c>
      <c r="C148" t="s">
        <v>14</v>
      </c>
      <c r="D148" t="s">
        <v>20</v>
      </c>
      <c r="E148" s="3">
        <v>2500</v>
      </c>
      <c r="F148">
        <v>24</v>
      </c>
      <c r="G148">
        <v>16.28</v>
      </c>
      <c r="H148">
        <v>3.09</v>
      </c>
      <c r="I148">
        <v>40.08</v>
      </c>
      <c r="J148">
        <v>15</v>
      </c>
      <c r="K148" t="s">
        <v>13</v>
      </c>
      <c r="L148" t="str">
        <f t="shared" si="54"/>
        <v>VALID</v>
      </c>
      <c r="M148">
        <f t="shared" si="55"/>
        <v>0.20599999999999999</v>
      </c>
      <c r="N148" t="str">
        <f t="shared" si="56"/>
        <v>Medium</v>
      </c>
      <c r="O148">
        <f t="shared" si="57"/>
        <v>28.18</v>
      </c>
      <c r="P148" t="str">
        <f t="shared" si="58"/>
        <v>Low</v>
      </c>
    </row>
    <row r="149" spans="1:16" x14ac:dyDescent="0.25">
      <c r="A149">
        <v>400</v>
      </c>
      <c r="B149">
        <v>13.4</v>
      </c>
      <c r="C149" t="s">
        <v>11</v>
      </c>
      <c r="D149" t="s">
        <v>15</v>
      </c>
      <c r="E149" s="3">
        <v>2500</v>
      </c>
      <c r="F149">
        <v>-15.2</v>
      </c>
      <c r="G149">
        <v>18.13</v>
      </c>
      <c r="H149">
        <v>1.17</v>
      </c>
      <c r="I149">
        <v>8.73</v>
      </c>
      <c r="J149">
        <v>13</v>
      </c>
      <c r="K149" t="s">
        <v>23</v>
      </c>
      <c r="L149" t="str">
        <f t="shared" si="54"/>
        <v>VALID</v>
      </c>
      <c r="M149">
        <f t="shared" si="55"/>
        <v>0.09</v>
      </c>
      <c r="N149" t="str">
        <f t="shared" si="56"/>
        <v>Medium</v>
      </c>
      <c r="O149">
        <f t="shared" si="57"/>
        <v>13.43</v>
      </c>
      <c r="P149" t="str">
        <f t="shared" si="58"/>
        <v>Low</v>
      </c>
    </row>
    <row r="150" spans="1:16" x14ac:dyDescent="0.25">
      <c r="A150">
        <v>1500</v>
      </c>
      <c r="B150">
        <v>40.94</v>
      </c>
      <c r="C150" t="s">
        <v>22</v>
      </c>
      <c r="D150" t="s">
        <v>20</v>
      </c>
      <c r="E150" s="3">
        <v>2500</v>
      </c>
      <c r="F150">
        <v>-14.8</v>
      </c>
      <c r="G150">
        <v>18.53</v>
      </c>
      <c r="H150">
        <v>2.56</v>
      </c>
      <c r="I150">
        <v>6.25</v>
      </c>
      <c r="J150">
        <v>19</v>
      </c>
      <c r="K150" t="s">
        <v>13</v>
      </c>
      <c r="L150" t="str">
        <f t="shared" si="54"/>
        <v>VALID</v>
      </c>
      <c r="M150">
        <f t="shared" si="55"/>
        <v>0.13473684210526315</v>
      </c>
      <c r="N150" t="str">
        <f t="shared" si="56"/>
        <v>Medium</v>
      </c>
      <c r="O150">
        <f t="shared" si="57"/>
        <v>12.39</v>
      </c>
      <c r="P150" t="str">
        <f t="shared" si="58"/>
        <v>Low</v>
      </c>
    </row>
    <row r="151" spans="1:16" x14ac:dyDescent="0.25">
      <c r="A151">
        <v>250</v>
      </c>
      <c r="B151">
        <v>7.48</v>
      </c>
      <c r="C151" t="s">
        <v>22</v>
      </c>
      <c r="D151" t="s">
        <v>15</v>
      </c>
      <c r="E151" s="3">
        <v>2500</v>
      </c>
      <c r="F151">
        <v>134.30000000000001</v>
      </c>
      <c r="G151">
        <v>6.05</v>
      </c>
      <c r="H151">
        <v>0.37</v>
      </c>
      <c r="I151">
        <v>4.95</v>
      </c>
      <c r="J151">
        <v>5</v>
      </c>
      <c r="K151" t="s">
        <v>23</v>
      </c>
      <c r="L151" t="str">
        <f t="shared" si="54"/>
        <v>VALID</v>
      </c>
      <c r="M151">
        <f t="shared" si="55"/>
        <v>7.3999999999999996E-2</v>
      </c>
      <c r="N151" t="str">
        <f t="shared" si="56"/>
        <v>Medium</v>
      </c>
      <c r="O151">
        <f t="shared" si="57"/>
        <v>5.5</v>
      </c>
      <c r="P151" t="str">
        <f t="shared" si="58"/>
        <v>Low</v>
      </c>
    </row>
    <row r="152" spans="1:16" x14ac:dyDescent="0.25">
      <c r="A152">
        <v>200</v>
      </c>
      <c r="B152">
        <v>11.25</v>
      </c>
      <c r="C152" t="s">
        <v>11</v>
      </c>
      <c r="D152" t="s">
        <v>18</v>
      </c>
      <c r="E152" s="3">
        <v>600</v>
      </c>
      <c r="F152">
        <v>13.1</v>
      </c>
      <c r="G152">
        <v>2.48</v>
      </c>
      <c r="H152">
        <v>2.04</v>
      </c>
      <c r="I152">
        <v>18.13</v>
      </c>
      <c r="J152">
        <v>12</v>
      </c>
      <c r="K152" t="s">
        <v>13</v>
      </c>
      <c r="L152" t="str">
        <f t="shared" si="54"/>
        <v>VALID</v>
      </c>
      <c r="M152">
        <f t="shared" si="55"/>
        <v>0.17</v>
      </c>
      <c r="N152" t="str">
        <f t="shared" si="56"/>
        <v>Low</v>
      </c>
      <c r="O152">
        <f t="shared" si="57"/>
        <v>10.305</v>
      </c>
      <c r="P152" t="str">
        <f t="shared" si="58"/>
        <v>Low</v>
      </c>
    </row>
    <row r="153" spans="1:16" x14ac:dyDescent="0.25">
      <c r="A153">
        <v>150</v>
      </c>
      <c r="B153">
        <v>8.6</v>
      </c>
      <c r="C153" t="s">
        <v>19</v>
      </c>
      <c r="D153" t="s">
        <v>12</v>
      </c>
      <c r="E153" s="3">
        <v>600</v>
      </c>
      <c r="F153">
        <v>17.899999999999999</v>
      </c>
      <c r="G153">
        <v>8.6199999999999992</v>
      </c>
      <c r="H153">
        <v>6.66</v>
      </c>
      <c r="I153">
        <v>77.44</v>
      </c>
      <c r="J153">
        <v>25</v>
      </c>
      <c r="K153" t="s">
        <v>16</v>
      </c>
      <c r="L153" t="str">
        <f t="shared" si="54"/>
        <v>VALID</v>
      </c>
      <c r="M153">
        <f t="shared" si="55"/>
        <v>0.26640000000000003</v>
      </c>
      <c r="N153" t="str">
        <f t="shared" si="56"/>
        <v>Low</v>
      </c>
      <c r="O153">
        <f t="shared" si="57"/>
        <v>43.03</v>
      </c>
      <c r="P153" t="str">
        <f t="shared" si="58"/>
        <v>Medium</v>
      </c>
    </row>
    <row r="154" spans="1:16" x14ac:dyDescent="0.25">
      <c r="A154">
        <v>500</v>
      </c>
      <c r="B154">
        <v>14.61</v>
      </c>
      <c r="C154" t="s">
        <v>21</v>
      </c>
      <c r="D154" t="s">
        <v>18</v>
      </c>
      <c r="E154" s="3">
        <v>300</v>
      </c>
      <c r="F154">
        <v>6.6</v>
      </c>
      <c r="G154">
        <v>9.8699999999999992</v>
      </c>
      <c r="H154">
        <v>5.99</v>
      </c>
      <c r="I154">
        <v>41</v>
      </c>
      <c r="J154">
        <v>21</v>
      </c>
      <c r="K154" t="s">
        <v>16</v>
      </c>
      <c r="L154" t="str">
        <f t="shared" si="54"/>
        <v>VALID</v>
      </c>
      <c r="M154">
        <f t="shared" si="55"/>
        <v>0.28523809523809524</v>
      </c>
      <c r="N154" t="str">
        <f t="shared" si="56"/>
        <v>Low</v>
      </c>
      <c r="O154">
        <f t="shared" si="57"/>
        <v>25.434999999999999</v>
      </c>
      <c r="P154" t="str">
        <f t="shared" si="58"/>
        <v>Low</v>
      </c>
    </row>
    <row r="155" spans="1:16" x14ac:dyDescent="0.25">
      <c r="A155">
        <v>500</v>
      </c>
      <c r="B155">
        <v>13.76</v>
      </c>
      <c r="C155" t="s">
        <v>21</v>
      </c>
      <c r="D155" t="s">
        <v>12</v>
      </c>
      <c r="E155" s="3">
        <v>2500</v>
      </c>
      <c r="F155">
        <v>73.2</v>
      </c>
      <c r="G155">
        <v>18.91</v>
      </c>
      <c r="H155">
        <v>5.14</v>
      </c>
      <c r="I155">
        <v>37.35</v>
      </c>
      <c r="J155">
        <v>3</v>
      </c>
      <c r="K155" t="s">
        <v>16</v>
      </c>
      <c r="L155" t="str">
        <f t="shared" si="54"/>
        <v>VALID</v>
      </c>
      <c r="M155">
        <f t="shared" si="55"/>
        <v>1.7133333333333332</v>
      </c>
      <c r="N155" t="str">
        <f t="shared" si="56"/>
        <v>Medium</v>
      </c>
      <c r="O155">
        <f t="shared" si="57"/>
        <v>28.130000000000003</v>
      </c>
      <c r="P155" t="str">
        <f t="shared" si="58"/>
        <v>Low</v>
      </c>
    </row>
    <row r="156" spans="1:16" x14ac:dyDescent="0.25">
      <c r="A156">
        <v>250</v>
      </c>
      <c r="B156">
        <v>6.77</v>
      </c>
      <c r="C156" t="s">
        <v>11</v>
      </c>
      <c r="D156" t="s">
        <v>15</v>
      </c>
      <c r="E156" s="3">
        <v>2500</v>
      </c>
      <c r="F156">
        <v>69.099999999999994</v>
      </c>
      <c r="G156">
        <v>6.58</v>
      </c>
      <c r="H156">
        <v>1.41</v>
      </c>
      <c r="I156">
        <v>20.83</v>
      </c>
      <c r="J156">
        <v>13</v>
      </c>
      <c r="K156" t="s">
        <v>23</v>
      </c>
      <c r="L156" t="str">
        <f t="shared" si="54"/>
        <v>VALID</v>
      </c>
      <c r="M156">
        <f t="shared" si="55"/>
        <v>0.10846153846153846</v>
      </c>
      <c r="N156" t="str">
        <f t="shared" si="56"/>
        <v>Medium</v>
      </c>
      <c r="O156">
        <f t="shared" si="57"/>
        <v>13.704999999999998</v>
      </c>
      <c r="P156" t="str">
        <f t="shared" si="58"/>
        <v>Low</v>
      </c>
    </row>
    <row r="157" spans="1:16" x14ac:dyDescent="0.25">
      <c r="A157">
        <v>100</v>
      </c>
      <c r="B157">
        <v>5.12</v>
      </c>
      <c r="C157" t="s">
        <v>22</v>
      </c>
      <c r="D157" t="s">
        <v>15</v>
      </c>
      <c r="E157" s="3">
        <v>900</v>
      </c>
      <c r="F157">
        <v>53</v>
      </c>
      <c r="G157">
        <v>0.64</v>
      </c>
      <c r="H157">
        <v>1.1100000000000001</v>
      </c>
      <c r="I157">
        <v>21.68</v>
      </c>
      <c r="J157">
        <v>12</v>
      </c>
      <c r="K157" t="s">
        <v>23</v>
      </c>
      <c r="L157" t="str">
        <f t="shared" si="54"/>
        <v>VALID</v>
      </c>
      <c r="M157">
        <f t="shared" si="55"/>
        <v>9.2500000000000013E-2</v>
      </c>
      <c r="N157" t="str">
        <f t="shared" si="56"/>
        <v>Low</v>
      </c>
      <c r="O157">
        <f t="shared" si="57"/>
        <v>11.16</v>
      </c>
      <c r="P157" t="str">
        <f t="shared" si="58"/>
        <v>Low</v>
      </c>
    </row>
    <row r="158" spans="1:16" x14ac:dyDescent="0.25">
      <c r="A158">
        <v>1500</v>
      </c>
      <c r="B158">
        <v>27.3</v>
      </c>
      <c r="C158" t="s">
        <v>21</v>
      </c>
      <c r="D158" t="s">
        <v>20</v>
      </c>
      <c r="E158" s="3">
        <v>1500</v>
      </c>
      <c r="F158">
        <v>115.2</v>
      </c>
      <c r="G158">
        <v>13.79</v>
      </c>
      <c r="H158">
        <v>0.67</v>
      </c>
      <c r="I158">
        <v>2.4500000000000002</v>
      </c>
      <c r="J158">
        <v>18</v>
      </c>
      <c r="K158" t="s">
        <v>23</v>
      </c>
      <c r="L158" t="str">
        <f t="shared" si="54"/>
        <v>VALID</v>
      </c>
      <c r="M158">
        <f t="shared" si="55"/>
        <v>3.7222222222222226E-2</v>
      </c>
      <c r="N158" t="str">
        <f t="shared" si="56"/>
        <v>Medium</v>
      </c>
      <c r="O158">
        <f t="shared" si="57"/>
        <v>8.1199999999999992</v>
      </c>
      <c r="P158" t="str">
        <f t="shared" si="58"/>
        <v>Low</v>
      </c>
    </row>
    <row r="159" spans="1:16" x14ac:dyDescent="0.25">
      <c r="A159">
        <v>250</v>
      </c>
      <c r="B159">
        <v>9.59</v>
      </c>
      <c r="C159" t="s">
        <v>21</v>
      </c>
      <c r="D159" t="s">
        <v>15</v>
      </c>
      <c r="E159" s="3">
        <v>150</v>
      </c>
      <c r="F159">
        <v>18.5</v>
      </c>
      <c r="G159">
        <v>17.18</v>
      </c>
      <c r="H159">
        <v>2.35</v>
      </c>
      <c r="I159">
        <v>24.5</v>
      </c>
      <c r="J159">
        <v>6</v>
      </c>
      <c r="K159" t="s">
        <v>13</v>
      </c>
      <c r="L159" t="str">
        <f t="shared" si="54"/>
        <v>VALID</v>
      </c>
      <c r="M159">
        <f t="shared" si="55"/>
        <v>0.39166666666666666</v>
      </c>
      <c r="N159" t="str">
        <f t="shared" si="56"/>
        <v>Low</v>
      </c>
      <c r="O159">
        <f t="shared" si="57"/>
        <v>20.84</v>
      </c>
      <c r="P159" t="str">
        <f t="shared" si="58"/>
        <v>Low</v>
      </c>
    </row>
    <row r="160" spans="1:16" x14ac:dyDescent="0.25">
      <c r="A160">
        <v>100</v>
      </c>
      <c r="B160">
        <v>6.02</v>
      </c>
      <c r="C160" t="s">
        <v>14</v>
      </c>
      <c r="D160" t="s">
        <v>18</v>
      </c>
      <c r="E160" s="3">
        <v>1500</v>
      </c>
      <c r="F160">
        <v>50.7</v>
      </c>
      <c r="G160">
        <v>18.36</v>
      </c>
      <c r="H160">
        <v>2.37</v>
      </c>
      <c r="I160">
        <v>39.369999999999997</v>
      </c>
      <c r="J160">
        <v>23</v>
      </c>
      <c r="K160" t="s">
        <v>13</v>
      </c>
      <c r="L160" t="str">
        <f t="shared" si="54"/>
        <v>VALID</v>
      </c>
      <c r="M160">
        <f t="shared" si="55"/>
        <v>0.10304347826086957</v>
      </c>
      <c r="N160" t="str">
        <f t="shared" si="56"/>
        <v>Medium</v>
      </c>
      <c r="O160">
        <f t="shared" si="57"/>
        <v>28.864999999999998</v>
      </c>
      <c r="P160" t="str">
        <f t="shared" si="58"/>
        <v>Low</v>
      </c>
    </row>
    <row r="161" spans="1:16" x14ac:dyDescent="0.25">
      <c r="A161">
        <v>600</v>
      </c>
      <c r="B161">
        <v>14.75</v>
      </c>
      <c r="C161" t="s">
        <v>11</v>
      </c>
      <c r="D161" t="s">
        <v>12</v>
      </c>
      <c r="E161" s="3">
        <v>600</v>
      </c>
      <c r="F161">
        <v>2.1</v>
      </c>
      <c r="G161">
        <v>5.36</v>
      </c>
      <c r="H161">
        <v>3.17</v>
      </c>
      <c r="I161">
        <v>21.49</v>
      </c>
      <c r="J161">
        <v>11</v>
      </c>
      <c r="K161" t="s">
        <v>13</v>
      </c>
      <c r="L161" t="str">
        <f t="shared" si="54"/>
        <v>VALID</v>
      </c>
      <c r="M161">
        <f t="shared" si="55"/>
        <v>0.28818181818181815</v>
      </c>
      <c r="N161" t="str">
        <f t="shared" si="56"/>
        <v>Low</v>
      </c>
      <c r="O161">
        <f t="shared" si="57"/>
        <v>13.424999999999999</v>
      </c>
      <c r="P161" t="str">
        <f t="shared" si="58"/>
        <v>Low</v>
      </c>
    </row>
    <row r="162" spans="1:16" x14ac:dyDescent="0.25">
      <c r="A162">
        <v>500</v>
      </c>
      <c r="B162">
        <v>23.95</v>
      </c>
      <c r="C162" t="s">
        <v>19</v>
      </c>
      <c r="D162" t="s">
        <v>12</v>
      </c>
      <c r="E162" s="3">
        <v>900</v>
      </c>
      <c r="F162">
        <v>37.700000000000003</v>
      </c>
      <c r="G162">
        <v>15.5</v>
      </c>
      <c r="H162">
        <v>2.41</v>
      </c>
      <c r="I162">
        <v>10.06</v>
      </c>
      <c r="J162">
        <v>15</v>
      </c>
      <c r="K162" t="s">
        <v>13</v>
      </c>
      <c r="L162" t="str">
        <f t="shared" si="54"/>
        <v>VALID</v>
      </c>
      <c r="M162">
        <f t="shared" si="55"/>
        <v>0.16066666666666668</v>
      </c>
      <c r="N162" t="str">
        <f t="shared" si="56"/>
        <v>Low</v>
      </c>
      <c r="O162">
        <f t="shared" si="57"/>
        <v>12.780000000000001</v>
      </c>
      <c r="P162" t="str">
        <f t="shared" si="58"/>
        <v>Low</v>
      </c>
    </row>
    <row r="163" spans="1:16" x14ac:dyDescent="0.25">
      <c r="A163">
        <v>800</v>
      </c>
      <c r="B163">
        <v>23.11</v>
      </c>
      <c r="C163" t="s">
        <v>11</v>
      </c>
      <c r="D163" t="s">
        <v>12</v>
      </c>
      <c r="E163" s="3">
        <v>900</v>
      </c>
      <c r="F163">
        <v>-2.2000000000000002</v>
      </c>
      <c r="G163">
        <v>14.62</v>
      </c>
      <c r="H163">
        <v>1.73</v>
      </c>
      <c r="I163">
        <v>7.49</v>
      </c>
      <c r="J163">
        <v>25</v>
      </c>
      <c r="K163" t="s">
        <v>23</v>
      </c>
      <c r="L163" t="str">
        <f t="shared" si="54"/>
        <v>VALID</v>
      </c>
      <c r="M163">
        <f t="shared" si="55"/>
        <v>6.9199999999999998E-2</v>
      </c>
      <c r="N163" t="str">
        <f t="shared" si="56"/>
        <v>Low</v>
      </c>
      <c r="O163">
        <f t="shared" si="57"/>
        <v>11.055</v>
      </c>
      <c r="P163" t="str">
        <f t="shared" si="58"/>
        <v>Low</v>
      </c>
    </row>
    <row r="164" spans="1:16" x14ac:dyDescent="0.25">
      <c r="A164">
        <v>250</v>
      </c>
      <c r="B164">
        <v>12.68</v>
      </c>
      <c r="C164" t="s">
        <v>21</v>
      </c>
      <c r="D164" t="s">
        <v>17</v>
      </c>
      <c r="E164" s="3">
        <v>1500</v>
      </c>
      <c r="F164">
        <v>35.5</v>
      </c>
      <c r="G164">
        <v>16.899999999999999</v>
      </c>
      <c r="H164">
        <v>7.72</v>
      </c>
      <c r="I164">
        <v>60.88</v>
      </c>
      <c r="J164">
        <v>2</v>
      </c>
      <c r="K164" t="s">
        <v>16</v>
      </c>
      <c r="L164" t="str">
        <f t="shared" si="54"/>
        <v>VALID</v>
      </c>
      <c r="M164">
        <f t="shared" si="55"/>
        <v>3.86</v>
      </c>
      <c r="N164" t="str">
        <f t="shared" si="56"/>
        <v>Medium</v>
      </c>
      <c r="O164">
        <f t="shared" si="57"/>
        <v>38.89</v>
      </c>
      <c r="P164" t="str">
        <f t="shared" si="58"/>
        <v>Medium</v>
      </c>
    </row>
    <row r="165" spans="1:16" x14ac:dyDescent="0.25">
      <c r="A165">
        <v>1200</v>
      </c>
      <c r="B165">
        <v>19.16</v>
      </c>
      <c r="C165" t="s">
        <v>21</v>
      </c>
      <c r="D165" t="s">
        <v>20</v>
      </c>
      <c r="E165" s="3">
        <v>900</v>
      </c>
      <c r="F165">
        <v>74.7</v>
      </c>
      <c r="G165">
        <v>18.91</v>
      </c>
      <c r="H165">
        <v>6.59</v>
      </c>
      <c r="I165">
        <v>34.39</v>
      </c>
      <c r="J165">
        <v>2</v>
      </c>
      <c r="K165" t="s">
        <v>16</v>
      </c>
      <c r="L165" t="str">
        <f t="shared" si="54"/>
        <v>VALID</v>
      </c>
      <c r="M165">
        <f t="shared" si="55"/>
        <v>3.2949999999999999</v>
      </c>
      <c r="N165" t="str">
        <f t="shared" si="56"/>
        <v>Low</v>
      </c>
      <c r="O165">
        <f t="shared" si="57"/>
        <v>26.65</v>
      </c>
      <c r="P165" t="str">
        <f t="shared" si="58"/>
        <v>Low</v>
      </c>
    </row>
    <row r="166" spans="1:16" hidden="1" x14ac:dyDescent="0.25">
      <c r="A166">
        <v>50</v>
      </c>
      <c r="B166">
        <v>4.8600000000000003</v>
      </c>
      <c r="C166" t="s">
        <v>22</v>
      </c>
      <c r="D166" t="s">
        <v>15</v>
      </c>
      <c r="E166">
        <v>600</v>
      </c>
      <c r="F166">
        <v>3.8</v>
      </c>
      <c r="G166">
        <v>3.33</v>
      </c>
      <c r="H166">
        <v>6.67</v>
      </c>
      <c r="I166">
        <v>137.24</v>
      </c>
      <c r="J166">
        <v>24</v>
      </c>
      <c r="K166" t="s">
        <v>16</v>
      </c>
      <c r="L166" t="str">
        <f t="shared" si="54"/>
        <v>INVALID</v>
      </c>
    </row>
    <row r="167" spans="1:16" x14ac:dyDescent="0.25">
      <c r="A167">
        <v>1200</v>
      </c>
      <c r="B167">
        <v>36.869999999999997</v>
      </c>
      <c r="C167" t="s">
        <v>14</v>
      </c>
      <c r="D167" t="s">
        <v>17</v>
      </c>
      <c r="E167" s="3">
        <v>900</v>
      </c>
      <c r="F167">
        <v>-4.7</v>
      </c>
      <c r="G167">
        <v>1.58</v>
      </c>
      <c r="H167">
        <v>9.91</v>
      </c>
      <c r="I167">
        <v>26.88</v>
      </c>
      <c r="J167">
        <v>20</v>
      </c>
      <c r="K167" t="s">
        <v>16</v>
      </c>
      <c r="L167" t="str">
        <f t="shared" si="54"/>
        <v>VALID</v>
      </c>
      <c r="M167">
        <f t="shared" ref="M167:M169" si="59">IF(J167&gt;0,H167/J167," ")</f>
        <v>0.4955</v>
      </c>
      <c r="N167" t="str">
        <f t="shared" ref="N167:N169" si="60">IF(ISNUMBER(E167),IF(E167&lt;1000,"Low",IF(E167&lt;3000,"Medium","High")),"Unknown")</f>
        <v>Low</v>
      </c>
      <c r="O167">
        <f t="shared" ref="O167:O169" si="61">(G167+I167)/2</f>
        <v>14.23</v>
      </c>
      <c r="P167" t="str">
        <f t="shared" ref="P167:P169" si="62">IF(O167&lt;30,"Low",IF(O167&lt;60,"Medium","High"))</f>
        <v>Low</v>
      </c>
    </row>
    <row r="168" spans="1:16" x14ac:dyDescent="0.25">
      <c r="A168">
        <v>150</v>
      </c>
      <c r="B168">
        <v>6.53</v>
      </c>
      <c r="C168" t="s">
        <v>14</v>
      </c>
      <c r="D168" t="s">
        <v>18</v>
      </c>
      <c r="E168" s="3">
        <v>2500</v>
      </c>
      <c r="F168">
        <v>65.900000000000006</v>
      </c>
      <c r="G168">
        <v>8.49</v>
      </c>
      <c r="H168">
        <v>4.53</v>
      </c>
      <c r="I168">
        <v>69.37</v>
      </c>
      <c r="J168">
        <v>8</v>
      </c>
      <c r="K168" t="s">
        <v>13</v>
      </c>
      <c r="L168" t="str">
        <f t="shared" si="54"/>
        <v>VALID</v>
      </c>
      <c r="M168">
        <f t="shared" si="59"/>
        <v>0.56625000000000003</v>
      </c>
      <c r="N168" t="str">
        <f t="shared" si="60"/>
        <v>Medium</v>
      </c>
      <c r="O168">
        <f t="shared" si="61"/>
        <v>38.93</v>
      </c>
      <c r="P168" t="str">
        <f t="shared" si="62"/>
        <v>Medium</v>
      </c>
    </row>
    <row r="169" spans="1:16" x14ac:dyDescent="0.25">
      <c r="A169">
        <v>800</v>
      </c>
      <c r="B169">
        <v>20.03</v>
      </c>
      <c r="C169" t="s">
        <v>21</v>
      </c>
      <c r="D169" t="s">
        <v>20</v>
      </c>
      <c r="E169" s="3">
        <v>150</v>
      </c>
      <c r="F169">
        <v>127.3</v>
      </c>
      <c r="G169">
        <v>12.76</v>
      </c>
      <c r="H169">
        <v>5.29</v>
      </c>
      <c r="I169">
        <v>26.41</v>
      </c>
      <c r="J169">
        <v>16</v>
      </c>
      <c r="K169" t="s">
        <v>16</v>
      </c>
      <c r="L169" t="str">
        <f t="shared" si="54"/>
        <v>VALID</v>
      </c>
      <c r="M169">
        <f t="shared" si="59"/>
        <v>0.330625</v>
      </c>
      <c r="N169" t="str">
        <f t="shared" si="60"/>
        <v>Low</v>
      </c>
      <c r="O169">
        <f t="shared" si="61"/>
        <v>19.585000000000001</v>
      </c>
      <c r="P169" t="str">
        <f t="shared" si="62"/>
        <v>Low</v>
      </c>
    </row>
    <row r="170" spans="1:16" hidden="1" x14ac:dyDescent="0.25">
      <c r="A170">
        <v>400</v>
      </c>
      <c r="B170">
        <v>8.2200000000000006</v>
      </c>
      <c r="C170" t="s">
        <v>11</v>
      </c>
      <c r="D170" t="s">
        <v>17</v>
      </c>
      <c r="E170">
        <v>2500</v>
      </c>
      <c r="F170">
        <v>31.5</v>
      </c>
      <c r="G170">
        <v>13.61</v>
      </c>
      <c r="H170">
        <v>8.4600000000000009</v>
      </c>
      <c r="I170">
        <v>102.92</v>
      </c>
      <c r="J170">
        <v>12</v>
      </c>
      <c r="K170" t="s">
        <v>16</v>
      </c>
      <c r="L170" t="str">
        <f t="shared" si="54"/>
        <v>INVALID</v>
      </c>
    </row>
    <row r="171" spans="1:16" x14ac:dyDescent="0.25">
      <c r="A171">
        <v>1200</v>
      </c>
      <c r="B171">
        <v>27.43</v>
      </c>
      <c r="C171" t="s">
        <v>19</v>
      </c>
      <c r="D171" t="s">
        <v>18</v>
      </c>
      <c r="E171" s="3">
        <v>600</v>
      </c>
      <c r="F171">
        <v>12.7</v>
      </c>
      <c r="G171">
        <v>14.29</v>
      </c>
      <c r="H171">
        <v>1.36</v>
      </c>
      <c r="I171">
        <v>4.96</v>
      </c>
      <c r="J171">
        <v>23</v>
      </c>
      <c r="K171" t="s">
        <v>23</v>
      </c>
      <c r="L171" t="str">
        <f t="shared" si="54"/>
        <v>VALID</v>
      </c>
      <c r="M171">
        <f t="shared" ref="M171:M179" si="63">IF(J171&gt;0,H171/J171," ")</f>
        <v>5.9130434782608703E-2</v>
      </c>
      <c r="N171" t="str">
        <f t="shared" ref="N171:N179" si="64">IF(ISNUMBER(E171),IF(E171&lt;1000,"Low",IF(E171&lt;3000,"Medium","High")),"Unknown")</f>
        <v>Low</v>
      </c>
      <c r="O171">
        <f t="shared" ref="O171:O179" si="65">(G171+I171)/2</f>
        <v>9.625</v>
      </c>
      <c r="P171" t="str">
        <f t="shared" ref="P171:P179" si="66">IF(O171&lt;30,"Low",IF(O171&lt;60,"Medium","High"))</f>
        <v>Low</v>
      </c>
    </row>
    <row r="172" spans="1:16" x14ac:dyDescent="0.25">
      <c r="A172">
        <v>1200</v>
      </c>
      <c r="B172">
        <v>19.82</v>
      </c>
      <c r="C172" t="s">
        <v>22</v>
      </c>
      <c r="D172" t="s">
        <v>18</v>
      </c>
      <c r="E172" s="3">
        <v>600</v>
      </c>
      <c r="F172">
        <v>85.7</v>
      </c>
      <c r="G172">
        <v>19.05</v>
      </c>
      <c r="H172">
        <v>0.72</v>
      </c>
      <c r="I172">
        <v>3.63</v>
      </c>
      <c r="J172">
        <v>14</v>
      </c>
      <c r="K172" t="s">
        <v>23</v>
      </c>
      <c r="L172" t="str">
        <f t="shared" si="54"/>
        <v>VALID</v>
      </c>
      <c r="M172">
        <f t="shared" si="63"/>
        <v>5.1428571428571428E-2</v>
      </c>
      <c r="N172" t="str">
        <f t="shared" si="64"/>
        <v>Low</v>
      </c>
      <c r="O172">
        <f t="shared" si="65"/>
        <v>11.34</v>
      </c>
      <c r="P172" t="str">
        <f t="shared" si="66"/>
        <v>Low</v>
      </c>
    </row>
    <row r="173" spans="1:16" x14ac:dyDescent="0.25">
      <c r="A173">
        <v>600</v>
      </c>
      <c r="B173">
        <v>18.739999999999998</v>
      </c>
      <c r="C173" t="s">
        <v>11</v>
      </c>
      <c r="D173" t="s">
        <v>12</v>
      </c>
      <c r="E173" s="3">
        <v>1500</v>
      </c>
      <c r="F173">
        <v>62.7</v>
      </c>
      <c r="G173">
        <v>2.68</v>
      </c>
      <c r="H173">
        <v>6.42</v>
      </c>
      <c r="I173">
        <v>34.26</v>
      </c>
      <c r="J173">
        <v>9</v>
      </c>
      <c r="K173" t="s">
        <v>16</v>
      </c>
      <c r="L173" t="str">
        <f t="shared" si="54"/>
        <v>VALID</v>
      </c>
      <c r="M173">
        <f t="shared" si="63"/>
        <v>0.71333333333333337</v>
      </c>
      <c r="N173" t="str">
        <f t="shared" si="64"/>
        <v>Medium</v>
      </c>
      <c r="O173">
        <f t="shared" si="65"/>
        <v>18.47</v>
      </c>
      <c r="P173" t="str">
        <f t="shared" si="66"/>
        <v>Low</v>
      </c>
    </row>
    <row r="174" spans="1:16" x14ac:dyDescent="0.25">
      <c r="A174">
        <v>1000</v>
      </c>
      <c r="B174">
        <v>15.83</v>
      </c>
      <c r="C174" t="s">
        <v>11</v>
      </c>
      <c r="D174" t="s">
        <v>20</v>
      </c>
      <c r="E174" s="3">
        <v>300</v>
      </c>
      <c r="F174">
        <v>-3.4</v>
      </c>
      <c r="G174">
        <v>11.42</v>
      </c>
      <c r="H174">
        <v>7.82</v>
      </c>
      <c r="I174">
        <v>49.4</v>
      </c>
      <c r="J174">
        <v>23</v>
      </c>
      <c r="K174" t="s">
        <v>16</v>
      </c>
      <c r="L174" t="str">
        <f t="shared" si="54"/>
        <v>VALID</v>
      </c>
      <c r="M174">
        <f t="shared" si="63"/>
        <v>0.34</v>
      </c>
      <c r="N174" t="str">
        <f t="shared" si="64"/>
        <v>Low</v>
      </c>
      <c r="O174">
        <f t="shared" si="65"/>
        <v>30.41</v>
      </c>
      <c r="P174" t="str">
        <f t="shared" si="66"/>
        <v>Medium</v>
      </c>
    </row>
    <row r="175" spans="1:16" x14ac:dyDescent="0.25">
      <c r="A175">
        <v>150</v>
      </c>
      <c r="B175">
        <v>5.44</v>
      </c>
      <c r="C175" t="s">
        <v>22</v>
      </c>
      <c r="D175" t="s">
        <v>17</v>
      </c>
      <c r="E175" s="3">
        <v>1500</v>
      </c>
      <c r="F175">
        <v>108.5</v>
      </c>
      <c r="G175">
        <v>18.25</v>
      </c>
      <c r="H175">
        <v>2.04</v>
      </c>
      <c r="I175">
        <v>37.5</v>
      </c>
      <c r="J175">
        <v>18</v>
      </c>
      <c r="K175" t="s">
        <v>13</v>
      </c>
      <c r="L175" t="str">
        <f t="shared" si="54"/>
        <v>VALID</v>
      </c>
      <c r="M175">
        <f t="shared" si="63"/>
        <v>0.11333333333333334</v>
      </c>
      <c r="N175" t="str">
        <f t="shared" si="64"/>
        <v>Medium</v>
      </c>
      <c r="O175">
        <f t="shared" si="65"/>
        <v>27.875</v>
      </c>
      <c r="P175" t="str">
        <f t="shared" si="66"/>
        <v>Low</v>
      </c>
    </row>
    <row r="176" spans="1:16" x14ac:dyDescent="0.25">
      <c r="A176">
        <v>300</v>
      </c>
      <c r="B176">
        <v>15.59</v>
      </c>
      <c r="C176" t="s">
        <v>14</v>
      </c>
      <c r="D176" t="s">
        <v>15</v>
      </c>
      <c r="E176" s="3">
        <v>2500</v>
      </c>
      <c r="F176">
        <v>74.099999999999994</v>
      </c>
      <c r="G176">
        <v>1.08</v>
      </c>
      <c r="H176">
        <v>0.15</v>
      </c>
      <c r="I176">
        <v>0.96</v>
      </c>
      <c r="J176">
        <v>5</v>
      </c>
      <c r="K176" t="s">
        <v>23</v>
      </c>
      <c r="L176" t="str">
        <f t="shared" si="54"/>
        <v>VALID</v>
      </c>
      <c r="M176">
        <f t="shared" si="63"/>
        <v>0.03</v>
      </c>
      <c r="N176" t="str">
        <f t="shared" si="64"/>
        <v>Medium</v>
      </c>
      <c r="O176">
        <f t="shared" si="65"/>
        <v>1.02</v>
      </c>
      <c r="P176" t="str">
        <f t="shared" si="66"/>
        <v>Low</v>
      </c>
    </row>
    <row r="177" spans="1:16" x14ac:dyDescent="0.25">
      <c r="A177">
        <v>500</v>
      </c>
      <c r="B177">
        <v>10.26</v>
      </c>
      <c r="C177" t="s">
        <v>21</v>
      </c>
      <c r="D177" t="s">
        <v>12</v>
      </c>
      <c r="E177" s="3">
        <v>300</v>
      </c>
      <c r="F177">
        <v>18.399999999999999</v>
      </c>
      <c r="G177">
        <v>5.0199999999999996</v>
      </c>
      <c r="H177">
        <v>0.34</v>
      </c>
      <c r="I177">
        <v>3.31</v>
      </c>
      <c r="J177">
        <v>2</v>
      </c>
      <c r="K177" t="s">
        <v>23</v>
      </c>
      <c r="L177" t="str">
        <f t="shared" si="54"/>
        <v>VALID</v>
      </c>
      <c r="M177">
        <f t="shared" si="63"/>
        <v>0.17</v>
      </c>
      <c r="N177" t="str">
        <f t="shared" si="64"/>
        <v>Low</v>
      </c>
      <c r="O177">
        <f t="shared" si="65"/>
        <v>4.165</v>
      </c>
      <c r="P177" t="str">
        <f t="shared" si="66"/>
        <v>Low</v>
      </c>
    </row>
    <row r="178" spans="1:16" x14ac:dyDescent="0.25">
      <c r="A178">
        <v>800</v>
      </c>
      <c r="B178">
        <v>16.829999999999998</v>
      </c>
      <c r="C178" t="s">
        <v>22</v>
      </c>
      <c r="D178" t="s">
        <v>12</v>
      </c>
      <c r="E178" s="3">
        <v>150</v>
      </c>
      <c r="F178">
        <v>55.2</v>
      </c>
      <c r="G178">
        <v>9.75</v>
      </c>
      <c r="H178">
        <v>6.78</v>
      </c>
      <c r="I178">
        <v>40.29</v>
      </c>
      <c r="J178">
        <v>6</v>
      </c>
      <c r="K178" t="s">
        <v>16</v>
      </c>
      <c r="L178" t="str">
        <f t="shared" si="54"/>
        <v>VALID</v>
      </c>
      <c r="M178">
        <f t="shared" si="63"/>
        <v>1.1300000000000001</v>
      </c>
      <c r="N178" t="str">
        <f t="shared" si="64"/>
        <v>Low</v>
      </c>
      <c r="O178">
        <f t="shared" si="65"/>
        <v>25.02</v>
      </c>
      <c r="P178" t="str">
        <f t="shared" si="66"/>
        <v>Low</v>
      </c>
    </row>
    <row r="179" spans="1:16" x14ac:dyDescent="0.25">
      <c r="A179">
        <v>1500</v>
      </c>
      <c r="B179">
        <v>35</v>
      </c>
      <c r="C179" t="s">
        <v>11</v>
      </c>
      <c r="D179" t="s">
        <v>18</v>
      </c>
      <c r="E179" s="3">
        <v>1500</v>
      </c>
      <c r="F179">
        <v>32.299999999999997</v>
      </c>
      <c r="G179">
        <v>1.1399999999999999</v>
      </c>
      <c r="H179">
        <v>1.92</v>
      </c>
      <c r="I179">
        <v>5.49</v>
      </c>
      <c r="J179">
        <v>16</v>
      </c>
      <c r="K179" t="s">
        <v>23</v>
      </c>
      <c r="L179" t="str">
        <f t="shared" si="54"/>
        <v>VALID</v>
      </c>
      <c r="M179">
        <f t="shared" si="63"/>
        <v>0.12</v>
      </c>
      <c r="N179" t="str">
        <f t="shared" si="64"/>
        <v>Medium</v>
      </c>
      <c r="O179">
        <f t="shared" si="65"/>
        <v>3.3149999999999999</v>
      </c>
      <c r="P179" t="str">
        <f t="shared" si="66"/>
        <v>Low</v>
      </c>
    </row>
    <row r="180" spans="1:16" hidden="1" x14ac:dyDescent="0.25">
      <c r="A180">
        <v>100</v>
      </c>
      <c r="B180">
        <v>5.67</v>
      </c>
      <c r="C180" t="s">
        <v>21</v>
      </c>
      <c r="D180" t="s">
        <v>17</v>
      </c>
      <c r="E180">
        <v>300</v>
      </c>
      <c r="F180">
        <v>17.399999999999999</v>
      </c>
      <c r="G180">
        <v>15.91</v>
      </c>
      <c r="H180">
        <v>8</v>
      </c>
      <c r="I180">
        <v>141.09</v>
      </c>
      <c r="J180">
        <v>24</v>
      </c>
      <c r="K180" t="s">
        <v>16</v>
      </c>
      <c r="L180" t="str">
        <f t="shared" si="54"/>
        <v>INVALID</v>
      </c>
    </row>
    <row r="181" spans="1:16" x14ac:dyDescent="0.25">
      <c r="A181">
        <v>500</v>
      </c>
      <c r="B181">
        <v>12.23</v>
      </c>
      <c r="C181" t="s">
        <v>21</v>
      </c>
      <c r="D181" t="s">
        <v>17</v>
      </c>
      <c r="E181" s="3">
        <v>2500</v>
      </c>
      <c r="F181">
        <v>69.3</v>
      </c>
      <c r="G181">
        <v>17.329999999999998</v>
      </c>
      <c r="H181">
        <v>8.69</v>
      </c>
      <c r="I181">
        <v>71.05</v>
      </c>
      <c r="J181">
        <v>1</v>
      </c>
      <c r="K181" t="s">
        <v>16</v>
      </c>
      <c r="L181" t="str">
        <f t="shared" si="54"/>
        <v>VALID</v>
      </c>
      <c r="M181">
        <f t="shared" ref="M181:M198" si="67">IF(J181&gt;0,H181/J181," ")</f>
        <v>8.69</v>
      </c>
      <c r="N181" t="str">
        <f t="shared" ref="N181:N193" si="68">IF(ISNUMBER(E181),IF(E181&lt;1000,"Low",IF(E181&lt;3000,"Medium","High")),"Unknown")</f>
        <v>Medium</v>
      </c>
      <c r="O181">
        <f t="shared" ref="O181:O193" si="69">(G181+I181)/2</f>
        <v>44.19</v>
      </c>
      <c r="P181" t="str">
        <f t="shared" ref="P181:P193" si="70">IF(O181&lt;30,"Low",IF(O181&lt;60,"Medium","High"))</f>
        <v>Medium</v>
      </c>
    </row>
    <row r="182" spans="1:16" x14ac:dyDescent="0.25">
      <c r="A182">
        <v>150</v>
      </c>
      <c r="B182">
        <v>7.41</v>
      </c>
      <c r="C182" t="s">
        <v>21</v>
      </c>
      <c r="D182" t="s">
        <v>15</v>
      </c>
      <c r="E182" s="3">
        <v>2500</v>
      </c>
      <c r="F182">
        <v>-8.1999999999999993</v>
      </c>
      <c r="G182">
        <v>18.23</v>
      </c>
      <c r="H182">
        <v>2.15</v>
      </c>
      <c r="I182">
        <v>29.01</v>
      </c>
      <c r="J182">
        <v>16</v>
      </c>
      <c r="K182" t="s">
        <v>13</v>
      </c>
      <c r="L182" t="str">
        <f t="shared" si="54"/>
        <v>VALID</v>
      </c>
      <c r="M182">
        <f t="shared" si="67"/>
        <v>0.13437499999999999</v>
      </c>
      <c r="N182" t="str">
        <f t="shared" si="68"/>
        <v>Medium</v>
      </c>
      <c r="O182">
        <f t="shared" si="69"/>
        <v>23.62</v>
      </c>
      <c r="P182" t="str">
        <f t="shared" si="70"/>
        <v>Low</v>
      </c>
    </row>
    <row r="183" spans="1:16" x14ac:dyDescent="0.25">
      <c r="A183">
        <v>1000</v>
      </c>
      <c r="B183">
        <v>25.42</v>
      </c>
      <c r="C183" t="s">
        <v>14</v>
      </c>
      <c r="D183" t="s">
        <v>15</v>
      </c>
      <c r="E183" s="3">
        <v>150</v>
      </c>
      <c r="F183">
        <v>39.1</v>
      </c>
      <c r="G183">
        <v>6.15</v>
      </c>
      <c r="H183">
        <v>6.63</v>
      </c>
      <c r="I183">
        <v>26.08</v>
      </c>
      <c r="J183">
        <v>12</v>
      </c>
      <c r="K183" t="s">
        <v>16</v>
      </c>
      <c r="L183" t="str">
        <f t="shared" si="54"/>
        <v>VALID</v>
      </c>
      <c r="M183">
        <f t="shared" si="67"/>
        <v>0.55249999999999999</v>
      </c>
      <c r="N183" t="str">
        <f t="shared" si="68"/>
        <v>Low</v>
      </c>
      <c r="O183">
        <f t="shared" si="69"/>
        <v>16.114999999999998</v>
      </c>
      <c r="P183" t="str">
        <f t="shared" si="70"/>
        <v>Low</v>
      </c>
    </row>
    <row r="184" spans="1:16" x14ac:dyDescent="0.25">
      <c r="A184">
        <v>200</v>
      </c>
      <c r="B184">
        <v>10.46</v>
      </c>
      <c r="C184" t="s">
        <v>22</v>
      </c>
      <c r="D184" t="s">
        <v>20</v>
      </c>
      <c r="E184" s="3">
        <v>150</v>
      </c>
      <c r="F184">
        <v>-7</v>
      </c>
      <c r="G184">
        <v>19.899999999999999</v>
      </c>
      <c r="H184">
        <v>8.3000000000000007</v>
      </c>
      <c r="I184">
        <v>79.349999999999994</v>
      </c>
      <c r="J184">
        <v>10</v>
      </c>
      <c r="K184" t="s">
        <v>16</v>
      </c>
      <c r="L184" t="str">
        <f t="shared" si="54"/>
        <v>VALID</v>
      </c>
      <c r="M184">
        <f t="shared" si="67"/>
        <v>0.83000000000000007</v>
      </c>
      <c r="N184" t="str">
        <f t="shared" si="68"/>
        <v>Low</v>
      </c>
      <c r="O184">
        <f t="shared" si="69"/>
        <v>49.625</v>
      </c>
      <c r="P184" t="str">
        <f t="shared" si="70"/>
        <v>Medium</v>
      </c>
    </row>
    <row r="185" spans="1:16" x14ac:dyDescent="0.25">
      <c r="A185">
        <v>600</v>
      </c>
      <c r="B185">
        <v>16.190000000000001</v>
      </c>
      <c r="C185" t="s">
        <v>11</v>
      </c>
      <c r="D185" t="s">
        <v>12</v>
      </c>
      <c r="E185" s="3">
        <v>600</v>
      </c>
      <c r="F185">
        <v>12.1</v>
      </c>
      <c r="G185">
        <v>15.73</v>
      </c>
      <c r="H185">
        <v>8.8000000000000007</v>
      </c>
      <c r="I185">
        <v>54.35</v>
      </c>
      <c r="J185">
        <v>25</v>
      </c>
      <c r="K185" t="s">
        <v>16</v>
      </c>
      <c r="L185" t="str">
        <f t="shared" si="54"/>
        <v>VALID</v>
      </c>
      <c r="M185">
        <f t="shared" si="67"/>
        <v>0.35200000000000004</v>
      </c>
      <c r="N185" t="str">
        <f t="shared" si="68"/>
        <v>Low</v>
      </c>
      <c r="O185">
        <f t="shared" si="69"/>
        <v>35.04</v>
      </c>
      <c r="P185" t="str">
        <f t="shared" si="70"/>
        <v>Medium</v>
      </c>
    </row>
    <row r="186" spans="1:16" x14ac:dyDescent="0.25">
      <c r="A186">
        <v>100</v>
      </c>
      <c r="B186">
        <v>5.39</v>
      </c>
      <c r="C186" t="s">
        <v>19</v>
      </c>
      <c r="D186" t="s">
        <v>12</v>
      </c>
      <c r="E186" s="3">
        <v>900</v>
      </c>
      <c r="F186">
        <v>44.7</v>
      </c>
      <c r="G186">
        <v>7.35</v>
      </c>
      <c r="H186">
        <v>0.21</v>
      </c>
      <c r="I186">
        <v>3.9</v>
      </c>
      <c r="J186">
        <v>8</v>
      </c>
      <c r="K186" t="s">
        <v>23</v>
      </c>
      <c r="L186" t="str">
        <f t="shared" si="54"/>
        <v>VALID</v>
      </c>
      <c r="M186">
        <f t="shared" si="67"/>
        <v>2.6249999999999999E-2</v>
      </c>
      <c r="N186" t="str">
        <f t="shared" si="68"/>
        <v>Low</v>
      </c>
      <c r="O186">
        <f t="shared" si="69"/>
        <v>5.625</v>
      </c>
      <c r="P186" t="str">
        <f t="shared" si="70"/>
        <v>Low</v>
      </c>
    </row>
    <row r="187" spans="1:16" x14ac:dyDescent="0.25">
      <c r="A187">
        <v>1200</v>
      </c>
      <c r="B187">
        <v>34.549999999999997</v>
      </c>
      <c r="C187" t="s">
        <v>22</v>
      </c>
      <c r="D187" t="s">
        <v>20</v>
      </c>
      <c r="E187" s="3">
        <v>600</v>
      </c>
      <c r="F187">
        <v>105.6</v>
      </c>
      <c r="G187">
        <v>8.83</v>
      </c>
      <c r="H187">
        <v>3.41</v>
      </c>
      <c r="I187">
        <v>9.8699999999999992</v>
      </c>
      <c r="J187">
        <v>2</v>
      </c>
      <c r="K187" t="s">
        <v>13</v>
      </c>
      <c r="L187" t="str">
        <f t="shared" si="54"/>
        <v>VALID</v>
      </c>
      <c r="M187">
        <f t="shared" si="67"/>
        <v>1.7050000000000001</v>
      </c>
      <c r="N187" t="str">
        <f t="shared" si="68"/>
        <v>Low</v>
      </c>
      <c r="O187">
        <f t="shared" si="69"/>
        <v>9.35</v>
      </c>
      <c r="P187" t="str">
        <f t="shared" si="70"/>
        <v>Low</v>
      </c>
    </row>
    <row r="188" spans="1:16" x14ac:dyDescent="0.25">
      <c r="A188">
        <v>400</v>
      </c>
      <c r="B188">
        <v>12.07</v>
      </c>
      <c r="C188" t="s">
        <v>14</v>
      </c>
      <c r="D188" t="s">
        <v>20</v>
      </c>
      <c r="E188" s="3">
        <v>300</v>
      </c>
      <c r="F188">
        <v>78</v>
      </c>
      <c r="G188">
        <v>9.2799999999999994</v>
      </c>
      <c r="H188">
        <v>9.52</v>
      </c>
      <c r="I188">
        <v>78.87</v>
      </c>
      <c r="J188">
        <v>2</v>
      </c>
      <c r="K188" t="s">
        <v>16</v>
      </c>
      <c r="L188" t="str">
        <f t="shared" si="54"/>
        <v>VALID</v>
      </c>
      <c r="M188">
        <f t="shared" si="67"/>
        <v>4.76</v>
      </c>
      <c r="N188" t="str">
        <f t="shared" si="68"/>
        <v>Low</v>
      </c>
      <c r="O188">
        <f t="shared" si="69"/>
        <v>44.075000000000003</v>
      </c>
      <c r="P188" t="str">
        <f t="shared" si="70"/>
        <v>Medium</v>
      </c>
    </row>
    <row r="189" spans="1:16" x14ac:dyDescent="0.25">
      <c r="A189">
        <v>600</v>
      </c>
      <c r="B189">
        <v>13.15</v>
      </c>
      <c r="C189" t="s">
        <v>14</v>
      </c>
      <c r="D189" t="s">
        <v>18</v>
      </c>
      <c r="E189" s="3">
        <v>900</v>
      </c>
      <c r="F189">
        <v>8.1</v>
      </c>
      <c r="G189">
        <v>0.88</v>
      </c>
      <c r="H189">
        <v>4.6399999999999997</v>
      </c>
      <c r="I189">
        <v>35.29</v>
      </c>
      <c r="J189">
        <v>16</v>
      </c>
      <c r="K189" t="s">
        <v>13</v>
      </c>
      <c r="L189" t="str">
        <f t="shared" si="54"/>
        <v>VALID</v>
      </c>
      <c r="M189">
        <f t="shared" si="67"/>
        <v>0.28999999999999998</v>
      </c>
      <c r="N189" t="str">
        <f t="shared" si="68"/>
        <v>Low</v>
      </c>
      <c r="O189">
        <f t="shared" si="69"/>
        <v>18.085000000000001</v>
      </c>
      <c r="P189" t="str">
        <f t="shared" si="70"/>
        <v>Low</v>
      </c>
    </row>
    <row r="190" spans="1:16" x14ac:dyDescent="0.25">
      <c r="A190">
        <v>300</v>
      </c>
      <c r="B190">
        <v>10.17</v>
      </c>
      <c r="C190" t="s">
        <v>22</v>
      </c>
      <c r="D190" t="s">
        <v>18</v>
      </c>
      <c r="E190" s="3">
        <v>300</v>
      </c>
      <c r="F190">
        <v>85.2</v>
      </c>
      <c r="G190">
        <v>7.37</v>
      </c>
      <c r="H190">
        <v>0.9</v>
      </c>
      <c r="I190">
        <v>8.85</v>
      </c>
      <c r="J190">
        <v>23</v>
      </c>
      <c r="K190" t="s">
        <v>23</v>
      </c>
      <c r="L190" t="str">
        <f t="shared" si="54"/>
        <v>VALID</v>
      </c>
      <c r="M190">
        <f>IF(J190&gt;0,H190/J190," ")</f>
        <v>3.9130434782608699E-2</v>
      </c>
      <c r="N190" t="str">
        <f t="shared" si="68"/>
        <v>Low</v>
      </c>
      <c r="O190">
        <f t="shared" si="69"/>
        <v>8.11</v>
      </c>
      <c r="P190" t="str">
        <f t="shared" si="70"/>
        <v>Low</v>
      </c>
    </row>
    <row r="191" spans="1:16" x14ac:dyDescent="0.25">
      <c r="A191">
        <v>600</v>
      </c>
      <c r="B191">
        <v>14.68</v>
      </c>
      <c r="C191" t="s">
        <v>19</v>
      </c>
      <c r="D191" t="s">
        <v>20</v>
      </c>
      <c r="E191" s="3">
        <v>300</v>
      </c>
      <c r="F191">
        <v>65.099999999999994</v>
      </c>
      <c r="G191">
        <v>16.73</v>
      </c>
      <c r="H191">
        <v>0.85</v>
      </c>
      <c r="I191">
        <v>5.79</v>
      </c>
      <c r="J191">
        <v>25</v>
      </c>
      <c r="K191" t="s">
        <v>23</v>
      </c>
      <c r="L191" t="str">
        <f t="shared" si="54"/>
        <v>VALID</v>
      </c>
      <c r="M191">
        <f t="shared" si="67"/>
        <v>3.4000000000000002E-2</v>
      </c>
      <c r="N191" t="str">
        <f t="shared" si="68"/>
        <v>Low</v>
      </c>
      <c r="O191">
        <f t="shared" si="69"/>
        <v>11.26</v>
      </c>
      <c r="P191" t="str">
        <f t="shared" si="70"/>
        <v>Low</v>
      </c>
    </row>
    <row r="192" spans="1:16" x14ac:dyDescent="0.25">
      <c r="A192">
        <v>250</v>
      </c>
      <c r="B192">
        <v>9.4</v>
      </c>
      <c r="C192" t="s">
        <v>21</v>
      </c>
      <c r="D192" t="s">
        <v>15</v>
      </c>
      <c r="E192" s="3">
        <v>2500</v>
      </c>
      <c r="F192">
        <v>49.4</v>
      </c>
      <c r="G192">
        <v>7.59</v>
      </c>
      <c r="H192">
        <v>7.76</v>
      </c>
      <c r="I192">
        <v>82.55</v>
      </c>
      <c r="J192">
        <v>14</v>
      </c>
      <c r="K192" t="s">
        <v>16</v>
      </c>
      <c r="L192" t="str">
        <f t="shared" si="54"/>
        <v>VALID</v>
      </c>
      <c r="M192">
        <f t="shared" si="67"/>
        <v>0.55428571428571427</v>
      </c>
      <c r="N192" t="str">
        <f t="shared" si="68"/>
        <v>Medium</v>
      </c>
      <c r="O192">
        <f t="shared" si="69"/>
        <v>45.07</v>
      </c>
      <c r="P192" t="str">
        <f t="shared" si="70"/>
        <v>Medium</v>
      </c>
    </row>
    <row r="193" spans="1:16" x14ac:dyDescent="0.25">
      <c r="A193">
        <v>300</v>
      </c>
      <c r="B193">
        <v>9.4499999999999993</v>
      </c>
      <c r="C193" t="s">
        <v>19</v>
      </c>
      <c r="D193" t="s">
        <v>18</v>
      </c>
      <c r="E193" s="3">
        <v>2500</v>
      </c>
      <c r="F193">
        <v>35.6</v>
      </c>
      <c r="G193">
        <v>12.61</v>
      </c>
      <c r="H193">
        <v>5.43</v>
      </c>
      <c r="I193">
        <v>57.46</v>
      </c>
      <c r="J193">
        <v>3</v>
      </c>
      <c r="K193" t="s">
        <v>16</v>
      </c>
      <c r="L193" t="str">
        <f t="shared" si="54"/>
        <v>VALID</v>
      </c>
      <c r="M193">
        <f t="shared" si="67"/>
        <v>1.8099999999999998</v>
      </c>
      <c r="N193" t="str">
        <f t="shared" si="68"/>
        <v>Medium</v>
      </c>
      <c r="O193">
        <f t="shared" si="69"/>
        <v>35.034999999999997</v>
      </c>
      <c r="P193" t="str">
        <f t="shared" si="70"/>
        <v>Medium</v>
      </c>
    </row>
    <row r="194" spans="1:16" hidden="1" x14ac:dyDescent="0.25">
      <c r="A194">
        <v>50</v>
      </c>
      <c r="B194">
        <v>5.22</v>
      </c>
      <c r="C194" t="s">
        <v>14</v>
      </c>
      <c r="D194" t="s">
        <v>15</v>
      </c>
      <c r="E194">
        <v>900</v>
      </c>
      <c r="F194">
        <v>110.5</v>
      </c>
      <c r="G194">
        <v>18.510000000000002</v>
      </c>
      <c r="H194">
        <v>7.59</v>
      </c>
      <c r="I194">
        <v>145.4</v>
      </c>
      <c r="J194">
        <v>10</v>
      </c>
      <c r="K194" t="s">
        <v>16</v>
      </c>
      <c r="L194" t="str">
        <f t="shared" si="54"/>
        <v>INVALID</v>
      </c>
    </row>
    <row r="195" spans="1:16" x14ac:dyDescent="0.25">
      <c r="A195">
        <v>300</v>
      </c>
      <c r="B195">
        <v>10.52</v>
      </c>
      <c r="C195" t="s">
        <v>21</v>
      </c>
      <c r="D195" t="s">
        <v>15</v>
      </c>
      <c r="E195" s="3">
        <v>1500</v>
      </c>
      <c r="F195">
        <v>99.2</v>
      </c>
      <c r="G195">
        <v>19.04</v>
      </c>
      <c r="H195">
        <v>3.39</v>
      </c>
      <c r="I195">
        <v>32.22</v>
      </c>
      <c r="J195">
        <v>19</v>
      </c>
      <c r="K195" t="s">
        <v>13</v>
      </c>
      <c r="L195" t="str">
        <f t="shared" ref="L195:L258" si="71">IF(H195&gt;B195,"INVALID","VALID")</f>
        <v>VALID</v>
      </c>
      <c r="M195">
        <f t="shared" si="67"/>
        <v>0.17842105263157895</v>
      </c>
      <c r="N195" t="str">
        <f t="shared" ref="N195:N198" si="72">IF(ISNUMBER(E195),IF(E195&lt;1000,"Low",IF(E195&lt;3000,"Medium","High")),"Unknown")</f>
        <v>Medium</v>
      </c>
      <c r="O195">
        <f t="shared" ref="O195:O198" si="73">(G195+I195)/2</f>
        <v>25.63</v>
      </c>
      <c r="P195" t="str">
        <f t="shared" ref="P195:P198" si="74">IF(O195&lt;30,"Low",IF(O195&lt;60,"Medium","High"))</f>
        <v>Low</v>
      </c>
    </row>
    <row r="196" spans="1:16" x14ac:dyDescent="0.25">
      <c r="A196">
        <v>200</v>
      </c>
      <c r="B196">
        <v>7.81</v>
      </c>
      <c r="C196" t="s">
        <v>21</v>
      </c>
      <c r="D196" t="s">
        <v>17</v>
      </c>
      <c r="E196" s="3">
        <v>150</v>
      </c>
      <c r="F196">
        <v>12.2</v>
      </c>
      <c r="G196">
        <v>4.41</v>
      </c>
      <c r="H196">
        <v>0.35</v>
      </c>
      <c r="I196">
        <v>4.4800000000000004</v>
      </c>
      <c r="J196">
        <v>12</v>
      </c>
      <c r="K196" t="s">
        <v>23</v>
      </c>
      <c r="L196" t="str">
        <f t="shared" si="71"/>
        <v>VALID</v>
      </c>
      <c r="M196">
        <f t="shared" si="67"/>
        <v>2.9166666666666664E-2</v>
      </c>
      <c r="N196" t="str">
        <f t="shared" si="72"/>
        <v>Low</v>
      </c>
      <c r="O196">
        <f t="shared" si="73"/>
        <v>4.4450000000000003</v>
      </c>
      <c r="P196" t="str">
        <f t="shared" si="74"/>
        <v>Low</v>
      </c>
    </row>
    <row r="197" spans="1:16" x14ac:dyDescent="0.25">
      <c r="A197">
        <v>1200</v>
      </c>
      <c r="B197">
        <v>35.28</v>
      </c>
      <c r="C197" t="s">
        <v>21</v>
      </c>
      <c r="D197" t="s">
        <v>20</v>
      </c>
      <c r="E197" s="3">
        <v>900</v>
      </c>
      <c r="F197">
        <v>75.8</v>
      </c>
      <c r="G197">
        <v>0.43</v>
      </c>
      <c r="H197">
        <v>0.43</v>
      </c>
      <c r="I197">
        <v>1.22</v>
      </c>
      <c r="J197">
        <v>5</v>
      </c>
      <c r="K197" t="s">
        <v>23</v>
      </c>
      <c r="L197" t="str">
        <f t="shared" si="71"/>
        <v>VALID</v>
      </c>
      <c r="M197">
        <f t="shared" si="67"/>
        <v>8.5999999999999993E-2</v>
      </c>
      <c r="N197" t="str">
        <f t="shared" si="72"/>
        <v>Low</v>
      </c>
      <c r="O197">
        <f t="shared" si="73"/>
        <v>0.82499999999999996</v>
      </c>
      <c r="P197" t="str">
        <f t="shared" si="74"/>
        <v>Low</v>
      </c>
    </row>
    <row r="198" spans="1:16" x14ac:dyDescent="0.25">
      <c r="A198">
        <v>250</v>
      </c>
      <c r="B198">
        <v>8.8800000000000008</v>
      </c>
      <c r="C198" t="s">
        <v>14</v>
      </c>
      <c r="D198" t="s">
        <v>18</v>
      </c>
      <c r="E198" s="3">
        <v>600</v>
      </c>
      <c r="F198">
        <v>51.3</v>
      </c>
      <c r="G198">
        <v>8.2899999999999991</v>
      </c>
      <c r="H198">
        <v>0.51</v>
      </c>
      <c r="I198">
        <v>5.74</v>
      </c>
      <c r="J198">
        <v>14</v>
      </c>
      <c r="K198" t="s">
        <v>23</v>
      </c>
      <c r="L198" t="str">
        <f t="shared" si="71"/>
        <v>VALID</v>
      </c>
      <c r="M198">
        <f t="shared" si="67"/>
        <v>3.6428571428571428E-2</v>
      </c>
      <c r="N198" t="str">
        <f t="shared" si="72"/>
        <v>Low</v>
      </c>
      <c r="O198">
        <f t="shared" si="73"/>
        <v>7.0149999999999997</v>
      </c>
      <c r="P198" t="str">
        <f t="shared" si="74"/>
        <v>Low</v>
      </c>
    </row>
    <row r="199" spans="1:16" hidden="1" x14ac:dyDescent="0.25">
      <c r="A199">
        <v>50</v>
      </c>
      <c r="B199">
        <v>4.4800000000000004</v>
      </c>
      <c r="C199" t="s">
        <v>21</v>
      </c>
      <c r="D199" t="s">
        <v>18</v>
      </c>
      <c r="E199">
        <v>2500</v>
      </c>
      <c r="F199">
        <v>7.1</v>
      </c>
      <c r="G199">
        <v>16.350000000000001</v>
      </c>
      <c r="H199">
        <v>4.5599999999999996</v>
      </c>
      <c r="I199">
        <v>101.79</v>
      </c>
      <c r="J199">
        <v>16</v>
      </c>
      <c r="K199" t="s">
        <v>13</v>
      </c>
      <c r="L199" t="str">
        <f t="shared" si="71"/>
        <v>INVALID</v>
      </c>
    </row>
    <row r="200" spans="1:16" hidden="1" x14ac:dyDescent="0.25">
      <c r="A200">
        <v>100</v>
      </c>
      <c r="B200">
        <v>6.06</v>
      </c>
      <c r="C200" t="s">
        <v>14</v>
      </c>
      <c r="D200" t="s">
        <v>18</v>
      </c>
      <c r="E200">
        <v>2500</v>
      </c>
      <c r="F200">
        <v>127.7</v>
      </c>
      <c r="G200">
        <v>2.4</v>
      </c>
      <c r="H200">
        <v>8.9600000000000009</v>
      </c>
      <c r="I200">
        <v>147.85</v>
      </c>
      <c r="J200">
        <v>22</v>
      </c>
      <c r="K200" t="s">
        <v>16</v>
      </c>
      <c r="L200" t="str">
        <f t="shared" si="71"/>
        <v>INVALID</v>
      </c>
    </row>
    <row r="201" spans="1:16" hidden="1" x14ac:dyDescent="0.25">
      <c r="A201">
        <v>100</v>
      </c>
      <c r="B201">
        <v>7.34</v>
      </c>
      <c r="C201" t="s">
        <v>14</v>
      </c>
      <c r="D201" t="s">
        <v>18</v>
      </c>
      <c r="E201">
        <v>600</v>
      </c>
      <c r="F201">
        <v>19.2</v>
      </c>
      <c r="G201">
        <v>5.91</v>
      </c>
      <c r="H201">
        <v>7.41</v>
      </c>
      <c r="I201">
        <v>100.95</v>
      </c>
      <c r="J201">
        <v>23</v>
      </c>
      <c r="K201" t="s">
        <v>16</v>
      </c>
      <c r="L201" t="str">
        <f t="shared" si="71"/>
        <v>INVALID</v>
      </c>
    </row>
    <row r="202" spans="1:16" x14ac:dyDescent="0.25">
      <c r="A202">
        <v>250</v>
      </c>
      <c r="B202">
        <v>12.12</v>
      </c>
      <c r="C202" t="s">
        <v>14</v>
      </c>
      <c r="D202" t="s">
        <v>20</v>
      </c>
      <c r="E202" s="3">
        <v>2500</v>
      </c>
      <c r="F202">
        <v>60.7</v>
      </c>
      <c r="G202">
        <v>6.85</v>
      </c>
      <c r="H202">
        <v>5.47</v>
      </c>
      <c r="I202">
        <v>45.13</v>
      </c>
      <c r="J202">
        <v>23</v>
      </c>
      <c r="K202" t="s">
        <v>16</v>
      </c>
      <c r="L202" t="str">
        <f t="shared" si="71"/>
        <v>VALID</v>
      </c>
      <c r="M202">
        <f t="shared" ref="M202:M206" si="75">IF(J202&gt;0,H202/J202," ")</f>
        <v>0.23782608695652172</v>
      </c>
      <c r="N202" t="str">
        <f t="shared" ref="N202:N206" si="76">IF(ISNUMBER(E202),IF(E202&lt;1000,"Low",IF(E202&lt;3000,"Medium","High")),"Unknown")</f>
        <v>Medium</v>
      </c>
      <c r="O202">
        <f t="shared" ref="O202:O206" si="77">(G202+I202)/2</f>
        <v>25.990000000000002</v>
      </c>
      <c r="P202" t="str">
        <f t="shared" ref="P202:P206" si="78">IF(O202&lt;30,"Low",IF(O202&lt;60,"Medium","High"))</f>
        <v>Low</v>
      </c>
    </row>
    <row r="203" spans="1:16" x14ac:dyDescent="0.25">
      <c r="A203">
        <v>1000</v>
      </c>
      <c r="B203">
        <v>25.02</v>
      </c>
      <c r="C203" t="s">
        <v>14</v>
      </c>
      <c r="D203" t="s">
        <v>17</v>
      </c>
      <c r="E203" s="3">
        <v>900</v>
      </c>
      <c r="F203">
        <v>16</v>
      </c>
      <c r="G203">
        <v>15.69</v>
      </c>
      <c r="H203">
        <v>5.17</v>
      </c>
      <c r="I203">
        <v>20.66</v>
      </c>
      <c r="J203">
        <v>1</v>
      </c>
      <c r="K203" t="s">
        <v>16</v>
      </c>
      <c r="L203" t="str">
        <f t="shared" si="71"/>
        <v>VALID</v>
      </c>
      <c r="M203">
        <f t="shared" si="75"/>
        <v>5.17</v>
      </c>
      <c r="N203" t="str">
        <f t="shared" si="76"/>
        <v>Low</v>
      </c>
      <c r="O203">
        <f t="shared" si="77"/>
        <v>18.175000000000001</v>
      </c>
      <c r="P203" t="str">
        <f t="shared" si="78"/>
        <v>Low</v>
      </c>
    </row>
    <row r="204" spans="1:16" x14ac:dyDescent="0.25">
      <c r="A204">
        <v>250</v>
      </c>
      <c r="B204">
        <v>14.96</v>
      </c>
      <c r="C204" t="s">
        <v>14</v>
      </c>
      <c r="D204" t="s">
        <v>18</v>
      </c>
      <c r="E204" s="3">
        <v>2500</v>
      </c>
      <c r="F204">
        <v>129.19999999999999</v>
      </c>
      <c r="G204">
        <v>9.5299999999999994</v>
      </c>
      <c r="H204">
        <v>9</v>
      </c>
      <c r="I204">
        <v>60.16</v>
      </c>
      <c r="J204">
        <v>9</v>
      </c>
      <c r="K204" t="s">
        <v>16</v>
      </c>
      <c r="L204" t="str">
        <f t="shared" si="71"/>
        <v>VALID</v>
      </c>
      <c r="M204">
        <f t="shared" si="75"/>
        <v>1</v>
      </c>
      <c r="N204" t="str">
        <f t="shared" si="76"/>
        <v>Medium</v>
      </c>
      <c r="O204">
        <f t="shared" si="77"/>
        <v>34.844999999999999</v>
      </c>
      <c r="P204" t="str">
        <f t="shared" si="78"/>
        <v>Medium</v>
      </c>
    </row>
    <row r="205" spans="1:16" x14ac:dyDescent="0.25">
      <c r="A205">
        <v>1500</v>
      </c>
      <c r="B205">
        <v>30.96</v>
      </c>
      <c r="C205" t="s">
        <v>14</v>
      </c>
      <c r="D205" t="s">
        <v>15</v>
      </c>
      <c r="E205" s="3">
        <v>150</v>
      </c>
      <c r="F205">
        <v>-37.1</v>
      </c>
      <c r="G205">
        <v>17.86</v>
      </c>
      <c r="H205">
        <v>9.2100000000000009</v>
      </c>
      <c r="I205">
        <v>29.75</v>
      </c>
      <c r="J205">
        <v>8</v>
      </c>
      <c r="K205" t="s">
        <v>16</v>
      </c>
      <c r="L205" t="str">
        <f t="shared" si="71"/>
        <v>VALID</v>
      </c>
      <c r="M205">
        <f t="shared" si="75"/>
        <v>1.1512500000000001</v>
      </c>
      <c r="N205" t="str">
        <f t="shared" si="76"/>
        <v>Low</v>
      </c>
      <c r="O205">
        <f t="shared" si="77"/>
        <v>23.805</v>
      </c>
      <c r="P205" t="str">
        <f t="shared" si="78"/>
        <v>Low</v>
      </c>
    </row>
    <row r="206" spans="1:16" x14ac:dyDescent="0.25">
      <c r="A206">
        <v>250</v>
      </c>
      <c r="B206">
        <v>14.22</v>
      </c>
      <c r="C206" t="s">
        <v>14</v>
      </c>
      <c r="D206" t="s">
        <v>15</v>
      </c>
      <c r="E206" s="3">
        <v>300</v>
      </c>
      <c r="F206">
        <v>40.6</v>
      </c>
      <c r="G206">
        <v>18.47</v>
      </c>
      <c r="H206">
        <v>8.16</v>
      </c>
      <c r="I206">
        <v>57.38</v>
      </c>
      <c r="J206">
        <v>21</v>
      </c>
      <c r="K206" t="s">
        <v>16</v>
      </c>
      <c r="L206" t="str">
        <f t="shared" si="71"/>
        <v>VALID</v>
      </c>
      <c r="M206">
        <f t="shared" si="75"/>
        <v>0.38857142857142857</v>
      </c>
      <c r="N206" t="str">
        <f t="shared" si="76"/>
        <v>Low</v>
      </c>
      <c r="O206">
        <f t="shared" si="77"/>
        <v>37.924999999999997</v>
      </c>
      <c r="P206" t="str">
        <f t="shared" si="78"/>
        <v>Medium</v>
      </c>
    </row>
    <row r="207" spans="1:16" hidden="1" x14ac:dyDescent="0.25">
      <c r="A207">
        <v>100</v>
      </c>
      <c r="B207">
        <v>6.95</v>
      </c>
      <c r="C207" t="s">
        <v>21</v>
      </c>
      <c r="D207" t="s">
        <v>17</v>
      </c>
      <c r="E207">
        <v>2500</v>
      </c>
      <c r="F207">
        <v>88.3</v>
      </c>
      <c r="G207">
        <v>13.98</v>
      </c>
      <c r="H207">
        <v>9.08</v>
      </c>
      <c r="I207">
        <v>130.65</v>
      </c>
      <c r="J207">
        <v>25</v>
      </c>
      <c r="K207" t="s">
        <v>16</v>
      </c>
      <c r="L207" t="str">
        <f t="shared" si="71"/>
        <v>INVALID</v>
      </c>
    </row>
    <row r="208" spans="1:16" x14ac:dyDescent="0.25">
      <c r="A208">
        <v>150</v>
      </c>
      <c r="B208">
        <v>6.91</v>
      </c>
      <c r="C208" t="s">
        <v>19</v>
      </c>
      <c r="D208" t="s">
        <v>17</v>
      </c>
      <c r="E208" s="3">
        <v>600</v>
      </c>
      <c r="F208">
        <v>0.5</v>
      </c>
      <c r="G208">
        <v>16.27</v>
      </c>
      <c r="H208">
        <v>6.74</v>
      </c>
      <c r="I208">
        <v>97.54</v>
      </c>
      <c r="J208">
        <v>22</v>
      </c>
      <c r="K208" t="s">
        <v>16</v>
      </c>
      <c r="L208" t="str">
        <f t="shared" si="71"/>
        <v>VALID</v>
      </c>
      <c r="M208">
        <f t="shared" ref="M208:M213" si="79">IF(J208&gt;0,H208/J208," ")</f>
        <v>0.30636363636363639</v>
      </c>
      <c r="N208" t="str">
        <f t="shared" ref="N208:N213" si="80">IF(ISNUMBER(E208),IF(E208&lt;1000,"Low",IF(E208&lt;3000,"Medium","High")),"Unknown")</f>
        <v>Low</v>
      </c>
      <c r="O208">
        <f t="shared" ref="O208:O213" si="81">(G208+I208)/2</f>
        <v>56.905000000000001</v>
      </c>
      <c r="P208" t="str">
        <f t="shared" ref="P208:P213" si="82">IF(O208&lt;30,"Low",IF(O208&lt;60,"Medium","High"))</f>
        <v>Medium</v>
      </c>
    </row>
    <row r="209" spans="1:16" x14ac:dyDescent="0.25">
      <c r="A209">
        <v>300</v>
      </c>
      <c r="B209">
        <v>13.13</v>
      </c>
      <c r="C209" t="s">
        <v>22</v>
      </c>
      <c r="D209" t="s">
        <v>15</v>
      </c>
      <c r="E209" s="3">
        <v>150</v>
      </c>
      <c r="F209">
        <v>-18.5</v>
      </c>
      <c r="G209">
        <v>12.74</v>
      </c>
      <c r="H209">
        <v>2.12</v>
      </c>
      <c r="I209">
        <v>16.149999999999999</v>
      </c>
      <c r="J209">
        <v>19</v>
      </c>
      <c r="K209" t="s">
        <v>13</v>
      </c>
      <c r="L209" t="str">
        <f t="shared" si="71"/>
        <v>VALID</v>
      </c>
      <c r="M209">
        <f t="shared" si="79"/>
        <v>0.11157894736842106</v>
      </c>
      <c r="N209" t="str">
        <f t="shared" si="80"/>
        <v>Low</v>
      </c>
      <c r="O209">
        <f t="shared" si="81"/>
        <v>14.445</v>
      </c>
      <c r="P209" t="str">
        <f t="shared" si="82"/>
        <v>Low</v>
      </c>
    </row>
    <row r="210" spans="1:16" x14ac:dyDescent="0.25">
      <c r="A210">
        <v>50</v>
      </c>
      <c r="B210">
        <v>5.83</v>
      </c>
      <c r="C210" t="s">
        <v>14</v>
      </c>
      <c r="D210" t="s">
        <v>18</v>
      </c>
      <c r="E210" s="3">
        <v>150</v>
      </c>
      <c r="F210">
        <v>18.7</v>
      </c>
      <c r="G210">
        <v>16.739999999999998</v>
      </c>
      <c r="H210">
        <v>0.05</v>
      </c>
      <c r="I210">
        <v>0.86</v>
      </c>
      <c r="J210">
        <v>5</v>
      </c>
      <c r="K210" t="s">
        <v>23</v>
      </c>
      <c r="L210" t="str">
        <f t="shared" si="71"/>
        <v>VALID</v>
      </c>
      <c r="M210">
        <f t="shared" si="79"/>
        <v>0.01</v>
      </c>
      <c r="N210" t="str">
        <f t="shared" si="80"/>
        <v>Low</v>
      </c>
      <c r="O210">
        <f t="shared" si="81"/>
        <v>8.7999999999999989</v>
      </c>
      <c r="P210" t="str">
        <f t="shared" si="82"/>
        <v>Low</v>
      </c>
    </row>
    <row r="211" spans="1:16" x14ac:dyDescent="0.25">
      <c r="A211">
        <v>50</v>
      </c>
      <c r="B211">
        <v>4.5</v>
      </c>
      <c r="C211" t="s">
        <v>14</v>
      </c>
      <c r="D211" t="s">
        <v>18</v>
      </c>
      <c r="E211" s="3">
        <v>150</v>
      </c>
      <c r="F211">
        <v>48.2</v>
      </c>
      <c r="G211">
        <v>18.04</v>
      </c>
      <c r="H211">
        <v>0.25</v>
      </c>
      <c r="I211">
        <v>5.56</v>
      </c>
      <c r="J211">
        <v>12</v>
      </c>
      <c r="K211" t="s">
        <v>23</v>
      </c>
      <c r="L211" t="str">
        <f t="shared" si="71"/>
        <v>VALID</v>
      </c>
      <c r="M211">
        <f t="shared" si="79"/>
        <v>2.0833333333333332E-2</v>
      </c>
      <c r="N211" t="str">
        <f t="shared" si="80"/>
        <v>Low</v>
      </c>
      <c r="O211">
        <f t="shared" si="81"/>
        <v>11.799999999999999</v>
      </c>
      <c r="P211" t="str">
        <f t="shared" si="82"/>
        <v>Low</v>
      </c>
    </row>
    <row r="212" spans="1:16" x14ac:dyDescent="0.25">
      <c r="A212">
        <v>1000</v>
      </c>
      <c r="B212">
        <v>21.84</v>
      </c>
      <c r="C212" t="s">
        <v>19</v>
      </c>
      <c r="D212" t="s">
        <v>18</v>
      </c>
      <c r="E212" s="3">
        <v>2500</v>
      </c>
      <c r="F212">
        <v>8.6999999999999993</v>
      </c>
      <c r="G212">
        <v>12.14</v>
      </c>
      <c r="H212">
        <v>9.75</v>
      </c>
      <c r="I212">
        <v>44.64</v>
      </c>
      <c r="J212">
        <v>4</v>
      </c>
      <c r="K212" t="s">
        <v>16</v>
      </c>
      <c r="L212" t="str">
        <f t="shared" si="71"/>
        <v>VALID</v>
      </c>
      <c r="M212">
        <f t="shared" si="79"/>
        <v>2.4375</v>
      </c>
      <c r="N212" t="str">
        <f t="shared" si="80"/>
        <v>Medium</v>
      </c>
      <c r="O212">
        <f t="shared" si="81"/>
        <v>28.39</v>
      </c>
      <c r="P212" t="str">
        <f t="shared" si="82"/>
        <v>Low</v>
      </c>
    </row>
    <row r="213" spans="1:16" x14ac:dyDescent="0.25">
      <c r="A213">
        <v>150</v>
      </c>
      <c r="B213">
        <v>5.43</v>
      </c>
      <c r="C213" t="s">
        <v>19</v>
      </c>
      <c r="D213" t="s">
        <v>15</v>
      </c>
      <c r="E213" s="3">
        <v>1500</v>
      </c>
      <c r="F213">
        <v>8.9</v>
      </c>
      <c r="G213">
        <v>13.32</v>
      </c>
      <c r="H213">
        <v>5.21</v>
      </c>
      <c r="I213">
        <v>95.95</v>
      </c>
      <c r="J213">
        <v>18</v>
      </c>
      <c r="K213" t="s">
        <v>16</v>
      </c>
      <c r="L213" t="str">
        <f t="shared" si="71"/>
        <v>VALID</v>
      </c>
      <c r="M213">
        <f t="shared" si="79"/>
        <v>0.28944444444444445</v>
      </c>
      <c r="N213" t="str">
        <f t="shared" si="80"/>
        <v>Medium</v>
      </c>
      <c r="O213">
        <f t="shared" si="81"/>
        <v>54.635000000000005</v>
      </c>
      <c r="P213" t="str">
        <f t="shared" si="82"/>
        <v>Medium</v>
      </c>
    </row>
    <row r="214" spans="1:16" hidden="1" x14ac:dyDescent="0.25">
      <c r="A214">
        <v>100</v>
      </c>
      <c r="B214">
        <v>6.12</v>
      </c>
      <c r="C214" t="s">
        <v>14</v>
      </c>
      <c r="D214" t="s">
        <v>12</v>
      </c>
      <c r="E214">
        <v>300</v>
      </c>
      <c r="F214">
        <v>1.7</v>
      </c>
      <c r="G214">
        <v>12.05</v>
      </c>
      <c r="H214">
        <v>7.16</v>
      </c>
      <c r="I214">
        <v>116.99</v>
      </c>
      <c r="J214">
        <v>12</v>
      </c>
      <c r="K214" t="s">
        <v>16</v>
      </c>
      <c r="L214" t="str">
        <f t="shared" si="71"/>
        <v>INVALID</v>
      </c>
    </row>
    <row r="215" spans="1:16" hidden="1" x14ac:dyDescent="0.25">
      <c r="A215">
        <v>50</v>
      </c>
      <c r="B215">
        <v>4.3</v>
      </c>
      <c r="C215" t="s">
        <v>22</v>
      </c>
      <c r="D215" t="s">
        <v>18</v>
      </c>
      <c r="E215">
        <v>300</v>
      </c>
      <c r="F215">
        <v>127.1</v>
      </c>
      <c r="G215">
        <v>0.92</v>
      </c>
      <c r="H215">
        <v>4.79</v>
      </c>
      <c r="I215">
        <v>111.4</v>
      </c>
      <c r="J215">
        <v>13</v>
      </c>
      <c r="K215" t="s">
        <v>13</v>
      </c>
      <c r="L215" t="str">
        <f t="shared" si="71"/>
        <v>INVALID</v>
      </c>
    </row>
    <row r="216" spans="1:16" x14ac:dyDescent="0.25">
      <c r="A216">
        <v>1200</v>
      </c>
      <c r="B216">
        <v>31.01</v>
      </c>
      <c r="C216" t="s">
        <v>14</v>
      </c>
      <c r="D216" t="s">
        <v>18</v>
      </c>
      <c r="E216" s="3">
        <v>900</v>
      </c>
      <c r="F216">
        <v>27.2</v>
      </c>
      <c r="G216">
        <v>5</v>
      </c>
      <c r="H216">
        <v>3.03</v>
      </c>
      <c r="I216">
        <v>9.77</v>
      </c>
      <c r="J216">
        <v>9</v>
      </c>
      <c r="K216" t="s">
        <v>13</v>
      </c>
      <c r="L216" t="str">
        <f t="shared" si="71"/>
        <v>VALID</v>
      </c>
      <c r="M216">
        <f t="shared" ref="M216:M222" si="83">IF(J216&gt;0,H216/J216," ")</f>
        <v>0.33666666666666667</v>
      </c>
      <c r="N216" t="str">
        <f t="shared" ref="N216:N222" si="84">IF(ISNUMBER(E216),IF(E216&lt;1000,"Low",IF(E216&lt;3000,"Medium","High")),"Unknown")</f>
        <v>Low</v>
      </c>
      <c r="O216">
        <f t="shared" ref="O216:O222" si="85">(G216+I216)/2</f>
        <v>7.3849999999999998</v>
      </c>
      <c r="P216" t="str">
        <f t="shared" ref="P216:P222" si="86">IF(O216&lt;30,"Low",IF(O216&lt;60,"Medium","High"))</f>
        <v>Low</v>
      </c>
    </row>
    <row r="217" spans="1:16" x14ac:dyDescent="0.25">
      <c r="A217">
        <v>1200</v>
      </c>
      <c r="B217">
        <v>28.75</v>
      </c>
      <c r="C217" t="s">
        <v>19</v>
      </c>
      <c r="D217" t="s">
        <v>12</v>
      </c>
      <c r="E217" s="3">
        <v>150</v>
      </c>
      <c r="F217">
        <v>31.1</v>
      </c>
      <c r="G217">
        <v>7.43</v>
      </c>
      <c r="H217">
        <v>2.1</v>
      </c>
      <c r="I217">
        <v>7.3</v>
      </c>
      <c r="J217">
        <v>13</v>
      </c>
      <c r="K217" t="s">
        <v>13</v>
      </c>
      <c r="L217" t="str">
        <f t="shared" si="71"/>
        <v>VALID</v>
      </c>
      <c r="M217">
        <f t="shared" si="83"/>
        <v>0.16153846153846155</v>
      </c>
      <c r="N217" t="str">
        <f t="shared" si="84"/>
        <v>Low</v>
      </c>
      <c r="O217">
        <f t="shared" si="85"/>
        <v>7.3650000000000002</v>
      </c>
      <c r="P217" t="str">
        <f t="shared" si="86"/>
        <v>Low</v>
      </c>
    </row>
    <row r="218" spans="1:16" x14ac:dyDescent="0.25">
      <c r="A218">
        <v>200</v>
      </c>
      <c r="B218">
        <v>6.88</v>
      </c>
      <c r="C218" t="s">
        <v>19</v>
      </c>
      <c r="D218" t="s">
        <v>12</v>
      </c>
      <c r="E218" s="3">
        <v>600</v>
      </c>
      <c r="F218">
        <v>56.6</v>
      </c>
      <c r="G218">
        <v>3.37</v>
      </c>
      <c r="H218">
        <v>0.35</v>
      </c>
      <c r="I218">
        <v>5.09</v>
      </c>
      <c r="J218">
        <v>25</v>
      </c>
      <c r="K218" t="s">
        <v>23</v>
      </c>
      <c r="L218" t="str">
        <f t="shared" si="71"/>
        <v>VALID</v>
      </c>
      <c r="M218">
        <f t="shared" si="83"/>
        <v>1.3999999999999999E-2</v>
      </c>
      <c r="N218" t="str">
        <f t="shared" si="84"/>
        <v>Low</v>
      </c>
      <c r="O218">
        <f t="shared" si="85"/>
        <v>4.2300000000000004</v>
      </c>
      <c r="P218" t="str">
        <f t="shared" si="86"/>
        <v>Low</v>
      </c>
    </row>
    <row r="219" spans="1:16" x14ac:dyDescent="0.25">
      <c r="A219">
        <v>1200</v>
      </c>
      <c r="B219">
        <v>20.66</v>
      </c>
      <c r="C219" t="s">
        <v>19</v>
      </c>
      <c r="D219" t="s">
        <v>18</v>
      </c>
      <c r="E219" s="3">
        <v>150</v>
      </c>
      <c r="F219">
        <v>118.5</v>
      </c>
      <c r="G219">
        <v>11.43</v>
      </c>
      <c r="H219">
        <v>8.42</v>
      </c>
      <c r="I219">
        <v>40.76</v>
      </c>
      <c r="J219">
        <v>5</v>
      </c>
      <c r="K219" t="s">
        <v>16</v>
      </c>
      <c r="L219" t="str">
        <f t="shared" si="71"/>
        <v>VALID</v>
      </c>
      <c r="M219">
        <f t="shared" si="83"/>
        <v>1.6839999999999999</v>
      </c>
      <c r="N219" t="str">
        <f t="shared" si="84"/>
        <v>Low</v>
      </c>
      <c r="O219">
        <f t="shared" si="85"/>
        <v>26.094999999999999</v>
      </c>
      <c r="P219" t="str">
        <f t="shared" si="86"/>
        <v>Low</v>
      </c>
    </row>
    <row r="220" spans="1:16" x14ac:dyDescent="0.25">
      <c r="A220">
        <v>500</v>
      </c>
      <c r="B220">
        <v>12.66</v>
      </c>
      <c r="C220" t="s">
        <v>22</v>
      </c>
      <c r="D220" t="s">
        <v>18</v>
      </c>
      <c r="E220" s="3">
        <v>600</v>
      </c>
      <c r="F220">
        <v>68.5</v>
      </c>
      <c r="G220">
        <v>16.75</v>
      </c>
      <c r="H220">
        <v>7.28</v>
      </c>
      <c r="I220">
        <v>57.5</v>
      </c>
      <c r="J220">
        <v>2</v>
      </c>
      <c r="K220" t="s">
        <v>16</v>
      </c>
      <c r="L220" t="str">
        <f t="shared" si="71"/>
        <v>VALID</v>
      </c>
      <c r="M220">
        <f t="shared" si="83"/>
        <v>3.64</v>
      </c>
      <c r="N220" t="str">
        <f t="shared" si="84"/>
        <v>Low</v>
      </c>
      <c r="O220">
        <f t="shared" si="85"/>
        <v>37.125</v>
      </c>
      <c r="P220" t="str">
        <f t="shared" si="86"/>
        <v>Medium</v>
      </c>
    </row>
    <row r="221" spans="1:16" x14ac:dyDescent="0.25">
      <c r="A221">
        <v>800</v>
      </c>
      <c r="B221">
        <v>28.54</v>
      </c>
      <c r="C221" t="s">
        <v>21</v>
      </c>
      <c r="D221" t="s">
        <v>17</v>
      </c>
      <c r="E221" s="3">
        <v>900</v>
      </c>
      <c r="F221">
        <v>72.3</v>
      </c>
      <c r="G221">
        <v>14.88</v>
      </c>
      <c r="H221">
        <v>2.4300000000000002</v>
      </c>
      <c r="I221">
        <v>8.51</v>
      </c>
      <c r="J221">
        <v>21</v>
      </c>
      <c r="K221" t="s">
        <v>13</v>
      </c>
      <c r="L221" t="str">
        <f t="shared" si="71"/>
        <v>VALID</v>
      </c>
      <c r="M221">
        <f t="shared" si="83"/>
        <v>0.11571428571428573</v>
      </c>
      <c r="N221" t="str">
        <f t="shared" si="84"/>
        <v>Low</v>
      </c>
      <c r="O221">
        <f t="shared" si="85"/>
        <v>11.695</v>
      </c>
      <c r="P221" t="str">
        <f t="shared" si="86"/>
        <v>Low</v>
      </c>
    </row>
    <row r="222" spans="1:16" x14ac:dyDescent="0.25">
      <c r="A222">
        <v>250</v>
      </c>
      <c r="B222">
        <v>14.06</v>
      </c>
      <c r="C222" t="s">
        <v>21</v>
      </c>
      <c r="D222" t="s">
        <v>15</v>
      </c>
      <c r="E222" s="3">
        <v>300</v>
      </c>
      <c r="F222">
        <v>73.900000000000006</v>
      </c>
      <c r="G222">
        <v>16.34</v>
      </c>
      <c r="H222">
        <v>1.45</v>
      </c>
      <c r="I222">
        <v>10.31</v>
      </c>
      <c r="J222">
        <v>6</v>
      </c>
      <c r="K222" t="s">
        <v>23</v>
      </c>
      <c r="L222" t="str">
        <f t="shared" si="71"/>
        <v>VALID</v>
      </c>
      <c r="M222">
        <f t="shared" si="83"/>
        <v>0.24166666666666667</v>
      </c>
      <c r="N222" t="str">
        <f t="shared" si="84"/>
        <v>Low</v>
      </c>
      <c r="O222">
        <f t="shared" si="85"/>
        <v>13.324999999999999</v>
      </c>
      <c r="P222" t="str">
        <f t="shared" si="86"/>
        <v>Low</v>
      </c>
    </row>
    <row r="223" spans="1:16" hidden="1" x14ac:dyDescent="0.25">
      <c r="A223">
        <v>100</v>
      </c>
      <c r="B223">
        <v>6.45</v>
      </c>
      <c r="C223" t="s">
        <v>21</v>
      </c>
      <c r="D223" t="s">
        <v>20</v>
      </c>
      <c r="E223">
        <v>900</v>
      </c>
      <c r="F223">
        <v>95.9</v>
      </c>
      <c r="G223">
        <v>15.64</v>
      </c>
      <c r="H223">
        <v>7.02</v>
      </c>
      <c r="I223">
        <v>108.84</v>
      </c>
      <c r="J223">
        <v>20</v>
      </c>
      <c r="K223" t="s">
        <v>16</v>
      </c>
      <c r="L223" t="str">
        <f t="shared" si="71"/>
        <v>INVALID</v>
      </c>
    </row>
    <row r="224" spans="1:16" x14ac:dyDescent="0.25">
      <c r="A224">
        <v>100</v>
      </c>
      <c r="B224">
        <v>6.91</v>
      </c>
      <c r="C224" t="s">
        <v>14</v>
      </c>
      <c r="D224" t="s">
        <v>15</v>
      </c>
      <c r="E224" s="3">
        <v>150</v>
      </c>
      <c r="F224">
        <v>16.8</v>
      </c>
      <c r="G224">
        <v>18.59</v>
      </c>
      <c r="H224">
        <v>6.81</v>
      </c>
      <c r="I224">
        <v>98.55</v>
      </c>
      <c r="J224">
        <v>4</v>
      </c>
      <c r="K224" t="s">
        <v>16</v>
      </c>
      <c r="L224" t="str">
        <f t="shared" si="71"/>
        <v>VALID</v>
      </c>
      <c r="M224">
        <f t="shared" ref="M224:M226" si="87">IF(J224&gt;0,H224/J224," ")</f>
        <v>1.7024999999999999</v>
      </c>
      <c r="N224" t="str">
        <f t="shared" ref="N224:N226" si="88">IF(ISNUMBER(E224),IF(E224&lt;1000,"Low",IF(E224&lt;3000,"Medium","High")),"Unknown")</f>
        <v>Low</v>
      </c>
      <c r="O224">
        <f t="shared" ref="O224:O226" si="89">(G224+I224)/2</f>
        <v>58.57</v>
      </c>
      <c r="P224" t="str">
        <f t="shared" ref="P224:P226" si="90">IF(O224&lt;30,"Low",IF(O224&lt;60,"Medium","High"))</f>
        <v>Medium</v>
      </c>
    </row>
    <row r="225" spans="1:16" x14ac:dyDescent="0.25">
      <c r="A225">
        <v>600</v>
      </c>
      <c r="B225">
        <v>21.01</v>
      </c>
      <c r="C225" t="s">
        <v>22</v>
      </c>
      <c r="D225" t="s">
        <v>20</v>
      </c>
      <c r="E225" s="3">
        <v>300</v>
      </c>
      <c r="F225">
        <v>30.9</v>
      </c>
      <c r="G225">
        <v>13.18</v>
      </c>
      <c r="H225">
        <v>8.26</v>
      </c>
      <c r="I225">
        <v>39.31</v>
      </c>
      <c r="J225">
        <v>14</v>
      </c>
      <c r="K225" t="s">
        <v>16</v>
      </c>
      <c r="L225" t="str">
        <f t="shared" si="71"/>
        <v>VALID</v>
      </c>
      <c r="M225">
        <f t="shared" si="87"/>
        <v>0.59</v>
      </c>
      <c r="N225" t="str">
        <f t="shared" si="88"/>
        <v>Low</v>
      </c>
      <c r="O225">
        <f t="shared" si="89"/>
        <v>26.245000000000001</v>
      </c>
      <c r="P225" t="str">
        <f t="shared" si="90"/>
        <v>Low</v>
      </c>
    </row>
    <row r="226" spans="1:16" x14ac:dyDescent="0.25">
      <c r="A226">
        <v>250</v>
      </c>
      <c r="B226">
        <v>10.130000000000001</v>
      </c>
      <c r="C226" t="s">
        <v>22</v>
      </c>
      <c r="D226" t="s">
        <v>18</v>
      </c>
      <c r="E226" s="3">
        <v>600</v>
      </c>
      <c r="F226">
        <v>66</v>
      </c>
      <c r="G226">
        <v>0.17</v>
      </c>
      <c r="H226">
        <v>2.86</v>
      </c>
      <c r="I226">
        <v>28.23</v>
      </c>
      <c r="J226">
        <v>17</v>
      </c>
      <c r="K226" t="s">
        <v>13</v>
      </c>
      <c r="L226" t="str">
        <f t="shared" si="71"/>
        <v>VALID</v>
      </c>
      <c r="M226">
        <f t="shared" si="87"/>
        <v>0.16823529411764704</v>
      </c>
      <c r="N226" t="str">
        <f t="shared" si="88"/>
        <v>Low</v>
      </c>
      <c r="O226">
        <f t="shared" si="89"/>
        <v>14.200000000000001</v>
      </c>
      <c r="P226" t="str">
        <f t="shared" si="90"/>
        <v>Low</v>
      </c>
    </row>
    <row r="227" spans="1:16" hidden="1" x14ac:dyDescent="0.25">
      <c r="A227">
        <v>50</v>
      </c>
      <c r="B227">
        <v>3.31</v>
      </c>
      <c r="C227" t="s">
        <v>14</v>
      </c>
      <c r="D227" t="s">
        <v>17</v>
      </c>
      <c r="E227">
        <v>2500</v>
      </c>
      <c r="F227">
        <v>88</v>
      </c>
      <c r="G227">
        <v>14.16</v>
      </c>
      <c r="H227">
        <v>9.58</v>
      </c>
      <c r="I227">
        <v>289.43</v>
      </c>
      <c r="J227">
        <v>18</v>
      </c>
      <c r="K227" t="s">
        <v>16</v>
      </c>
      <c r="L227" t="str">
        <f t="shared" si="71"/>
        <v>INVALID</v>
      </c>
    </row>
    <row r="228" spans="1:16" x14ac:dyDescent="0.25">
      <c r="A228">
        <v>1500</v>
      </c>
      <c r="B228">
        <v>43.88</v>
      </c>
      <c r="C228" t="s">
        <v>22</v>
      </c>
      <c r="D228" t="s">
        <v>18</v>
      </c>
      <c r="E228" s="3">
        <v>150</v>
      </c>
      <c r="F228">
        <v>107.8</v>
      </c>
      <c r="G228">
        <v>10.93</v>
      </c>
      <c r="H228">
        <v>8.06</v>
      </c>
      <c r="I228">
        <v>18.37</v>
      </c>
      <c r="J228">
        <v>11</v>
      </c>
      <c r="K228" t="s">
        <v>16</v>
      </c>
      <c r="L228" t="str">
        <f t="shared" si="71"/>
        <v>VALID</v>
      </c>
      <c r="M228">
        <f t="shared" ref="M228:M229" si="91">IF(J228&gt;0,H228/J228," ")</f>
        <v>0.73272727272727278</v>
      </c>
      <c r="N228" t="str">
        <f t="shared" ref="N228:N229" si="92">IF(ISNUMBER(E228),IF(E228&lt;1000,"Low",IF(E228&lt;3000,"Medium","High")),"Unknown")</f>
        <v>Low</v>
      </c>
      <c r="O228">
        <f t="shared" ref="O228:O229" si="93">(G228+I228)/2</f>
        <v>14.65</v>
      </c>
      <c r="P228" t="str">
        <f t="shared" ref="P228:P229" si="94">IF(O228&lt;30,"Low",IF(O228&lt;60,"Medium","High"))</f>
        <v>Low</v>
      </c>
    </row>
    <row r="229" spans="1:16" x14ac:dyDescent="0.25">
      <c r="A229">
        <v>300</v>
      </c>
      <c r="B229">
        <v>11.6</v>
      </c>
      <c r="C229" t="s">
        <v>21</v>
      </c>
      <c r="D229" t="s">
        <v>17</v>
      </c>
      <c r="E229" s="3">
        <v>900</v>
      </c>
      <c r="F229">
        <v>110.5</v>
      </c>
      <c r="G229">
        <v>3.02</v>
      </c>
      <c r="H229">
        <v>5.65</v>
      </c>
      <c r="I229">
        <v>48.71</v>
      </c>
      <c r="J229">
        <v>19</v>
      </c>
      <c r="K229" t="s">
        <v>16</v>
      </c>
      <c r="L229" t="str">
        <f t="shared" si="71"/>
        <v>VALID</v>
      </c>
      <c r="M229">
        <f t="shared" si="91"/>
        <v>0.29736842105263162</v>
      </c>
      <c r="N229" t="str">
        <f t="shared" si="92"/>
        <v>Low</v>
      </c>
      <c r="O229">
        <f t="shared" si="93"/>
        <v>25.865000000000002</v>
      </c>
      <c r="P229" t="str">
        <f t="shared" si="94"/>
        <v>Low</v>
      </c>
    </row>
    <row r="230" spans="1:16" hidden="1" x14ac:dyDescent="0.25">
      <c r="A230">
        <v>50</v>
      </c>
      <c r="B230">
        <v>5.46</v>
      </c>
      <c r="C230" t="s">
        <v>21</v>
      </c>
      <c r="D230" t="s">
        <v>20</v>
      </c>
      <c r="E230">
        <v>1500</v>
      </c>
      <c r="F230">
        <v>26.2</v>
      </c>
      <c r="G230">
        <v>14.04</v>
      </c>
      <c r="H230">
        <v>9.36</v>
      </c>
      <c r="I230">
        <v>171.43</v>
      </c>
      <c r="J230">
        <v>17</v>
      </c>
      <c r="K230" t="s">
        <v>16</v>
      </c>
      <c r="L230" t="str">
        <f t="shared" si="71"/>
        <v>INVALID</v>
      </c>
    </row>
    <row r="231" spans="1:16" x14ac:dyDescent="0.25">
      <c r="A231">
        <v>300</v>
      </c>
      <c r="B231">
        <v>8.9600000000000009</v>
      </c>
      <c r="C231" t="s">
        <v>11</v>
      </c>
      <c r="D231" t="s">
        <v>18</v>
      </c>
      <c r="E231" s="3">
        <v>2500</v>
      </c>
      <c r="F231">
        <v>48.7</v>
      </c>
      <c r="G231">
        <v>2.38</v>
      </c>
      <c r="H231">
        <v>4.63</v>
      </c>
      <c r="I231">
        <v>51.67</v>
      </c>
      <c r="J231">
        <v>2</v>
      </c>
      <c r="K231" t="s">
        <v>13</v>
      </c>
      <c r="L231" t="str">
        <f t="shared" si="71"/>
        <v>VALID</v>
      </c>
      <c r="M231">
        <f t="shared" ref="M231:M235" si="95">IF(J231&gt;0,H231/J231," ")</f>
        <v>2.3149999999999999</v>
      </c>
      <c r="N231" t="str">
        <f t="shared" ref="N231:N235" si="96">IF(ISNUMBER(E231),IF(E231&lt;1000,"Low",IF(E231&lt;3000,"Medium","High")),"Unknown")</f>
        <v>Medium</v>
      </c>
      <c r="O231">
        <f t="shared" ref="O231:O235" si="97">(G231+I231)/2</f>
        <v>27.025000000000002</v>
      </c>
      <c r="P231" t="str">
        <f t="shared" ref="P231:P235" si="98">IF(O231&lt;30,"Low",IF(O231&lt;60,"Medium","High"))</f>
        <v>Low</v>
      </c>
    </row>
    <row r="232" spans="1:16" x14ac:dyDescent="0.25">
      <c r="A232">
        <v>200</v>
      </c>
      <c r="B232">
        <v>10.9</v>
      </c>
      <c r="C232" t="s">
        <v>21</v>
      </c>
      <c r="D232" t="s">
        <v>17</v>
      </c>
      <c r="E232" s="3">
        <v>900</v>
      </c>
      <c r="F232">
        <v>-13</v>
      </c>
      <c r="G232">
        <v>13.91</v>
      </c>
      <c r="H232">
        <v>2.1800000000000002</v>
      </c>
      <c r="I232">
        <v>20</v>
      </c>
      <c r="J232">
        <v>17</v>
      </c>
      <c r="K232" t="s">
        <v>13</v>
      </c>
      <c r="L232" t="str">
        <f t="shared" si="71"/>
        <v>VALID</v>
      </c>
      <c r="M232">
        <f t="shared" si="95"/>
        <v>0.12823529411764706</v>
      </c>
      <c r="N232" t="str">
        <f t="shared" si="96"/>
        <v>Low</v>
      </c>
      <c r="O232">
        <f t="shared" si="97"/>
        <v>16.954999999999998</v>
      </c>
      <c r="P232" t="str">
        <f t="shared" si="98"/>
        <v>Low</v>
      </c>
    </row>
    <row r="233" spans="1:16" x14ac:dyDescent="0.25">
      <c r="A233">
        <v>100</v>
      </c>
      <c r="B233">
        <v>7.36</v>
      </c>
      <c r="C233" t="s">
        <v>22</v>
      </c>
      <c r="D233" t="s">
        <v>18</v>
      </c>
      <c r="E233" s="3">
        <v>150</v>
      </c>
      <c r="F233">
        <v>-9.5</v>
      </c>
      <c r="G233">
        <v>4.1500000000000004</v>
      </c>
      <c r="H233">
        <v>5.57</v>
      </c>
      <c r="I233">
        <v>75.680000000000007</v>
      </c>
      <c r="J233">
        <v>13</v>
      </c>
      <c r="K233" t="s">
        <v>16</v>
      </c>
      <c r="L233" t="str">
        <f t="shared" si="71"/>
        <v>VALID</v>
      </c>
      <c r="M233">
        <f t="shared" si="95"/>
        <v>0.4284615384615385</v>
      </c>
      <c r="N233" t="str">
        <f t="shared" si="96"/>
        <v>Low</v>
      </c>
      <c r="O233">
        <f t="shared" si="97"/>
        <v>39.915000000000006</v>
      </c>
      <c r="P233" t="str">
        <f t="shared" si="98"/>
        <v>Medium</v>
      </c>
    </row>
    <row r="234" spans="1:16" x14ac:dyDescent="0.25">
      <c r="A234">
        <v>600</v>
      </c>
      <c r="B234">
        <v>27.85</v>
      </c>
      <c r="C234" t="s">
        <v>21</v>
      </c>
      <c r="D234" t="s">
        <v>15</v>
      </c>
      <c r="E234" s="3">
        <v>600</v>
      </c>
      <c r="F234">
        <v>14.6</v>
      </c>
      <c r="G234">
        <v>12.75</v>
      </c>
      <c r="H234">
        <v>0.78</v>
      </c>
      <c r="I234">
        <v>2.8</v>
      </c>
      <c r="J234">
        <v>19</v>
      </c>
      <c r="K234" t="s">
        <v>23</v>
      </c>
      <c r="L234" t="str">
        <f t="shared" si="71"/>
        <v>VALID</v>
      </c>
      <c r="M234">
        <f t="shared" si="95"/>
        <v>4.1052631578947368E-2</v>
      </c>
      <c r="N234" t="str">
        <f t="shared" si="96"/>
        <v>Low</v>
      </c>
      <c r="O234">
        <f t="shared" si="97"/>
        <v>7.7750000000000004</v>
      </c>
      <c r="P234" t="str">
        <f t="shared" si="98"/>
        <v>Low</v>
      </c>
    </row>
    <row r="235" spans="1:16" x14ac:dyDescent="0.25">
      <c r="A235">
        <v>1200</v>
      </c>
      <c r="B235">
        <v>25.26</v>
      </c>
      <c r="C235" t="s">
        <v>19</v>
      </c>
      <c r="D235" t="s">
        <v>12</v>
      </c>
      <c r="E235" s="3">
        <v>2500</v>
      </c>
      <c r="F235">
        <v>-9.8000000000000007</v>
      </c>
      <c r="G235">
        <v>9.52</v>
      </c>
      <c r="H235">
        <v>8.18</v>
      </c>
      <c r="I235">
        <v>32.380000000000003</v>
      </c>
      <c r="J235">
        <v>13</v>
      </c>
      <c r="K235" t="s">
        <v>16</v>
      </c>
      <c r="L235" t="str">
        <f t="shared" si="71"/>
        <v>VALID</v>
      </c>
      <c r="M235">
        <f t="shared" si="95"/>
        <v>0.62923076923076926</v>
      </c>
      <c r="N235" t="str">
        <f t="shared" si="96"/>
        <v>Medium</v>
      </c>
      <c r="O235">
        <f t="shared" si="97"/>
        <v>20.950000000000003</v>
      </c>
      <c r="P235" t="str">
        <f t="shared" si="98"/>
        <v>Low</v>
      </c>
    </row>
    <row r="236" spans="1:16" hidden="1" x14ac:dyDescent="0.25">
      <c r="A236">
        <v>150</v>
      </c>
      <c r="B236">
        <v>6.96</v>
      </c>
      <c r="C236" t="s">
        <v>11</v>
      </c>
      <c r="D236" t="s">
        <v>15</v>
      </c>
      <c r="E236">
        <v>600</v>
      </c>
      <c r="F236">
        <v>53.8</v>
      </c>
      <c r="G236">
        <v>2.38</v>
      </c>
      <c r="H236">
        <v>8.69</v>
      </c>
      <c r="I236">
        <v>124.86</v>
      </c>
      <c r="J236">
        <v>3</v>
      </c>
      <c r="K236" t="s">
        <v>16</v>
      </c>
      <c r="L236" t="str">
        <f t="shared" si="71"/>
        <v>INVALID</v>
      </c>
    </row>
    <row r="237" spans="1:16" hidden="1" x14ac:dyDescent="0.25">
      <c r="A237">
        <v>50</v>
      </c>
      <c r="B237">
        <v>3.69</v>
      </c>
      <c r="C237" t="s">
        <v>11</v>
      </c>
      <c r="D237" t="s">
        <v>12</v>
      </c>
      <c r="E237">
        <v>600</v>
      </c>
      <c r="F237">
        <v>-13.4</v>
      </c>
      <c r="G237">
        <v>18.100000000000001</v>
      </c>
      <c r="H237">
        <v>8.2899999999999991</v>
      </c>
      <c r="I237">
        <v>224.66</v>
      </c>
      <c r="J237">
        <v>5</v>
      </c>
      <c r="K237" t="s">
        <v>16</v>
      </c>
      <c r="L237" t="str">
        <f t="shared" si="71"/>
        <v>INVALID</v>
      </c>
    </row>
    <row r="238" spans="1:16" x14ac:dyDescent="0.25">
      <c r="A238">
        <v>50</v>
      </c>
      <c r="B238">
        <v>5.5</v>
      </c>
      <c r="C238" t="s">
        <v>21</v>
      </c>
      <c r="D238" t="s">
        <v>18</v>
      </c>
      <c r="E238" s="3">
        <v>1500</v>
      </c>
      <c r="F238">
        <v>53.7</v>
      </c>
      <c r="G238">
        <v>1.59</v>
      </c>
      <c r="H238">
        <v>2.7</v>
      </c>
      <c r="I238">
        <v>49.09</v>
      </c>
      <c r="J238">
        <v>3</v>
      </c>
      <c r="K238" t="s">
        <v>13</v>
      </c>
      <c r="L238" t="str">
        <f t="shared" si="71"/>
        <v>VALID</v>
      </c>
      <c r="M238">
        <f t="shared" ref="M238:M240" si="99">IF(J238&gt;0,H238/J238," ")</f>
        <v>0.9</v>
      </c>
      <c r="N238" t="str">
        <f t="shared" ref="N238:N240" si="100">IF(ISNUMBER(E238),IF(E238&lt;1000,"Low",IF(E238&lt;3000,"Medium","High")),"Unknown")</f>
        <v>Medium</v>
      </c>
      <c r="O238">
        <f t="shared" ref="O238:O240" si="101">(G238+I238)/2</f>
        <v>25.340000000000003</v>
      </c>
      <c r="P238" t="str">
        <f t="shared" ref="P238:P240" si="102">IF(O238&lt;30,"Low",IF(O238&lt;60,"Medium","High"))</f>
        <v>Low</v>
      </c>
    </row>
    <row r="239" spans="1:16" x14ac:dyDescent="0.25">
      <c r="A239">
        <v>150</v>
      </c>
      <c r="B239">
        <v>6.24</v>
      </c>
      <c r="C239" t="s">
        <v>19</v>
      </c>
      <c r="D239" t="s">
        <v>17</v>
      </c>
      <c r="E239" s="3">
        <v>1500</v>
      </c>
      <c r="F239">
        <v>30.8</v>
      </c>
      <c r="G239">
        <v>4.1100000000000003</v>
      </c>
      <c r="H239">
        <v>5.58</v>
      </c>
      <c r="I239">
        <v>89.42</v>
      </c>
      <c r="J239">
        <v>11</v>
      </c>
      <c r="K239" t="s">
        <v>16</v>
      </c>
      <c r="L239" t="str">
        <f t="shared" si="71"/>
        <v>VALID</v>
      </c>
      <c r="M239">
        <f t="shared" si="99"/>
        <v>0.50727272727272732</v>
      </c>
      <c r="N239" t="str">
        <f t="shared" si="100"/>
        <v>Medium</v>
      </c>
      <c r="O239">
        <f t="shared" si="101"/>
        <v>46.765000000000001</v>
      </c>
      <c r="P239" t="str">
        <f t="shared" si="102"/>
        <v>Medium</v>
      </c>
    </row>
    <row r="240" spans="1:16" x14ac:dyDescent="0.25">
      <c r="A240">
        <v>600</v>
      </c>
      <c r="B240">
        <v>22.17</v>
      </c>
      <c r="C240" t="s">
        <v>14</v>
      </c>
      <c r="D240" t="s">
        <v>17</v>
      </c>
      <c r="E240" s="3">
        <v>150</v>
      </c>
      <c r="F240">
        <v>36.1</v>
      </c>
      <c r="G240">
        <v>17.920000000000002</v>
      </c>
      <c r="H240">
        <v>4.0999999999999996</v>
      </c>
      <c r="I240">
        <v>18.489999999999998</v>
      </c>
      <c r="J240">
        <v>4</v>
      </c>
      <c r="K240" t="s">
        <v>13</v>
      </c>
      <c r="L240" t="str">
        <f t="shared" si="71"/>
        <v>VALID</v>
      </c>
      <c r="M240">
        <f t="shared" si="99"/>
        <v>1.0249999999999999</v>
      </c>
      <c r="N240" t="str">
        <f t="shared" si="100"/>
        <v>Low</v>
      </c>
      <c r="O240">
        <f t="shared" si="101"/>
        <v>18.204999999999998</v>
      </c>
      <c r="P240" t="str">
        <f t="shared" si="102"/>
        <v>Low</v>
      </c>
    </row>
    <row r="241" spans="1:16" hidden="1" x14ac:dyDescent="0.25">
      <c r="A241">
        <v>100</v>
      </c>
      <c r="B241">
        <v>5.72</v>
      </c>
      <c r="C241" t="s">
        <v>21</v>
      </c>
      <c r="D241" t="s">
        <v>17</v>
      </c>
      <c r="E241">
        <v>300</v>
      </c>
      <c r="F241">
        <v>12.3</v>
      </c>
      <c r="G241">
        <v>11.19</v>
      </c>
      <c r="H241">
        <v>6.79</v>
      </c>
      <c r="I241">
        <v>118.71</v>
      </c>
      <c r="J241">
        <v>12</v>
      </c>
      <c r="K241" t="s">
        <v>16</v>
      </c>
      <c r="L241" t="str">
        <f t="shared" si="71"/>
        <v>INVALID</v>
      </c>
    </row>
    <row r="242" spans="1:16" hidden="1" x14ac:dyDescent="0.25">
      <c r="A242">
        <v>100</v>
      </c>
      <c r="B242">
        <v>4.1399999999999997</v>
      </c>
      <c r="C242" t="s">
        <v>11</v>
      </c>
      <c r="D242" t="s">
        <v>18</v>
      </c>
      <c r="E242">
        <v>600</v>
      </c>
      <c r="F242">
        <v>19.3</v>
      </c>
      <c r="G242">
        <v>10.6</v>
      </c>
      <c r="H242">
        <v>8.34</v>
      </c>
      <c r="I242">
        <v>201.45</v>
      </c>
      <c r="J242">
        <v>21</v>
      </c>
      <c r="K242" t="s">
        <v>16</v>
      </c>
      <c r="L242" t="str">
        <f t="shared" si="71"/>
        <v>INVALID</v>
      </c>
    </row>
    <row r="243" spans="1:16" x14ac:dyDescent="0.25">
      <c r="A243">
        <v>1500</v>
      </c>
      <c r="B243">
        <v>31.27</v>
      </c>
      <c r="C243" t="s">
        <v>21</v>
      </c>
      <c r="D243" t="s">
        <v>12</v>
      </c>
      <c r="E243" s="3">
        <v>150</v>
      </c>
      <c r="F243">
        <v>69</v>
      </c>
      <c r="G243">
        <v>16.489999999999998</v>
      </c>
      <c r="H243">
        <v>6.96</v>
      </c>
      <c r="I243">
        <v>22.26</v>
      </c>
      <c r="J243">
        <v>10</v>
      </c>
      <c r="K243" t="s">
        <v>16</v>
      </c>
      <c r="L243" t="str">
        <f t="shared" si="71"/>
        <v>VALID</v>
      </c>
      <c r="M243">
        <f t="shared" ref="M243:M248" si="103">IF(J243&gt;0,H243/J243," ")</f>
        <v>0.69599999999999995</v>
      </c>
      <c r="N243" t="str">
        <f t="shared" ref="N243:N248" si="104">IF(ISNUMBER(E243),IF(E243&lt;1000,"Low",IF(E243&lt;3000,"Medium","High")),"Unknown")</f>
        <v>Low</v>
      </c>
      <c r="O243">
        <f t="shared" ref="O243:O248" si="105">(G243+I243)/2</f>
        <v>19.375</v>
      </c>
      <c r="P243" t="str">
        <f t="shared" ref="P243:P248" si="106">IF(O243&lt;30,"Low",IF(O243&lt;60,"Medium","High"))</f>
        <v>Low</v>
      </c>
    </row>
    <row r="244" spans="1:16" x14ac:dyDescent="0.25">
      <c r="A244">
        <v>800</v>
      </c>
      <c r="B244">
        <v>24.36</v>
      </c>
      <c r="C244" t="s">
        <v>19</v>
      </c>
      <c r="D244" t="s">
        <v>17</v>
      </c>
      <c r="E244" s="3">
        <v>600</v>
      </c>
      <c r="F244">
        <v>116.6</v>
      </c>
      <c r="G244">
        <v>3.27</v>
      </c>
      <c r="H244">
        <v>5.57</v>
      </c>
      <c r="I244">
        <v>22.87</v>
      </c>
      <c r="J244">
        <v>9</v>
      </c>
      <c r="K244" t="s">
        <v>16</v>
      </c>
      <c r="L244" t="str">
        <f t="shared" si="71"/>
        <v>VALID</v>
      </c>
      <c r="M244">
        <f t="shared" si="103"/>
        <v>0.61888888888888893</v>
      </c>
      <c r="N244" t="str">
        <f t="shared" si="104"/>
        <v>Low</v>
      </c>
      <c r="O244">
        <f t="shared" si="105"/>
        <v>13.07</v>
      </c>
      <c r="P244" t="str">
        <f t="shared" si="106"/>
        <v>Low</v>
      </c>
    </row>
    <row r="245" spans="1:16" x14ac:dyDescent="0.25">
      <c r="A245">
        <v>1500</v>
      </c>
      <c r="B245">
        <v>43.2</v>
      </c>
      <c r="C245" t="s">
        <v>11</v>
      </c>
      <c r="D245" t="s">
        <v>12</v>
      </c>
      <c r="E245" s="3">
        <v>900</v>
      </c>
      <c r="F245">
        <v>48.7</v>
      </c>
      <c r="G245">
        <v>13.27</v>
      </c>
      <c r="H245">
        <v>5.5</v>
      </c>
      <c r="I245">
        <v>12.73</v>
      </c>
      <c r="J245">
        <v>4</v>
      </c>
      <c r="K245" t="s">
        <v>16</v>
      </c>
      <c r="L245" t="str">
        <f t="shared" si="71"/>
        <v>VALID</v>
      </c>
      <c r="M245">
        <f t="shared" si="103"/>
        <v>1.375</v>
      </c>
      <c r="N245" t="str">
        <f t="shared" si="104"/>
        <v>Low</v>
      </c>
      <c r="O245">
        <f t="shared" si="105"/>
        <v>13</v>
      </c>
      <c r="P245" t="str">
        <f t="shared" si="106"/>
        <v>Low</v>
      </c>
    </row>
    <row r="246" spans="1:16" x14ac:dyDescent="0.25">
      <c r="A246">
        <v>800</v>
      </c>
      <c r="B246">
        <v>30.44</v>
      </c>
      <c r="C246" t="s">
        <v>19</v>
      </c>
      <c r="D246" t="s">
        <v>18</v>
      </c>
      <c r="E246" s="3">
        <v>900</v>
      </c>
      <c r="F246">
        <v>15.8</v>
      </c>
      <c r="G246">
        <v>2.16</v>
      </c>
      <c r="H246">
        <v>4.9800000000000004</v>
      </c>
      <c r="I246">
        <v>16.36</v>
      </c>
      <c r="J246">
        <v>4</v>
      </c>
      <c r="K246" t="s">
        <v>13</v>
      </c>
      <c r="L246" t="str">
        <f t="shared" si="71"/>
        <v>VALID</v>
      </c>
      <c r="M246">
        <f t="shared" si="103"/>
        <v>1.2450000000000001</v>
      </c>
      <c r="N246" t="str">
        <f t="shared" si="104"/>
        <v>Low</v>
      </c>
      <c r="O246">
        <f t="shared" si="105"/>
        <v>9.26</v>
      </c>
      <c r="P246" t="str">
        <f t="shared" si="106"/>
        <v>Low</v>
      </c>
    </row>
    <row r="247" spans="1:16" x14ac:dyDescent="0.25">
      <c r="A247">
        <v>200</v>
      </c>
      <c r="B247">
        <v>7.82</v>
      </c>
      <c r="C247" t="s">
        <v>14</v>
      </c>
      <c r="D247" t="s">
        <v>18</v>
      </c>
      <c r="E247" s="3">
        <v>2500</v>
      </c>
      <c r="F247">
        <v>-0.5</v>
      </c>
      <c r="G247">
        <v>16</v>
      </c>
      <c r="H247">
        <v>3.75</v>
      </c>
      <c r="I247">
        <v>47.95</v>
      </c>
      <c r="J247">
        <v>14</v>
      </c>
      <c r="K247" t="s">
        <v>13</v>
      </c>
      <c r="L247" t="str">
        <f t="shared" si="71"/>
        <v>VALID</v>
      </c>
      <c r="M247">
        <f t="shared" si="103"/>
        <v>0.26785714285714285</v>
      </c>
      <c r="N247" t="str">
        <f t="shared" si="104"/>
        <v>Medium</v>
      </c>
      <c r="O247">
        <f t="shared" si="105"/>
        <v>31.975000000000001</v>
      </c>
      <c r="P247" t="str">
        <f t="shared" si="106"/>
        <v>Medium</v>
      </c>
    </row>
    <row r="248" spans="1:16" x14ac:dyDescent="0.25">
      <c r="A248">
        <v>400</v>
      </c>
      <c r="B248">
        <v>12.31</v>
      </c>
      <c r="C248" t="s">
        <v>11</v>
      </c>
      <c r="D248" t="s">
        <v>15</v>
      </c>
      <c r="E248" s="3">
        <v>150</v>
      </c>
      <c r="F248">
        <v>-15.5</v>
      </c>
      <c r="G248">
        <v>4.47</v>
      </c>
      <c r="H248">
        <v>5.41</v>
      </c>
      <c r="I248">
        <v>43.95</v>
      </c>
      <c r="J248">
        <v>11</v>
      </c>
      <c r="K248" t="s">
        <v>16</v>
      </c>
      <c r="L248" t="str">
        <f t="shared" si="71"/>
        <v>VALID</v>
      </c>
      <c r="M248">
        <f t="shared" si="103"/>
        <v>0.49181818181818182</v>
      </c>
      <c r="N248" t="str">
        <f t="shared" si="104"/>
        <v>Low</v>
      </c>
      <c r="O248">
        <f t="shared" si="105"/>
        <v>24.21</v>
      </c>
      <c r="P248" t="str">
        <f t="shared" si="106"/>
        <v>Low</v>
      </c>
    </row>
    <row r="249" spans="1:16" hidden="1" x14ac:dyDescent="0.25">
      <c r="A249">
        <v>400</v>
      </c>
      <c r="B249">
        <v>8.35</v>
      </c>
      <c r="C249" t="s">
        <v>19</v>
      </c>
      <c r="D249" t="s">
        <v>15</v>
      </c>
      <c r="E249">
        <v>2500</v>
      </c>
      <c r="F249">
        <v>-9.1999999999999993</v>
      </c>
      <c r="G249">
        <v>1.94</v>
      </c>
      <c r="H249">
        <v>8.44</v>
      </c>
      <c r="I249">
        <v>101.08</v>
      </c>
      <c r="J249">
        <v>9</v>
      </c>
      <c r="K249" t="s">
        <v>16</v>
      </c>
      <c r="L249" t="str">
        <f t="shared" si="71"/>
        <v>INVALID</v>
      </c>
    </row>
    <row r="250" spans="1:16" x14ac:dyDescent="0.25">
      <c r="A250">
        <v>1500</v>
      </c>
      <c r="B250">
        <v>33.409999999999997</v>
      </c>
      <c r="C250" t="s">
        <v>14</v>
      </c>
      <c r="D250" t="s">
        <v>15</v>
      </c>
      <c r="E250" s="3">
        <v>300</v>
      </c>
      <c r="F250">
        <v>54.7</v>
      </c>
      <c r="G250">
        <v>10.59</v>
      </c>
      <c r="H250">
        <v>9.85</v>
      </c>
      <c r="I250">
        <v>29.48</v>
      </c>
      <c r="J250">
        <v>8</v>
      </c>
      <c r="K250" t="s">
        <v>16</v>
      </c>
      <c r="L250" t="str">
        <f t="shared" si="71"/>
        <v>VALID</v>
      </c>
      <c r="M250">
        <f t="shared" ref="M250:M255" si="107">IF(J250&gt;0,H250/J250," ")</f>
        <v>1.23125</v>
      </c>
      <c r="N250" t="str">
        <f t="shared" ref="N250:N255" si="108">IF(ISNUMBER(E250),IF(E250&lt;1000,"Low",IF(E250&lt;3000,"Medium","High")),"Unknown")</f>
        <v>Low</v>
      </c>
      <c r="O250">
        <f t="shared" ref="O250:O255" si="109">(G250+I250)/2</f>
        <v>20.035</v>
      </c>
      <c r="P250" t="str">
        <f t="shared" ref="P250:P255" si="110">IF(O250&lt;30,"Low",IF(O250&lt;60,"Medium","High"))</f>
        <v>Low</v>
      </c>
    </row>
    <row r="251" spans="1:16" x14ac:dyDescent="0.25">
      <c r="A251">
        <v>200</v>
      </c>
      <c r="B251">
        <v>7.74</v>
      </c>
      <c r="C251" t="s">
        <v>11</v>
      </c>
      <c r="D251" t="s">
        <v>17</v>
      </c>
      <c r="E251" s="3">
        <v>900</v>
      </c>
      <c r="F251">
        <v>-25.9</v>
      </c>
      <c r="G251">
        <v>1.27</v>
      </c>
      <c r="H251">
        <v>0.64</v>
      </c>
      <c r="I251">
        <v>8.27</v>
      </c>
      <c r="J251">
        <v>1</v>
      </c>
      <c r="K251" t="s">
        <v>23</v>
      </c>
      <c r="L251" t="str">
        <f t="shared" si="71"/>
        <v>VALID</v>
      </c>
      <c r="M251">
        <f t="shared" si="107"/>
        <v>0.64</v>
      </c>
      <c r="N251" t="str">
        <f t="shared" si="108"/>
        <v>Low</v>
      </c>
      <c r="O251">
        <f t="shared" si="109"/>
        <v>4.7699999999999996</v>
      </c>
      <c r="P251" t="str">
        <f t="shared" si="110"/>
        <v>Low</v>
      </c>
    </row>
    <row r="252" spans="1:16" x14ac:dyDescent="0.25">
      <c r="A252">
        <v>300</v>
      </c>
      <c r="B252">
        <v>8.68</v>
      </c>
      <c r="C252" t="s">
        <v>19</v>
      </c>
      <c r="D252" t="s">
        <v>17</v>
      </c>
      <c r="E252" s="3">
        <v>300</v>
      </c>
      <c r="F252">
        <v>-21</v>
      </c>
      <c r="G252">
        <v>4.76</v>
      </c>
      <c r="H252">
        <v>6.01</v>
      </c>
      <c r="I252">
        <v>69.239999999999995</v>
      </c>
      <c r="J252">
        <v>22</v>
      </c>
      <c r="K252" t="s">
        <v>16</v>
      </c>
      <c r="L252" t="str">
        <f t="shared" si="71"/>
        <v>VALID</v>
      </c>
      <c r="M252">
        <f t="shared" si="107"/>
        <v>0.27318181818181819</v>
      </c>
      <c r="N252" t="str">
        <f t="shared" si="108"/>
        <v>Low</v>
      </c>
      <c r="O252">
        <f t="shared" si="109"/>
        <v>37</v>
      </c>
      <c r="P252" t="str">
        <f t="shared" si="110"/>
        <v>Medium</v>
      </c>
    </row>
    <row r="253" spans="1:16" x14ac:dyDescent="0.25">
      <c r="A253">
        <v>1200</v>
      </c>
      <c r="B253">
        <v>22.53</v>
      </c>
      <c r="C253" t="s">
        <v>19</v>
      </c>
      <c r="D253" t="s">
        <v>12</v>
      </c>
      <c r="E253" s="3">
        <v>150</v>
      </c>
      <c r="F253">
        <v>17.8</v>
      </c>
      <c r="G253">
        <v>13.58</v>
      </c>
      <c r="H253">
        <v>4.1100000000000003</v>
      </c>
      <c r="I253">
        <v>18.239999999999998</v>
      </c>
      <c r="J253">
        <v>7</v>
      </c>
      <c r="K253" t="s">
        <v>13</v>
      </c>
      <c r="L253" t="str">
        <f t="shared" si="71"/>
        <v>VALID</v>
      </c>
      <c r="M253">
        <f t="shared" si="107"/>
        <v>0.58714285714285719</v>
      </c>
      <c r="N253" t="str">
        <f t="shared" si="108"/>
        <v>Low</v>
      </c>
      <c r="O253">
        <f t="shared" si="109"/>
        <v>15.91</v>
      </c>
      <c r="P253" t="str">
        <f t="shared" si="110"/>
        <v>Low</v>
      </c>
    </row>
    <row r="254" spans="1:16" x14ac:dyDescent="0.25">
      <c r="A254">
        <v>250</v>
      </c>
      <c r="B254">
        <v>10.95</v>
      </c>
      <c r="C254" t="s">
        <v>21</v>
      </c>
      <c r="D254" t="s">
        <v>15</v>
      </c>
      <c r="E254" s="3">
        <v>2500</v>
      </c>
      <c r="F254">
        <v>11.7</v>
      </c>
      <c r="G254">
        <v>8.82</v>
      </c>
      <c r="H254">
        <v>4.04</v>
      </c>
      <c r="I254">
        <v>36.89</v>
      </c>
      <c r="J254">
        <v>24</v>
      </c>
      <c r="K254" t="s">
        <v>13</v>
      </c>
      <c r="L254" t="str">
        <f t="shared" si="71"/>
        <v>VALID</v>
      </c>
      <c r="M254">
        <f t="shared" si="107"/>
        <v>0.16833333333333333</v>
      </c>
      <c r="N254" t="str">
        <f t="shared" si="108"/>
        <v>Medium</v>
      </c>
      <c r="O254">
        <f t="shared" si="109"/>
        <v>22.855</v>
      </c>
      <c r="P254" t="str">
        <f t="shared" si="110"/>
        <v>Low</v>
      </c>
    </row>
    <row r="255" spans="1:16" x14ac:dyDescent="0.25">
      <c r="A255">
        <v>100</v>
      </c>
      <c r="B255">
        <v>4.8899999999999997</v>
      </c>
      <c r="C255" t="s">
        <v>11</v>
      </c>
      <c r="D255" t="s">
        <v>12</v>
      </c>
      <c r="E255" s="3">
        <v>600</v>
      </c>
      <c r="F255">
        <v>2.4</v>
      </c>
      <c r="G255">
        <v>2.5099999999999998</v>
      </c>
      <c r="H255">
        <v>0.61</v>
      </c>
      <c r="I255">
        <v>12.47</v>
      </c>
      <c r="J255">
        <v>8</v>
      </c>
      <c r="K255" t="s">
        <v>23</v>
      </c>
      <c r="L255" t="str">
        <f t="shared" si="71"/>
        <v>VALID</v>
      </c>
      <c r="M255">
        <f t="shared" si="107"/>
        <v>7.6249999999999998E-2</v>
      </c>
      <c r="N255" t="str">
        <f t="shared" si="108"/>
        <v>Low</v>
      </c>
      <c r="O255">
        <f t="shared" si="109"/>
        <v>7.49</v>
      </c>
      <c r="P255" t="str">
        <f t="shared" si="110"/>
        <v>Low</v>
      </c>
    </row>
    <row r="256" spans="1:16" hidden="1" x14ac:dyDescent="0.25">
      <c r="A256">
        <v>50</v>
      </c>
      <c r="B256">
        <v>5.62</v>
      </c>
      <c r="C256" t="s">
        <v>14</v>
      </c>
      <c r="D256" t="s">
        <v>18</v>
      </c>
      <c r="E256">
        <v>900</v>
      </c>
      <c r="F256">
        <v>42.2</v>
      </c>
      <c r="G256">
        <v>0.44</v>
      </c>
      <c r="H256">
        <v>6.21</v>
      </c>
      <c r="I256">
        <v>110.5</v>
      </c>
      <c r="J256">
        <v>20</v>
      </c>
      <c r="K256" t="s">
        <v>16</v>
      </c>
      <c r="L256" t="str">
        <f t="shared" si="71"/>
        <v>INVALID</v>
      </c>
    </row>
    <row r="257" spans="1:16" x14ac:dyDescent="0.25">
      <c r="A257">
        <v>300</v>
      </c>
      <c r="B257">
        <v>15.95</v>
      </c>
      <c r="C257" t="s">
        <v>21</v>
      </c>
      <c r="D257" t="s">
        <v>18</v>
      </c>
      <c r="E257" s="3">
        <v>1500</v>
      </c>
      <c r="F257">
        <v>26</v>
      </c>
      <c r="G257">
        <v>15.26</v>
      </c>
      <c r="H257">
        <v>0.94</v>
      </c>
      <c r="I257">
        <v>5.89</v>
      </c>
      <c r="J257">
        <v>16</v>
      </c>
      <c r="K257" t="s">
        <v>23</v>
      </c>
      <c r="L257" t="str">
        <f t="shared" si="71"/>
        <v>VALID</v>
      </c>
      <c r="M257">
        <f t="shared" ref="M257" si="111">IF(J257&gt;0,H257/J257," ")</f>
        <v>5.8749999999999997E-2</v>
      </c>
      <c r="N257" t="str">
        <f>IF(ISNUMBER(E257),IF(E257&lt;1000,"Low",IF(E257&lt;3000,"Medium","High")),"Unknown")</f>
        <v>Medium</v>
      </c>
      <c r="O257">
        <f>(G257+I257)/2</f>
        <v>10.574999999999999</v>
      </c>
      <c r="P257" t="str">
        <f>IF(O257&lt;30,"Low",IF(O257&lt;60,"Medium","High"))</f>
        <v>Low</v>
      </c>
    </row>
    <row r="258" spans="1:16" hidden="1" x14ac:dyDescent="0.25">
      <c r="A258">
        <v>50</v>
      </c>
      <c r="B258">
        <v>3.04</v>
      </c>
      <c r="C258" t="s">
        <v>11</v>
      </c>
      <c r="D258" t="s">
        <v>15</v>
      </c>
      <c r="E258">
        <v>300</v>
      </c>
      <c r="F258">
        <v>32.6</v>
      </c>
      <c r="G258">
        <v>4.5999999999999996</v>
      </c>
      <c r="H258">
        <v>9.69</v>
      </c>
      <c r="I258">
        <v>318.75</v>
      </c>
      <c r="J258">
        <v>15</v>
      </c>
      <c r="K258" t="s">
        <v>16</v>
      </c>
      <c r="L258" t="str">
        <f t="shared" si="71"/>
        <v>INVALID</v>
      </c>
    </row>
    <row r="259" spans="1:16" x14ac:dyDescent="0.25">
      <c r="A259">
        <v>400</v>
      </c>
      <c r="B259">
        <v>17.32</v>
      </c>
      <c r="C259" t="s">
        <v>21</v>
      </c>
      <c r="D259" t="s">
        <v>17</v>
      </c>
      <c r="E259" s="3">
        <v>900</v>
      </c>
      <c r="F259">
        <v>31.4</v>
      </c>
      <c r="G259">
        <v>1.33</v>
      </c>
      <c r="H259">
        <v>1.79</v>
      </c>
      <c r="I259">
        <v>10.33</v>
      </c>
      <c r="J259">
        <v>12</v>
      </c>
      <c r="K259" t="s">
        <v>23</v>
      </c>
      <c r="L259" t="str">
        <f t="shared" ref="L259:L322" si="112">IF(H259&gt;B259,"INVALID","VALID")</f>
        <v>VALID</v>
      </c>
      <c r="M259">
        <f t="shared" ref="M259" si="113">IF(J259&gt;0,H259/J259," ")</f>
        <v>0.14916666666666667</v>
      </c>
      <c r="N259" t="str">
        <f>IF(ISNUMBER(E259),IF(E259&lt;1000,"Low",IF(E259&lt;3000,"Medium","High")),"Unknown")</f>
        <v>Low</v>
      </c>
      <c r="O259">
        <f>(G259+I259)/2</f>
        <v>5.83</v>
      </c>
      <c r="P259" t="str">
        <f>IF(O259&lt;30,"Low",IF(O259&lt;60,"Medium","High"))</f>
        <v>Low</v>
      </c>
    </row>
    <row r="260" spans="1:16" hidden="1" x14ac:dyDescent="0.25">
      <c r="A260">
        <v>100</v>
      </c>
      <c r="B260">
        <v>5.21</v>
      </c>
      <c r="C260" t="s">
        <v>22</v>
      </c>
      <c r="D260" t="s">
        <v>15</v>
      </c>
      <c r="E260">
        <v>300</v>
      </c>
      <c r="F260">
        <v>67.5</v>
      </c>
      <c r="G260">
        <v>2.93</v>
      </c>
      <c r="H260">
        <v>5.76</v>
      </c>
      <c r="I260">
        <v>110.56</v>
      </c>
      <c r="J260">
        <v>19</v>
      </c>
      <c r="K260" t="s">
        <v>16</v>
      </c>
      <c r="L260" t="str">
        <f t="shared" si="112"/>
        <v>INVALID</v>
      </c>
    </row>
    <row r="261" spans="1:16" x14ac:dyDescent="0.25">
      <c r="A261">
        <v>500</v>
      </c>
      <c r="B261">
        <v>24.44</v>
      </c>
      <c r="C261" t="s">
        <v>14</v>
      </c>
      <c r="D261" t="s">
        <v>12</v>
      </c>
      <c r="E261" s="3">
        <v>300</v>
      </c>
      <c r="F261">
        <v>11.9</v>
      </c>
      <c r="G261">
        <v>12.93</v>
      </c>
      <c r="H261">
        <v>6.75</v>
      </c>
      <c r="I261">
        <v>27.62</v>
      </c>
      <c r="J261">
        <v>10</v>
      </c>
      <c r="K261" t="s">
        <v>16</v>
      </c>
      <c r="L261" t="str">
        <f t="shared" si="112"/>
        <v>VALID</v>
      </c>
      <c r="M261">
        <f t="shared" ref="M261:M262" si="114">IF(J261&gt;0,H261/J261," ")</f>
        <v>0.67500000000000004</v>
      </c>
      <c r="N261" t="str">
        <f t="shared" ref="N261:N262" si="115">IF(ISNUMBER(E261),IF(E261&lt;1000,"Low",IF(E261&lt;3000,"Medium","High")),"Unknown")</f>
        <v>Low</v>
      </c>
      <c r="O261">
        <f t="shared" ref="O261:O262" si="116">(G261+I261)/2</f>
        <v>20.274999999999999</v>
      </c>
      <c r="P261" t="str">
        <f t="shared" ref="P261:P262" si="117">IF(O261&lt;30,"Low",IF(O261&lt;60,"Medium","High"))</f>
        <v>Low</v>
      </c>
    </row>
    <row r="262" spans="1:16" x14ac:dyDescent="0.25">
      <c r="A262">
        <v>1200</v>
      </c>
      <c r="B262">
        <v>34.299999999999997</v>
      </c>
      <c r="C262" t="s">
        <v>11</v>
      </c>
      <c r="D262" t="s">
        <v>15</v>
      </c>
      <c r="E262" s="3">
        <v>150</v>
      </c>
      <c r="F262">
        <v>89.3</v>
      </c>
      <c r="G262">
        <v>6.74</v>
      </c>
      <c r="H262">
        <v>3.16</v>
      </c>
      <c r="I262">
        <v>9.2100000000000009</v>
      </c>
      <c r="J262">
        <v>5</v>
      </c>
      <c r="K262" t="s">
        <v>13</v>
      </c>
      <c r="L262" t="str">
        <f t="shared" si="112"/>
        <v>VALID</v>
      </c>
      <c r="M262">
        <f t="shared" si="114"/>
        <v>0.63200000000000001</v>
      </c>
      <c r="N262" t="str">
        <f t="shared" si="115"/>
        <v>Low</v>
      </c>
      <c r="O262">
        <f t="shared" si="116"/>
        <v>7.9750000000000005</v>
      </c>
      <c r="P262" t="str">
        <f t="shared" si="117"/>
        <v>Low</v>
      </c>
    </row>
    <row r="263" spans="1:16" hidden="1" x14ac:dyDescent="0.25">
      <c r="A263">
        <v>150</v>
      </c>
      <c r="B263">
        <v>6.58</v>
      </c>
      <c r="C263" t="s">
        <v>11</v>
      </c>
      <c r="D263" t="s">
        <v>12</v>
      </c>
      <c r="E263">
        <v>2500</v>
      </c>
      <c r="F263">
        <v>95.9</v>
      </c>
      <c r="G263">
        <v>10.16</v>
      </c>
      <c r="H263">
        <v>6.98</v>
      </c>
      <c r="I263">
        <v>106.08</v>
      </c>
      <c r="J263">
        <v>22</v>
      </c>
      <c r="K263" t="s">
        <v>16</v>
      </c>
      <c r="L263" t="str">
        <f t="shared" si="112"/>
        <v>INVALID</v>
      </c>
    </row>
    <row r="264" spans="1:16" x14ac:dyDescent="0.25">
      <c r="A264">
        <v>400</v>
      </c>
      <c r="B264">
        <v>15.23</v>
      </c>
      <c r="C264" t="s">
        <v>19</v>
      </c>
      <c r="D264" t="s">
        <v>12</v>
      </c>
      <c r="E264" s="3">
        <v>300</v>
      </c>
      <c r="F264">
        <v>44.5</v>
      </c>
      <c r="G264">
        <v>5.53</v>
      </c>
      <c r="H264">
        <v>4.54</v>
      </c>
      <c r="I264">
        <v>29.81</v>
      </c>
      <c r="J264">
        <v>1</v>
      </c>
      <c r="K264" t="s">
        <v>13</v>
      </c>
      <c r="L264" t="str">
        <f t="shared" si="112"/>
        <v>VALID</v>
      </c>
      <c r="M264">
        <f t="shared" ref="M264" si="118">IF(J264&gt;0,H264/J264," ")</f>
        <v>4.54</v>
      </c>
      <c r="N264" t="str">
        <f>IF(ISNUMBER(E264),IF(E264&lt;1000,"Low",IF(E264&lt;3000,"Medium","High")),"Unknown")</f>
        <v>Low</v>
      </c>
      <c r="O264">
        <f>(G264+I264)/2</f>
        <v>17.669999999999998</v>
      </c>
      <c r="P264" t="str">
        <f>IF(O264&lt;30,"Low",IF(O264&lt;60,"Medium","High"))</f>
        <v>Low</v>
      </c>
    </row>
    <row r="265" spans="1:16" hidden="1" x14ac:dyDescent="0.25">
      <c r="A265">
        <v>50</v>
      </c>
      <c r="B265">
        <v>3.25</v>
      </c>
      <c r="C265" t="s">
        <v>21</v>
      </c>
      <c r="D265" t="s">
        <v>12</v>
      </c>
      <c r="E265">
        <v>1500</v>
      </c>
      <c r="F265">
        <v>34.6</v>
      </c>
      <c r="G265">
        <v>5.32</v>
      </c>
      <c r="H265">
        <v>9.52</v>
      </c>
      <c r="I265">
        <v>292.92</v>
      </c>
      <c r="J265">
        <v>11</v>
      </c>
      <c r="K265" t="s">
        <v>16</v>
      </c>
      <c r="L265" t="str">
        <f t="shared" si="112"/>
        <v>INVALID</v>
      </c>
    </row>
    <row r="266" spans="1:16" x14ac:dyDescent="0.25">
      <c r="A266">
        <v>500</v>
      </c>
      <c r="B266">
        <v>14.29</v>
      </c>
      <c r="C266" t="s">
        <v>22</v>
      </c>
      <c r="D266" t="s">
        <v>17</v>
      </c>
      <c r="E266" s="3">
        <v>2500</v>
      </c>
      <c r="F266">
        <v>21.4</v>
      </c>
      <c r="G266">
        <v>4.5</v>
      </c>
      <c r="H266">
        <v>8.42</v>
      </c>
      <c r="I266">
        <v>58.92</v>
      </c>
      <c r="J266">
        <v>18</v>
      </c>
      <c r="K266" t="s">
        <v>16</v>
      </c>
      <c r="L266" t="str">
        <f t="shared" si="112"/>
        <v>VALID</v>
      </c>
      <c r="M266">
        <f t="shared" ref="M266:M270" si="119">IF(J266&gt;0,H266/J266," ")</f>
        <v>0.46777777777777779</v>
      </c>
      <c r="N266" t="str">
        <f t="shared" ref="N266:N270" si="120">IF(ISNUMBER(E266),IF(E266&lt;1000,"Low",IF(E266&lt;3000,"Medium","High")),"Unknown")</f>
        <v>Medium</v>
      </c>
      <c r="O266">
        <f t="shared" ref="O266:O270" si="121">(G266+I266)/2</f>
        <v>31.71</v>
      </c>
      <c r="P266" t="str">
        <f t="shared" ref="P266:P270" si="122">IF(O266&lt;30,"Low",IF(O266&lt;60,"Medium","High"))</f>
        <v>Medium</v>
      </c>
    </row>
    <row r="267" spans="1:16" x14ac:dyDescent="0.25">
      <c r="A267">
        <v>1500</v>
      </c>
      <c r="B267">
        <v>44.29</v>
      </c>
      <c r="C267" t="s">
        <v>14</v>
      </c>
      <c r="D267" t="s">
        <v>15</v>
      </c>
      <c r="E267" s="3">
        <v>600</v>
      </c>
      <c r="F267">
        <v>54.1</v>
      </c>
      <c r="G267">
        <v>12.97</v>
      </c>
      <c r="H267">
        <v>1.59</v>
      </c>
      <c r="I267">
        <v>3.59</v>
      </c>
      <c r="J267">
        <v>4</v>
      </c>
      <c r="K267" t="s">
        <v>23</v>
      </c>
      <c r="L267" t="str">
        <f t="shared" si="112"/>
        <v>VALID</v>
      </c>
      <c r="M267">
        <f t="shared" si="119"/>
        <v>0.39750000000000002</v>
      </c>
      <c r="N267" t="str">
        <f t="shared" si="120"/>
        <v>Low</v>
      </c>
      <c r="O267">
        <f t="shared" si="121"/>
        <v>8.2800000000000011</v>
      </c>
      <c r="P267" t="str">
        <f t="shared" si="122"/>
        <v>Low</v>
      </c>
    </row>
    <row r="268" spans="1:16" x14ac:dyDescent="0.25">
      <c r="A268">
        <v>1000</v>
      </c>
      <c r="B268">
        <v>31.28</v>
      </c>
      <c r="C268" t="s">
        <v>22</v>
      </c>
      <c r="D268" t="s">
        <v>20</v>
      </c>
      <c r="E268" s="3">
        <v>1500</v>
      </c>
      <c r="F268">
        <v>30</v>
      </c>
      <c r="G268">
        <v>3.04</v>
      </c>
      <c r="H268">
        <v>9.7100000000000009</v>
      </c>
      <c r="I268">
        <v>31.04</v>
      </c>
      <c r="J268">
        <v>16</v>
      </c>
      <c r="K268" t="s">
        <v>16</v>
      </c>
      <c r="L268" t="str">
        <f t="shared" si="112"/>
        <v>VALID</v>
      </c>
      <c r="M268">
        <f t="shared" si="119"/>
        <v>0.60687500000000005</v>
      </c>
      <c r="N268" t="str">
        <f t="shared" si="120"/>
        <v>Medium</v>
      </c>
      <c r="O268">
        <f t="shared" si="121"/>
        <v>17.04</v>
      </c>
      <c r="P268" t="str">
        <f t="shared" si="122"/>
        <v>Low</v>
      </c>
    </row>
    <row r="269" spans="1:16" x14ac:dyDescent="0.25">
      <c r="A269">
        <v>1200</v>
      </c>
      <c r="B269">
        <v>37.119999999999997</v>
      </c>
      <c r="C269" t="s">
        <v>22</v>
      </c>
      <c r="D269" t="s">
        <v>15</v>
      </c>
      <c r="E269" s="3">
        <v>2500</v>
      </c>
      <c r="F269">
        <v>102.2</v>
      </c>
      <c r="G269">
        <v>8.3000000000000007</v>
      </c>
      <c r="H269">
        <v>5.86</v>
      </c>
      <c r="I269">
        <v>15.79</v>
      </c>
      <c r="J269">
        <v>20</v>
      </c>
      <c r="K269" t="s">
        <v>16</v>
      </c>
      <c r="L269" t="str">
        <f t="shared" si="112"/>
        <v>VALID</v>
      </c>
      <c r="M269">
        <f t="shared" si="119"/>
        <v>0.29300000000000004</v>
      </c>
      <c r="N269" t="str">
        <f t="shared" si="120"/>
        <v>Medium</v>
      </c>
      <c r="O269">
        <f t="shared" si="121"/>
        <v>12.045</v>
      </c>
      <c r="P269" t="str">
        <f t="shared" si="122"/>
        <v>Low</v>
      </c>
    </row>
    <row r="270" spans="1:16" x14ac:dyDescent="0.25">
      <c r="A270">
        <v>800</v>
      </c>
      <c r="B270">
        <v>25.85</v>
      </c>
      <c r="C270" t="s">
        <v>22</v>
      </c>
      <c r="D270" t="s">
        <v>20</v>
      </c>
      <c r="E270" s="3">
        <v>1500</v>
      </c>
      <c r="F270">
        <v>21.4</v>
      </c>
      <c r="G270">
        <v>9.85</v>
      </c>
      <c r="H270">
        <v>1.36</v>
      </c>
      <c r="I270">
        <v>5.26</v>
      </c>
      <c r="J270">
        <v>8</v>
      </c>
      <c r="K270" t="s">
        <v>23</v>
      </c>
      <c r="L270" t="str">
        <f t="shared" si="112"/>
        <v>VALID</v>
      </c>
      <c r="M270">
        <f t="shared" si="119"/>
        <v>0.17</v>
      </c>
      <c r="N270" t="str">
        <f t="shared" si="120"/>
        <v>Medium</v>
      </c>
      <c r="O270">
        <f t="shared" si="121"/>
        <v>7.5549999999999997</v>
      </c>
      <c r="P270" t="str">
        <f t="shared" si="122"/>
        <v>Low</v>
      </c>
    </row>
    <row r="271" spans="1:16" hidden="1" x14ac:dyDescent="0.25">
      <c r="A271">
        <v>100</v>
      </c>
      <c r="B271">
        <v>4.55</v>
      </c>
      <c r="C271" t="s">
        <v>22</v>
      </c>
      <c r="D271" t="s">
        <v>15</v>
      </c>
      <c r="E271">
        <v>600</v>
      </c>
      <c r="F271">
        <v>62.3</v>
      </c>
      <c r="G271">
        <v>9.8699999999999992</v>
      </c>
      <c r="H271">
        <v>8.5299999999999994</v>
      </c>
      <c r="I271">
        <v>187.47</v>
      </c>
      <c r="J271">
        <v>25</v>
      </c>
      <c r="K271" t="s">
        <v>16</v>
      </c>
      <c r="L271" t="str">
        <f t="shared" si="112"/>
        <v>INVALID</v>
      </c>
    </row>
    <row r="272" spans="1:16" x14ac:dyDescent="0.25">
      <c r="A272">
        <v>1500</v>
      </c>
      <c r="B272">
        <v>47.27</v>
      </c>
      <c r="C272" t="s">
        <v>19</v>
      </c>
      <c r="D272" t="s">
        <v>15</v>
      </c>
      <c r="E272" s="3">
        <v>600</v>
      </c>
      <c r="F272">
        <v>0.6</v>
      </c>
      <c r="G272">
        <v>8.51</v>
      </c>
      <c r="H272">
        <v>3.84</v>
      </c>
      <c r="I272">
        <v>8.1199999999999992</v>
      </c>
      <c r="J272">
        <v>9</v>
      </c>
      <c r="K272" t="s">
        <v>13</v>
      </c>
      <c r="L272" t="str">
        <f t="shared" si="112"/>
        <v>VALID</v>
      </c>
      <c r="M272">
        <f t="shared" ref="M272" si="123">IF(J272&gt;0,H272/J272," ")</f>
        <v>0.42666666666666664</v>
      </c>
      <c r="N272" t="str">
        <f>IF(ISNUMBER(E272),IF(E272&lt;1000,"Low",IF(E272&lt;3000,"Medium","High")),"Unknown")</f>
        <v>Low</v>
      </c>
      <c r="O272">
        <f>(G272+I272)/2</f>
        <v>8.3149999999999995</v>
      </c>
      <c r="P272" t="str">
        <f>IF(O272&lt;30,"Low",IF(O272&lt;60,"Medium","High"))</f>
        <v>Low</v>
      </c>
    </row>
    <row r="273" spans="1:16" hidden="1" x14ac:dyDescent="0.25">
      <c r="A273">
        <v>150</v>
      </c>
      <c r="B273">
        <v>6.25</v>
      </c>
      <c r="C273" t="s">
        <v>21</v>
      </c>
      <c r="D273" t="s">
        <v>15</v>
      </c>
      <c r="E273">
        <v>2500</v>
      </c>
      <c r="F273">
        <v>-36.4</v>
      </c>
      <c r="G273">
        <v>12.69</v>
      </c>
      <c r="H273">
        <v>8.31</v>
      </c>
      <c r="I273">
        <v>132.96</v>
      </c>
      <c r="J273">
        <v>20</v>
      </c>
      <c r="K273" t="s">
        <v>16</v>
      </c>
      <c r="L273" t="str">
        <f t="shared" si="112"/>
        <v>INVALID</v>
      </c>
    </row>
    <row r="274" spans="1:16" x14ac:dyDescent="0.25">
      <c r="A274">
        <v>1500</v>
      </c>
      <c r="B274">
        <v>34.770000000000003</v>
      </c>
      <c r="C274" t="s">
        <v>11</v>
      </c>
      <c r="D274" t="s">
        <v>17</v>
      </c>
      <c r="E274" s="3">
        <v>2500</v>
      </c>
      <c r="F274">
        <v>127</v>
      </c>
      <c r="G274">
        <v>13.73</v>
      </c>
      <c r="H274">
        <v>5.56</v>
      </c>
      <c r="I274">
        <v>15.99</v>
      </c>
      <c r="J274">
        <v>21</v>
      </c>
      <c r="K274" t="s">
        <v>16</v>
      </c>
      <c r="L274" t="str">
        <f t="shared" si="112"/>
        <v>VALID</v>
      </c>
      <c r="M274">
        <f t="shared" ref="M274:M280" si="124">IF(J274&gt;0,H274/J274," ")</f>
        <v>0.26476190476190475</v>
      </c>
      <c r="N274" t="str">
        <f t="shared" ref="N274:N280" si="125">IF(ISNUMBER(E274),IF(E274&lt;1000,"Low",IF(E274&lt;3000,"Medium","High")),"Unknown")</f>
        <v>Medium</v>
      </c>
      <c r="O274">
        <f t="shared" ref="O274:O280" si="126">(G274+I274)/2</f>
        <v>14.86</v>
      </c>
      <c r="P274" t="str">
        <f t="shared" ref="P274:P280" si="127">IF(O274&lt;30,"Low",IF(O274&lt;60,"Medium","High"))</f>
        <v>Low</v>
      </c>
    </row>
    <row r="275" spans="1:16" x14ac:dyDescent="0.25">
      <c r="A275">
        <v>250</v>
      </c>
      <c r="B275">
        <v>9.9</v>
      </c>
      <c r="C275" t="s">
        <v>19</v>
      </c>
      <c r="D275" t="s">
        <v>20</v>
      </c>
      <c r="E275" s="3">
        <v>150</v>
      </c>
      <c r="F275">
        <v>21.9</v>
      </c>
      <c r="G275">
        <v>0.33</v>
      </c>
      <c r="H275">
        <v>6.21</v>
      </c>
      <c r="I275">
        <v>62.73</v>
      </c>
      <c r="J275">
        <v>17</v>
      </c>
      <c r="K275" t="s">
        <v>16</v>
      </c>
      <c r="L275" t="str">
        <f t="shared" si="112"/>
        <v>VALID</v>
      </c>
      <c r="M275">
        <f t="shared" si="124"/>
        <v>0.36529411764705882</v>
      </c>
      <c r="N275" t="str">
        <f t="shared" si="125"/>
        <v>Low</v>
      </c>
      <c r="O275">
        <f t="shared" si="126"/>
        <v>31.529999999999998</v>
      </c>
      <c r="P275" t="str">
        <f t="shared" si="127"/>
        <v>Medium</v>
      </c>
    </row>
    <row r="276" spans="1:16" x14ac:dyDescent="0.25">
      <c r="A276">
        <v>100</v>
      </c>
      <c r="B276">
        <v>6.3</v>
      </c>
      <c r="C276" t="s">
        <v>14</v>
      </c>
      <c r="D276" t="s">
        <v>15</v>
      </c>
      <c r="E276" s="3">
        <v>150</v>
      </c>
      <c r="F276">
        <v>20.2</v>
      </c>
      <c r="G276">
        <v>1.08</v>
      </c>
      <c r="H276">
        <v>5.0599999999999996</v>
      </c>
      <c r="I276">
        <v>80.319999999999993</v>
      </c>
      <c r="J276">
        <v>8</v>
      </c>
      <c r="K276" t="s">
        <v>16</v>
      </c>
      <c r="L276" t="str">
        <f t="shared" si="112"/>
        <v>VALID</v>
      </c>
      <c r="M276">
        <f t="shared" si="124"/>
        <v>0.63249999999999995</v>
      </c>
      <c r="N276" t="str">
        <f t="shared" si="125"/>
        <v>Low</v>
      </c>
      <c r="O276">
        <f t="shared" si="126"/>
        <v>40.699999999999996</v>
      </c>
      <c r="P276" t="str">
        <f t="shared" si="127"/>
        <v>Medium</v>
      </c>
    </row>
    <row r="277" spans="1:16" x14ac:dyDescent="0.25">
      <c r="A277">
        <v>1000</v>
      </c>
      <c r="B277">
        <v>28.47</v>
      </c>
      <c r="C277" t="s">
        <v>19</v>
      </c>
      <c r="D277" t="s">
        <v>12</v>
      </c>
      <c r="E277" s="3">
        <v>900</v>
      </c>
      <c r="F277">
        <v>58.5</v>
      </c>
      <c r="G277">
        <v>8.4</v>
      </c>
      <c r="H277">
        <v>0.71</v>
      </c>
      <c r="I277">
        <v>2.4900000000000002</v>
      </c>
      <c r="J277">
        <v>10</v>
      </c>
      <c r="K277" t="s">
        <v>23</v>
      </c>
      <c r="L277" t="str">
        <f t="shared" si="112"/>
        <v>VALID</v>
      </c>
      <c r="M277">
        <f t="shared" si="124"/>
        <v>7.0999999999999994E-2</v>
      </c>
      <c r="N277" t="str">
        <f t="shared" si="125"/>
        <v>Low</v>
      </c>
      <c r="O277">
        <f t="shared" si="126"/>
        <v>5.4450000000000003</v>
      </c>
      <c r="P277" t="str">
        <f t="shared" si="127"/>
        <v>Low</v>
      </c>
    </row>
    <row r="278" spans="1:16" x14ac:dyDescent="0.25">
      <c r="A278">
        <v>600</v>
      </c>
      <c r="B278">
        <v>23.1</v>
      </c>
      <c r="C278" t="s">
        <v>14</v>
      </c>
      <c r="D278" t="s">
        <v>12</v>
      </c>
      <c r="E278" s="3">
        <v>2500</v>
      </c>
      <c r="F278">
        <v>41.9</v>
      </c>
      <c r="G278">
        <v>15.62</v>
      </c>
      <c r="H278">
        <v>7.28</v>
      </c>
      <c r="I278">
        <v>31.52</v>
      </c>
      <c r="J278">
        <v>25</v>
      </c>
      <c r="K278" t="s">
        <v>16</v>
      </c>
      <c r="L278" t="str">
        <f t="shared" si="112"/>
        <v>VALID</v>
      </c>
      <c r="M278">
        <f t="shared" si="124"/>
        <v>0.29120000000000001</v>
      </c>
      <c r="N278" t="str">
        <f t="shared" si="125"/>
        <v>Medium</v>
      </c>
      <c r="O278">
        <f t="shared" si="126"/>
        <v>23.57</v>
      </c>
      <c r="P278" t="str">
        <f t="shared" si="127"/>
        <v>Low</v>
      </c>
    </row>
    <row r="279" spans="1:16" x14ac:dyDescent="0.25">
      <c r="A279">
        <v>800</v>
      </c>
      <c r="B279">
        <v>19.82</v>
      </c>
      <c r="C279" t="s">
        <v>21</v>
      </c>
      <c r="D279" t="s">
        <v>15</v>
      </c>
      <c r="E279" s="3">
        <v>900</v>
      </c>
      <c r="F279">
        <v>14.3</v>
      </c>
      <c r="G279">
        <v>15.34</v>
      </c>
      <c r="H279">
        <v>2.63</v>
      </c>
      <c r="I279">
        <v>13.27</v>
      </c>
      <c r="J279">
        <v>18</v>
      </c>
      <c r="K279" t="s">
        <v>13</v>
      </c>
      <c r="L279" t="str">
        <f t="shared" si="112"/>
        <v>VALID</v>
      </c>
      <c r="M279">
        <f t="shared" si="124"/>
        <v>0.14611111111111111</v>
      </c>
      <c r="N279" t="str">
        <f t="shared" si="125"/>
        <v>Low</v>
      </c>
      <c r="O279">
        <f t="shared" si="126"/>
        <v>14.305</v>
      </c>
      <c r="P279" t="str">
        <f t="shared" si="127"/>
        <v>Low</v>
      </c>
    </row>
    <row r="280" spans="1:16" x14ac:dyDescent="0.25">
      <c r="A280">
        <v>200</v>
      </c>
      <c r="B280">
        <v>8.01</v>
      </c>
      <c r="C280" t="s">
        <v>14</v>
      </c>
      <c r="D280" t="s">
        <v>12</v>
      </c>
      <c r="E280" s="3">
        <v>900</v>
      </c>
      <c r="F280">
        <v>35.299999999999997</v>
      </c>
      <c r="G280">
        <v>2.73</v>
      </c>
      <c r="H280">
        <v>5.0999999999999996</v>
      </c>
      <c r="I280">
        <v>63.67</v>
      </c>
      <c r="J280">
        <v>22</v>
      </c>
      <c r="K280" t="s">
        <v>16</v>
      </c>
      <c r="L280" t="str">
        <f t="shared" si="112"/>
        <v>VALID</v>
      </c>
      <c r="M280">
        <f t="shared" si="124"/>
        <v>0.23181818181818181</v>
      </c>
      <c r="N280" t="str">
        <f t="shared" si="125"/>
        <v>Low</v>
      </c>
      <c r="O280">
        <f t="shared" si="126"/>
        <v>33.200000000000003</v>
      </c>
      <c r="P280" t="str">
        <f t="shared" si="127"/>
        <v>Medium</v>
      </c>
    </row>
    <row r="281" spans="1:16" hidden="1" x14ac:dyDescent="0.25">
      <c r="A281">
        <v>50</v>
      </c>
      <c r="B281">
        <v>3.03</v>
      </c>
      <c r="C281" t="s">
        <v>22</v>
      </c>
      <c r="D281" t="s">
        <v>15</v>
      </c>
      <c r="E281">
        <v>1500</v>
      </c>
      <c r="F281">
        <v>32.299999999999997</v>
      </c>
      <c r="G281">
        <v>1.7</v>
      </c>
      <c r="H281">
        <v>5.19</v>
      </c>
      <c r="I281">
        <v>171.29</v>
      </c>
      <c r="J281">
        <v>10</v>
      </c>
      <c r="K281" t="s">
        <v>16</v>
      </c>
      <c r="L281" t="str">
        <f t="shared" si="112"/>
        <v>INVALID</v>
      </c>
    </row>
    <row r="282" spans="1:16" x14ac:dyDescent="0.25">
      <c r="A282">
        <v>500</v>
      </c>
      <c r="B282">
        <v>16.18</v>
      </c>
      <c r="C282" t="s">
        <v>22</v>
      </c>
      <c r="D282" t="s">
        <v>15</v>
      </c>
      <c r="E282" s="3">
        <v>300</v>
      </c>
      <c r="F282">
        <v>18.100000000000001</v>
      </c>
      <c r="G282">
        <v>6.3</v>
      </c>
      <c r="H282">
        <v>7.77</v>
      </c>
      <c r="I282">
        <v>48.02</v>
      </c>
      <c r="J282">
        <v>8</v>
      </c>
      <c r="K282" t="s">
        <v>16</v>
      </c>
      <c r="L282" t="str">
        <f t="shared" si="112"/>
        <v>VALID</v>
      </c>
      <c r="M282">
        <f t="shared" ref="M282:M289" si="128">IF(J282&gt;0,H282/J282," ")</f>
        <v>0.97124999999999995</v>
      </c>
      <c r="N282" t="str">
        <f t="shared" ref="N282:N289" si="129">IF(ISNUMBER(E282),IF(E282&lt;1000,"Low",IF(E282&lt;3000,"Medium","High")),"Unknown")</f>
        <v>Low</v>
      </c>
      <c r="O282">
        <f t="shared" ref="O282:O289" si="130">(G282+I282)/2</f>
        <v>27.16</v>
      </c>
      <c r="P282" t="str">
        <f t="shared" ref="P282:P289" si="131">IF(O282&lt;30,"Low",IF(O282&lt;60,"Medium","High"))</f>
        <v>Low</v>
      </c>
    </row>
    <row r="283" spans="1:16" x14ac:dyDescent="0.25">
      <c r="A283">
        <v>800</v>
      </c>
      <c r="B283">
        <v>25.94</v>
      </c>
      <c r="C283" t="s">
        <v>22</v>
      </c>
      <c r="D283" t="s">
        <v>17</v>
      </c>
      <c r="E283" s="3">
        <v>2500</v>
      </c>
      <c r="F283">
        <v>-8.1999999999999993</v>
      </c>
      <c r="G283">
        <v>16.89</v>
      </c>
      <c r="H283">
        <v>7.31</v>
      </c>
      <c r="I283">
        <v>28.18</v>
      </c>
      <c r="J283">
        <v>15</v>
      </c>
      <c r="K283" t="s">
        <v>16</v>
      </c>
      <c r="L283" t="str">
        <f t="shared" si="112"/>
        <v>VALID</v>
      </c>
      <c r="M283">
        <f t="shared" si="128"/>
        <v>0.48733333333333329</v>
      </c>
      <c r="N283" t="str">
        <f t="shared" si="129"/>
        <v>Medium</v>
      </c>
      <c r="O283">
        <f t="shared" si="130"/>
        <v>22.535</v>
      </c>
      <c r="P283" t="str">
        <f t="shared" si="131"/>
        <v>Low</v>
      </c>
    </row>
    <row r="284" spans="1:16" x14ac:dyDescent="0.25">
      <c r="A284">
        <v>100</v>
      </c>
      <c r="B284">
        <v>7.95</v>
      </c>
      <c r="C284" t="s">
        <v>14</v>
      </c>
      <c r="D284" t="s">
        <v>20</v>
      </c>
      <c r="E284" s="3">
        <v>2500</v>
      </c>
      <c r="F284">
        <v>9.5</v>
      </c>
      <c r="G284">
        <v>13.9</v>
      </c>
      <c r="H284">
        <v>1.71</v>
      </c>
      <c r="I284">
        <v>21.51</v>
      </c>
      <c r="J284">
        <v>13</v>
      </c>
      <c r="K284" t="s">
        <v>23</v>
      </c>
      <c r="L284" t="str">
        <f t="shared" si="112"/>
        <v>VALID</v>
      </c>
      <c r="M284">
        <f t="shared" si="128"/>
        <v>0.13153846153846155</v>
      </c>
      <c r="N284" t="str">
        <f t="shared" si="129"/>
        <v>Medium</v>
      </c>
      <c r="O284">
        <f t="shared" si="130"/>
        <v>17.705000000000002</v>
      </c>
      <c r="P284" t="str">
        <f t="shared" si="131"/>
        <v>Low</v>
      </c>
    </row>
    <row r="285" spans="1:16" x14ac:dyDescent="0.25">
      <c r="A285">
        <v>100</v>
      </c>
      <c r="B285">
        <v>5.96</v>
      </c>
      <c r="C285" t="s">
        <v>11</v>
      </c>
      <c r="D285" t="s">
        <v>20</v>
      </c>
      <c r="E285" s="3">
        <v>2500</v>
      </c>
      <c r="F285">
        <v>-22.2</v>
      </c>
      <c r="G285">
        <v>12.29</v>
      </c>
      <c r="H285">
        <v>3.89</v>
      </c>
      <c r="I285">
        <v>65.27</v>
      </c>
      <c r="J285">
        <v>19</v>
      </c>
      <c r="K285" t="s">
        <v>13</v>
      </c>
      <c r="L285" t="str">
        <f t="shared" si="112"/>
        <v>VALID</v>
      </c>
      <c r="M285">
        <f t="shared" si="128"/>
        <v>0.20473684210526316</v>
      </c>
      <c r="N285" t="str">
        <f t="shared" si="129"/>
        <v>Medium</v>
      </c>
      <c r="O285">
        <f t="shared" si="130"/>
        <v>38.78</v>
      </c>
      <c r="P285" t="str">
        <f t="shared" si="131"/>
        <v>Medium</v>
      </c>
    </row>
    <row r="286" spans="1:16" x14ac:dyDescent="0.25">
      <c r="A286">
        <v>600</v>
      </c>
      <c r="B286">
        <v>22.74</v>
      </c>
      <c r="C286" t="s">
        <v>22</v>
      </c>
      <c r="D286" t="s">
        <v>15</v>
      </c>
      <c r="E286" s="3">
        <v>600</v>
      </c>
      <c r="F286">
        <v>58.3</v>
      </c>
      <c r="G286">
        <v>19.34</v>
      </c>
      <c r="H286">
        <v>8.0399999999999991</v>
      </c>
      <c r="I286">
        <v>35.36</v>
      </c>
      <c r="J286">
        <v>25</v>
      </c>
      <c r="K286" t="s">
        <v>16</v>
      </c>
      <c r="L286" t="str">
        <f t="shared" si="112"/>
        <v>VALID</v>
      </c>
      <c r="M286">
        <f t="shared" si="128"/>
        <v>0.32159999999999994</v>
      </c>
      <c r="N286" t="str">
        <f t="shared" si="129"/>
        <v>Low</v>
      </c>
      <c r="O286">
        <f t="shared" si="130"/>
        <v>27.35</v>
      </c>
      <c r="P286" t="str">
        <f t="shared" si="131"/>
        <v>Low</v>
      </c>
    </row>
    <row r="287" spans="1:16" x14ac:dyDescent="0.25">
      <c r="A287">
        <v>500</v>
      </c>
      <c r="B287">
        <v>14.74</v>
      </c>
      <c r="C287" t="s">
        <v>19</v>
      </c>
      <c r="D287" t="s">
        <v>20</v>
      </c>
      <c r="E287" s="3">
        <v>150</v>
      </c>
      <c r="F287">
        <v>-37.6</v>
      </c>
      <c r="G287">
        <v>19.170000000000002</v>
      </c>
      <c r="H287">
        <v>4.33</v>
      </c>
      <c r="I287">
        <v>29.38</v>
      </c>
      <c r="J287">
        <v>14</v>
      </c>
      <c r="K287" t="s">
        <v>13</v>
      </c>
      <c r="L287" t="str">
        <f t="shared" si="112"/>
        <v>VALID</v>
      </c>
      <c r="M287">
        <f t="shared" si="128"/>
        <v>0.30928571428571427</v>
      </c>
      <c r="N287" t="str">
        <f t="shared" si="129"/>
        <v>Low</v>
      </c>
      <c r="O287">
        <f t="shared" si="130"/>
        <v>24.274999999999999</v>
      </c>
      <c r="P287" t="str">
        <f t="shared" si="131"/>
        <v>Low</v>
      </c>
    </row>
    <row r="288" spans="1:16" x14ac:dyDescent="0.25">
      <c r="A288">
        <v>400</v>
      </c>
      <c r="B288">
        <v>17.53</v>
      </c>
      <c r="C288" t="s">
        <v>14</v>
      </c>
      <c r="D288" t="s">
        <v>20</v>
      </c>
      <c r="E288" s="3">
        <v>300</v>
      </c>
      <c r="F288">
        <v>83.6</v>
      </c>
      <c r="G288">
        <v>2.2799999999999998</v>
      </c>
      <c r="H288">
        <v>4.6399999999999997</v>
      </c>
      <c r="I288">
        <v>26.47</v>
      </c>
      <c r="J288">
        <v>19</v>
      </c>
      <c r="K288" t="s">
        <v>13</v>
      </c>
      <c r="L288" t="str">
        <f t="shared" si="112"/>
        <v>VALID</v>
      </c>
      <c r="M288">
        <f t="shared" si="128"/>
        <v>0.24421052631578946</v>
      </c>
      <c r="N288" t="str">
        <f t="shared" si="129"/>
        <v>Low</v>
      </c>
      <c r="O288">
        <f t="shared" si="130"/>
        <v>14.375</v>
      </c>
      <c r="P288" t="str">
        <f t="shared" si="131"/>
        <v>Low</v>
      </c>
    </row>
    <row r="289" spans="1:16" x14ac:dyDescent="0.25">
      <c r="A289">
        <v>800</v>
      </c>
      <c r="B289">
        <v>23.62</v>
      </c>
      <c r="C289" t="s">
        <v>19</v>
      </c>
      <c r="D289" t="s">
        <v>15</v>
      </c>
      <c r="E289" s="3">
        <v>900</v>
      </c>
      <c r="F289">
        <v>-24.3</v>
      </c>
      <c r="G289">
        <v>10.58</v>
      </c>
      <c r="H289">
        <v>0.92</v>
      </c>
      <c r="I289">
        <v>3.9</v>
      </c>
      <c r="J289">
        <v>7</v>
      </c>
      <c r="K289" t="s">
        <v>23</v>
      </c>
      <c r="L289" t="str">
        <f t="shared" si="112"/>
        <v>VALID</v>
      </c>
      <c r="M289">
        <f t="shared" si="128"/>
        <v>0.13142857142857142</v>
      </c>
      <c r="N289" t="str">
        <f t="shared" si="129"/>
        <v>Low</v>
      </c>
      <c r="O289">
        <f t="shared" si="130"/>
        <v>7.24</v>
      </c>
      <c r="P289" t="str">
        <f t="shared" si="131"/>
        <v>Low</v>
      </c>
    </row>
    <row r="290" spans="1:16" hidden="1" x14ac:dyDescent="0.25">
      <c r="A290">
        <v>100</v>
      </c>
      <c r="B290">
        <v>4.34</v>
      </c>
      <c r="C290" t="s">
        <v>22</v>
      </c>
      <c r="D290" t="s">
        <v>15</v>
      </c>
      <c r="E290">
        <v>900</v>
      </c>
      <c r="F290">
        <v>145.80000000000001</v>
      </c>
      <c r="G290">
        <v>6.75</v>
      </c>
      <c r="H290">
        <v>4.82</v>
      </c>
      <c r="I290">
        <v>111.06</v>
      </c>
      <c r="J290">
        <v>20</v>
      </c>
      <c r="K290" t="s">
        <v>13</v>
      </c>
      <c r="L290" t="str">
        <f t="shared" si="112"/>
        <v>INVALID</v>
      </c>
    </row>
    <row r="291" spans="1:16" x14ac:dyDescent="0.25">
      <c r="A291">
        <v>800</v>
      </c>
      <c r="B291">
        <v>25.01</v>
      </c>
      <c r="C291" t="s">
        <v>21</v>
      </c>
      <c r="D291" t="s">
        <v>17</v>
      </c>
      <c r="E291" s="3">
        <v>900</v>
      </c>
      <c r="F291">
        <v>46.9</v>
      </c>
      <c r="G291">
        <v>13.68</v>
      </c>
      <c r="H291">
        <v>8.81</v>
      </c>
      <c r="I291">
        <v>35.229999999999997</v>
      </c>
      <c r="J291">
        <v>13</v>
      </c>
      <c r="K291" t="s">
        <v>16</v>
      </c>
      <c r="L291" t="str">
        <f t="shared" si="112"/>
        <v>VALID</v>
      </c>
      <c r="M291">
        <f t="shared" ref="M291:M297" si="132">IF(J291&gt;0,H291/J291," ")</f>
        <v>0.6776923076923077</v>
      </c>
      <c r="N291" t="str">
        <f t="shared" ref="N291:N297" si="133">IF(ISNUMBER(E291),IF(E291&lt;1000,"Low",IF(E291&lt;3000,"Medium","High")),"Unknown")</f>
        <v>Low</v>
      </c>
      <c r="O291">
        <f t="shared" ref="O291:O297" si="134">(G291+I291)/2</f>
        <v>24.454999999999998</v>
      </c>
      <c r="P291" t="str">
        <f t="shared" ref="P291:P297" si="135">IF(O291&lt;30,"Low",IF(O291&lt;60,"Medium","High"))</f>
        <v>Low</v>
      </c>
    </row>
    <row r="292" spans="1:16" x14ac:dyDescent="0.25">
      <c r="A292">
        <v>600</v>
      </c>
      <c r="B292">
        <v>16.41</v>
      </c>
      <c r="C292" t="s">
        <v>19</v>
      </c>
      <c r="D292" t="s">
        <v>20</v>
      </c>
      <c r="E292" s="3">
        <v>600</v>
      </c>
      <c r="F292">
        <v>66.400000000000006</v>
      </c>
      <c r="G292">
        <v>1.02</v>
      </c>
      <c r="H292">
        <v>9.31</v>
      </c>
      <c r="I292">
        <v>56.73</v>
      </c>
      <c r="J292">
        <v>4</v>
      </c>
      <c r="K292" t="s">
        <v>16</v>
      </c>
      <c r="L292" t="str">
        <f t="shared" si="112"/>
        <v>VALID</v>
      </c>
      <c r="M292">
        <f t="shared" si="132"/>
        <v>2.3275000000000001</v>
      </c>
      <c r="N292" t="str">
        <f t="shared" si="133"/>
        <v>Low</v>
      </c>
      <c r="O292">
        <f t="shared" si="134"/>
        <v>28.875</v>
      </c>
      <c r="P292" t="str">
        <f t="shared" si="135"/>
        <v>Low</v>
      </c>
    </row>
    <row r="293" spans="1:16" x14ac:dyDescent="0.25">
      <c r="A293">
        <v>1000</v>
      </c>
      <c r="B293">
        <v>29.23</v>
      </c>
      <c r="C293" t="s">
        <v>21</v>
      </c>
      <c r="D293" t="s">
        <v>15</v>
      </c>
      <c r="E293" s="3">
        <v>2500</v>
      </c>
      <c r="F293">
        <v>135</v>
      </c>
      <c r="G293">
        <v>4.6500000000000004</v>
      </c>
      <c r="H293">
        <v>8.4700000000000006</v>
      </c>
      <c r="I293">
        <v>28.98</v>
      </c>
      <c r="J293">
        <v>16</v>
      </c>
      <c r="K293" t="s">
        <v>16</v>
      </c>
      <c r="L293" t="str">
        <f t="shared" si="112"/>
        <v>VALID</v>
      </c>
      <c r="M293">
        <f t="shared" si="132"/>
        <v>0.52937500000000004</v>
      </c>
      <c r="N293" t="str">
        <f t="shared" si="133"/>
        <v>Medium</v>
      </c>
      <c r="O293">
        <f t="shared" si="134"/>
        <v>16.815000000000001</v>
      </c>
      <c r="P293" t="str">
        <f t="shared" si="135"/>
        <v>Low</v>
      </c>
    </row>
    <row r="294" spans="1:16" x14ac:dyDescent="0.25">
      <c r="A294">
        <v>800</v>
      </c>
      <c r="B294">
        <v>27.97</v>
      </c>
      <c r="C294" t="s">
        <v>21</v>
      </c>
      <c r="D294" t="s">
        <v>20</v>
      </c>
      <c r="E294" s="3">
        <v>2500</v>
      </c>
      <c r="F294">
        <v>72</v>
      </c>
      <c r="G294">
        <v>7.73</v>
      </c>
      <c r="H294">
        <v>0.88</v>
      </c>
      <c r="I294">
        <v>3.15</v>
      </c>
      <c r="J294">
        <v>17</v>
      </c>
      <c r="K294" t="s">
        <v>23</v>
      </c>
      <c r="L294" t="str">
        <f t="shared" si="112"/>
        <v>VALID</v>
      </c>
      <c r="M294">
        <f t="shared" si="132"/>
        <v>5.1764705882352942E-2</v>
      </c>
      <c r="N294" t="str">
        <f t="shared" si="133"/>
        <v>Medium</v>
      </c>
      <c r="O294">
        <f t="shared" si="134"/>
        <v>5.44</v>
      </c>
      <c r="P294" t="str">
        <f t="shared" si="135"/>
        <v>Low</v>
      </c>
    </row>
    <row r="295" spans="1:16" x14ac:dyDescent="0.25">
      <c r="A295">
        <v>100</v>
      </c>
      <c r="B295">
        <v>4.13</v>
      </c>
      <c r="C295" t="s">
        <v>19</v>
      </c>
      <c r="D295" t="s">
        <v>17</v>
      </c>
      <c r="E295" s="3">
        <v>2500</v>
      </c>
      <c r="F295">
        <v>-17.899999999999999</v>
      </c>
      <c r="G295">
        <v>4.13</v>
      </c>
      <c r="H295">
        <v>3.1</v>
      </c>
      <c r="I295">
        <v>75.06</v>
      </c>
      <c r="J295">
        <v>18</v>
      </c>
      <c r="K295" t="s">
        <v>13</v>
      </c>
      <c r="L295" t="str">
        <f t="shared" si="112"/>
        <v>VALID</v>
      </c>
      <c r="M295">
        <f t="shared" si="132"/>
        <v>0.17222222222222222</v>
      </c>
      <c r="N295" t="str">
        <f t="shared" si="133"/>
        <v>Medium</v>
      </c>
      <c r="O295">
        <f t="shared" si="134"/>
        <v>39.594999999999999</v>
      </c>
      <c r="P295" t="str">
        <f t="shared" si="135"/>
        <v>Medium</v>
      </c>
    </row>
    <row r="296" spans="1:16" x14ac:dyDescent="0.25">
      <c r="A296">
        <v>1000</v>
      </c>
      <c r="B296">
        <v>21.35</v>
      </c>
      <c r="C296" t="s">
        <v>21</v>
      </c>
      <c r="D296" t="s">
        <v>12</v>
      </c>
      <c r="E296" s="3">
        <v>150</v>
      </c>
      <c r="F296">
        <v>53.1</v>
      </c>
      <c r="G296">
        <v>20</v>
      </c>
      <c r="H296">
        <v>7.27</v>
      </c>
      <c r="I296">
        <v>34.049999999999997</v>
      </c>
      <c r="J296">
        <v>8</v>
      </c>
      <c r="K296" t="s">
        <v>16</v>
      </c>
      <c r="L296" t="str">
        <f t="shared" si="112"/>
        <v>VALID</v>
      </c>
      <c r="M296">
        <f t="shared" si="132"/>
        <v>0.90874999999999995</v>
      </c>
      <c r="N296" t="str">
        <f t="shared" si="133"/>
        <v>Low</v>
      </c>
      <c r="O296">
        <f t="shared" si="134"/>
        <v>27.024999999999999</v>
      </c>
      <c r="P296" t="str">
        <f t="shared" si="135"/>
        <v>Low</v>
      </c>
    </row>
    <row r="297" spans="1:16" x14ac:dyDescent="0.25">
      <c r="A297">
        <v>1000</v>
      </c>
      <c r="B297">
        <v>26.04</v>
      </c>
      <c r="C297" t="s">
        <v>21</v>
      </c>
      <c r="D297" t="s">
        <v>12</v>
      </c>
      <c r="E297" s="3">
        <v>1500</v>
      </c>
      <c r="F297">
        <v>57.7</v>
      </c>
      <c r="G297">
        <v>9.7899999999999991</v>
      </c>
      <c r="H297">
        <v>9.56</v>
      </c>
      <c r="I297">
        <v>36.71</v>
      </c>
      <c r="J297">
        <v>20</v>
      </c>
      <c r="K297" t="s">
        <v>16</v>
      </c>
      <c r="L297" t="str">
        <f t="shared" si="112"/>
        <v>VALID</v>
      </c>
      <c r="M297">
        <f t="shared" si="132"/>
        <v>0.47800000000000004</v>
      </c>
      <c r="N297" t="str">
        <f t="shared" si="133"/>
        <v>Medium</v>
      </c>
      <c r="O297">
        <f t="shared" si="134"/>
        <v>23.25</v>
      </c>
      <c r="P297" t="str">
        <f t="shared" si="135"/>
        <v>Low</v>
      </c>
    </row>
    <row r="298" spans="1:16" hidden="1" x14ac:dyDescent="0.25">
      <c r="A298">
        <v>100</v>
      </c>
      <c r="B298">
        <v>4.37</v>
      </c>
      <c r="C298" t="s">
        <v>19</v>
      </c>
      <c r="D298" t="s">
        <v>15</v>
      </c>
      <c r="E298">
        <v>900</v>
      </c>
      <c r="F298">
        <v>131.5</v>
      </c>
      <c r="G298">
        <v>17.739999999999998</v>
      </c>
      <c r="H298">
        <v>9.8699999999999992</v>
      </c>
      <c r="I298">
        <v>225.86</v>
      </c>
      <c r="J298">
        <v>11</v>
      </c>
      <c r="K298" t="s">
        <v>16</v>
      </c>
      <c r="L298" t="str">
        <f t="shared" si="112"/>
        <v>INVALID</v>
      </c>
    </row>
    <row r="299" spans="1:16" x14ac:dyDescent="0.25">
      <c r="A299">
        <v>600</v>
      </c>
      <c r="B299">
        <v>12.73</v>
      </c>
      <c r="C299" t="s">
        <v>22</v>
      </c>
      <c r="D299" t="s">
        <v>12</v>
      </c>
      <c r="E299" s="3">
        <v>1500</v>
      </c>
      <c r="F299">
        <v>48.8</v>
      </c>
      <c r="G299">
        <v>15.15</v>
      </c>
      <c r="H299">
        <v>5.74</v>
      </c>
      <c r="I299">
        <v>45.09</v>
      </c>
      <c r="J299">
        <v>4</v>
      </c>
      <c r="K299" t="s">
        <v>16</v>
      </c>
      <c r="L299" t="str">
        <f t="shared" si="112"/>
        <v>VALID</v>
      </c>
      <c r="M299">
        <f t="shared" ref="M299:M305" si="136">IF(J299&gt;0,H299/J299," ")</f>
        <v>1.4350000000000001</v>
      </c>
      <c r="N299" t="str">
        <f t="shared" ref="N299:N305" si="137">IF(ISNUMBER(E299),IF(E299&lt;1000,"Low",IF(E299&lt;3000,"Medium","High")),"Unknown")</f>
        <v>Medium</v>
      </c>
      <c r="O299">
        <f t="shared" ref="O299:O305" si="138">(G299+I299)/2</f>
        <v>30.12</v>
      </c>
      <c r="P299" t="str">
        <f t="shared" ref="P299:P305" si="139">IF(O299&lt;30,"Low",IF(O299&lt;60,"Medium","High"))</f>
        <v>Medium</v>
      </c>
    </row>
    <row r="300" spans="1:16" x14ac:dyDescent="0.25">
      <c r="A300">
        <v>400</v>
      </c>
      <c r="B300">
        <v>10.050000000000001</v>
      </c>
      <c r="C300" t="s">
        <v>19</v>
      </c>
      <c r="D300" t="s">
        <v>15</v>
      </c>
      <c r="E300" s="3">
        <v>1500</v>
      </c>
      <c r="F300">
        <v>7.5</v>
      </c>
      <c r="G300">
        <v>10.199999999999999</v>
      </c>
      <c r="H300">
        <v>6.39</v>
      </c>
      <c r="I300">
        <v>63.58</v>
      </c>
      <c r="J300">
        <v>5</v>
      </c>
      <c r="K300" t="s">
        <v>16</v>
      </c>
      <c r="L300" t="str">
        <f t="shared" si="112"/>
        <v>VALID</v>
      </c>
      <c r="M300">
        <f t="shared" si="136"/>
        <v>1.278</v>
      </c>
      <c r="N300" t="str">
        <f t="shared" si="137"/>
        <v>Medium</v>
      </c>
      <c r="O300">
        <f t="shared" si="138"/>
        <v>36.89</v>
      </c>
      <c r="P300" t="str">
        <f t="shared" si="139"/>
        <v>Medium</v>
      </c>
    </row>
    <row r="301" spans="1:16" x14ac:dyDescent="0.25">
      <c r="A301">
        <v>1200</v>
      </c>
      <c r="B301">
        <v>37.42</v>
      </c>
      <c r="C301" t="s">
        <v>22</v>
      </c>
      <c r="D301" t="s">
        <v>20</v>
      </c>
      <c r="E301" s="3">
        <v>1500</v>
      </c>
      <c r="F301">
        <v>95.1</v>
      </c>
      <c r="G301">
        <v>9.49</v>
      </c>
      <c r="H301">
        <v>4.49</v>
      </c>
      <c r="I301">
        <v>12</v>
      </c>
      <c r="J301">
        <v>23</v>
      </c>
      <c r="K301" t="s">
        <v>13</v>
      </c>
      <c r="L301" t="str">
        <f t="shared" si="112"/>
        <v>VALID</v>
      </c>
      <c r="M301">
        <f t="shared" si="136"/>
        <v>0.19521739130434784</v>
      </c>
      <c r="N301" t="str">
        <f t="shared" si="137"/>
        <v>Medium</v>
      </c>
      <c r="O301">
        <f t="shared" si="138"/>
        <v>10.745000000000001</v>
      </c>
      <c r="P301" t="str">
        <f t="shared" si="139"/>
        <v>Low</v>
      </c>
    </row>
    <row r="302" spans="1:16" x14ac:dyDescent="0.25">
      <c r="A302">
        <v>50</v>
      </c>
      <c r="B302">
        <v>5.99</v>
      </c>
      <c r="C302" t="s">
        <v>14</v>
      </c>
      <c r="D302" t="s">
        <v>12</v>
      </c>
      <c r="E302" s="3">
        <v>900</v>
      </c>
      <c r="F302">
        <v>95</v>
      </c>
      <c r="G302">
        <v>17.22</v>
      </c>
      <c r="H302">
        <v>2.5099999999999998</v>
      </c>
      <c r="I302">
        <v>41.9</v>
      </c>
      <c r="J302">
        <v>13</v>
      </c>
      <c r="K302" t="s">
        <v>13</v>
      </c>
      <c r="L302" t="str">
        <f t="shared" si="112"/>
        <v>VALID</v>
      </c>
      <c r="M302">
        <f t="shared" si="136"/>
        <v>0.19307692307692306</v>
      </c>
      <c r="N302" t="str">
        <f t="shared" si="137"/>
        <v>Low</v>
      </c>
      <c r="O302">
        <f t="shared" si="138"/>
        <v>29.56</v>
      </c>
      <c r="P302" t="str">
        <f t="shared" si="139"/>
        <v>Low</v>
      </c>
    </row>
    <row r="303" spans="1:16" x14ac:dyDescent="0.25">
      <c r="A303">
        <v>300</v>
      </c>
      <c r="B303">
        <v>14.67</v>
      </c>
      <c r="C303" t="s">
        <v>21</v>
      </c>
      <c r="D303" t="s">
        <v>17</v>
      </c>
      <c r="E303" s="3">
        <v>2500</v>
      </c>
      <c r="F303">
        <v>51.2</v>
      </c>
      <c r="G303">
        <v>18.37</v>
      </c>
      <c r="H303">
        <v>8.4600000000000009</v>
      </c>
      <c r="I303">
        <v>57.67</v>
      </c>
      <c r="J303">
        <v>4</v>
      </c>
      <c r="K303" t="s">
        <v>16</v>
      </c>
      <c r="L303" t="str">
        <f t="shared" si="112"/>
        <v>VALID</v>
      </c>
      <c r="M303">
        <f t="shared" si="136"/>
        <v>2.1150000000000002</v>
      </c>
      <c r="N303" t="str">
        <f t="shared" si="137"/>
        <v>Medium</v>
      </c>
      <c r="O303">
        <f t="shared" si="138"/>
        <v>38.020000000000003</v>
      </c>
      <c r="P303" t="str">
        <f t="shared" si="139"/>
        <v>Medium</v>
      </c>
    </row>
    <row r="304" spans="1:16" x14ac:dyDescent="0.25">
      <c r="A304">
        <v>1000</v>
      </c>
      <c r="B304">
        <v>29.16</v>
      </c>
      <c r="C304" t="s">
        <v>11</v>
      </c>
      <c r="D304" t="s">
        <v>12</v>
      </c>
      <c r="E304" s="3">
        <v>600</v>
      </c>
      <c r="F304">
        <v>-24.7</v>
      </c>
      <c r="G304">
        <v>2.48</v>
      </c>
      <c r="H304">
        <v>3.82</v>
      </c>
      <c r="I304">
        <v>13.1</v>
      </c>
      <c r="J304">
        <v>4</v>
      </c>
      <c r="K304" t="s">
        <v>13</v>
      </c>
      <c r="L304" t="str">
        <f t="shared" si="112"/>
        <v>VALID</v>
      </c>
      <c r="M304">
        <f t="shared" si="136"/>
        <v>0.95499999999999996</v>
      </c>
      <c r="N304" t="str">
        <f t="shared" si="137"/>
        <v>Low</v>
      </c>
      <c r="O304">
        <f t="shared" si="138"/>
        <v>7.79</v>
      </c>
      <c r="P304" t="str">
        <f t="shared" si="139"/>
        <v>Low</v>
      </c>
    </row>
    <row r="305" spans="1:16" x14ac:dyDescent="0.25">
      <c r="A305">
        <v>500</v>
      </c>
      <c r="B305">
        <v>14.55</v>
      </c>
      <c r="C305" t="s">
        <v>14</v>
      </c>
      <c r="D305" t="s">
        <v>20</v>
      </c>
      <c r="E305" s="3">
        <v>600</v>
      </c>
      <c r="F305">
        <v>19.899999999999999</v>
      </c>
      <c r="G305">
        <v>0.39</v>
      </c>
      <c r="H305">
        <v>5.98</v>
      </c>
      <c r="I305">
        <v>41.1</v>
      </c>
      <c r="J305">
        <v>24</v>
      </c>
      <c r="K305" t="s">
        <v>16</v>
      </c>
      <c r="L305" t="str">
        <f t="shared" si="112"/>
        <v>VALID</v>
      </c>
      <c r="M305">
        <f t="shared" si="136"/>
        <v>0.24916666666666668</v>
      </c>
      <c r="N305" t="str">
        <f t="shared" si="137"/>
        <v>Low</v>
      </c>
      <c r="O305">
        <f t="shared" si="138"/>
        <v>20.745000000000001</v>
      </c>
      <c r="P305" t="str">
        <f t="shared" si="139"/>
        <v>Low</v>
      </c>
    </row>
    <row r="306" spans="1:16" hidden="1" x14ac:dyDescent="0.25">
      <c r="A306">
        <v>50</v>
      </c>
      <c r="B306">
        <v>3.29</v>
      </c>
      <c r="C306" t="s">
        <v>11</v>
      </c>
      <c r="D306" t="s">
        <v>12</v>
      </c>
      <c r="E306">
        <v>900</v>
      </c>
      <c r="F306">
        <v>64.5</v>
      </c>
      <c r="G306">
        <v>6.04</v>
      </c>
      <c r="H306">
        <v>6.54</v>
      </c>
      <c r="I306">
        <v>198.78</v>
      </c>
      <c r="J306">
        <v>25</v>
      </c>
      <c r="K306" t="s">
        <v>16</v>
      </c>
      <c r="L306" t="str">
        <f t="shared" si="112"/>
        <v>INVALID</v>
      </c>
    </row>
    <row r="307" spans="1:16" hidden="1" x14ac:dyDescent="0.25">
      <c r="A307">
        <v>150</v>
      </c>
      <c r="B307">
        <v>5.64</v>
      </c>
      <c r="C307" t="s">
        <v>11</v>
      </c>
      <c r="D307" t="s">
        <v>18</v>
      </c>
      <c r="E307">
        <v>2500</v>
      </c>
      <c r="F307">
        <v>115</v>
      </c>
      <c r="G307">
        <v>9.7100000000000009</v>
      </c>
      <c r="H307">
        <v>9.4600000000000009</v>
      </c>
      <c r="I307">
        <v>167.73</v>
      </c>
      <c r="J307">
        <v>6</v>
      </c>
      <c r="K307" t="s">
        <v>16</v>
      </c>
      <c r="L307" t="str">
        <f t="shared" si="112"/>
        <v>INVALID</v>
      </c>
    </row>
    <row r="308" spans="1:16" x14ac:dyDescent="0.25">
      <c r="A308">
        <v>600</v>
      </c>
      <c r="B308">
        <v>16.95</v>
      </c>
      <c r="C308" t="s">
        <v>22</v>
      </c>
      <c r="D308" t="s">
        <v>18</v>
      </c>
      <c r="E308" s="3">
        <v>900</v>
      </c>
      <c r="F308">
        <v>32.4</v>
      </c>
      <c r="G308">
        <v>4.1500000000000004</v>
      </c>
      <c r="H308">
        <v>2.59</v>
      </c>
      <c r="I308">
        <v>15.28</v>
      </c>
      <c r="J308">
        <v>25</v>
      </c>
      <c r="K308" t="s">
        <v>13</v>
      </c>
      <c r="L308" t="str">
        <f t="shared" si="112"/>
        <v>VALID</v>
      </c>
      <c r="M308">
        <f t="shared" ref="M308:M325" si="140">IF(J308&gt;0,H308/J308," ")</f>
        <v>0.1036</v>
      </c>
      <c r="N308" t="str">
        <f t="shared" ref="N308:N325" si="141">IF(ISNUMBER(E308),IF(E308&lt;1000,"Low",IF(E308&lt;3000,"Medium","High")),"Unknown")</f>
        <v>Low</v>
      </c>
      <c r="O308">
        <f t="shared" ref="O308:O325" si="142">(G308+I308)/2</f>
        <v>9.7149999999999999</v>
      </c>
      <c r="P308" t="str">
        <f t="shared" ref="P308:P325" si="143">IF(O308&lt;30,"Low",IF(O308&lt;60,"Medium","High"))</f>
        <v>Low</v>
      </c>
    </row>
    <row r="309" spans="1:16" x14ac:dyDescent="0.25">
      <c r="A309">
        <v>500</v>
      </c>
      <c r="B309">
        <v>20.82</v>
      </c>
      <c r="C309" t="s">
        <v>21</v>
      </c>
      <c r="D309" t="s">
        <v>12</v>
      </c>
      <c r="E309" s="3">
        <v>600</v>
      </c>
      <c r="F309">
        <v>48.6</v>
      </c>
      <c r="G309">
        <v>11.23</v>
      </c>
      <c r="H309">
        <v>4.76</v>
      </c>
      <c r="I309">
        <v>22.86</v>
      </c>
      <c r="J309">
        <v>23</v>
      </c>
      <c r="K309" t="s">
        <v>13</v>
      </c>
      <c r="L309" t="str">
        <f t="shared" si="112"/>
        <v>VALID</v>
      </c>
      <c r="M309">
        <f t="shared" si="140"/>
        <v>0.20695652173913043</v>
      </c>
      <c r="N309" t="str">
        <f t="shared" si="141"/>
        <v>Low</v>
      </c>
      <c r="O309">
        <f t="shared" si="142"/>
        <v>17.045000000000002</v>
      </c>
      <c r="P309" t="str">
        <f t="shared" si="143"/>
        <v>Low</v>
      </c>
    </row>
    <row r="310" spans="1:16" x14ac:dyDescent="0.25">
      <c r="A310">
        <v>400</v>
      </c>
      <c r="B310">
        <v>19.55</v>
      </c>
      <c r="C310" t="s">
        <v>11</v>
      </c>
      <c r="D310" t="s">
        <v>17</v>
      </c>
      <c r="E310" s="3">
        <v>2500</v>
      </c>
      <c r="F310">
        <v>60.2</v>
      </c>
      <c r="G310">
        <v>18.7</v>
      </c>
      <c r="H310">
        <v>5.55</v>
      </c>
      <c r="I310">
        <v>28.39</v>
      </c>
      <c r="J310">
        <v>17</v>
      </c>
      <c r="K310" t="s">
        <v>16</v>
      </c>
      <c r="L310" t="str">
        <f t="shared" si="112"/>
        <v>VALID</v>
      </c>
      <c r="M310">
        <f t="shared" si="140"/>
        <v>0.32647058823529412</v>
      </c>
      <c r="N310" t="str">
        <f t="shared" si="141"/>
        <v>Medium</v>
      </c>
      <c r="O310">
        <f t="shared" si="142"/>
        <v>23.545000000000002</v>
      </c>
      <c r="P310" t="str">
        <f t="shared" si="143"/>
        <v>Low</v>
      </c>
    </row>
    <row r="311" spans="1:16" x14ac:dyDescent="0.25">
      <c r="A311">
        <v>1000</v>
      </c>
      <c r="B311">
        <v>22.39</v>
      </c>
      <c r="C311" t="s">
        <v>14</v>
      </c>
      <c r="D311" t="s">
        <v>12</v>
      </c>
      <c r="E311" s="3">
        <v>2500</v>
      </c>
      <c r="F311">
        <v>-0.5</v>
      </c>
      <c r="G311">
        <v>19.739999999999998</v>
      </c>
      <c r="H311">
        <v>2.69</v>
      </c>
      <c r="I311">
        <v>12.01</v>
      </c>
      <c r="J311">
        <v>3</v>
      </c>
      <c r="K311" t="s">
        <v>13</v>
      </c>
      <c r="L311" t="str">
        <f t="shared" si="112"/>
        <v>VALID</v>
      </c>
      <c r="M311">
        <f t="shared" si="140"/>
        <v>0.89666666666666661</v>
      </c>
      <c r="N311" t="str">
        <f t="shared" si="141"/>
        <v>Medium</v>
      </c>
      <c r="O311">
        <f t="shared" si="142"/>
        <v>15.875</v>
      </c>
      <c r="P311" t="str">
        <f t="shared" si="143"/>
        <v>Low</v>
      </c>
    </row>
    <row r="312" spans="1:16" x14ac:dyDescent="0.25">
      <c r="A312">
        <v>50</v>
      </c>
      <c r="B312">
        <v>5.12</v>
      </c>
      <c r="C312" t="s">
        <v>19</v>
      </c>
      <c r="D312" t="s">
        <v>18</v>
      </c>
      <c r="E312" s="3">
        <v>150</v>
      </c>
      <c r="F312">
        <v>61.6</v>
      </c>
      <c r="G312">
        <v>3.02</v>
      </c>
      <c r="H312">
        <v>2.42</v>
      </c>
      <c r="I312">
        <v>47.27</v>
      </c>
      <c r="J312">
        <v>23</v>
      </c>
      <c r="K312" t="s">
        <v>13</v>
      </c>
      <c r="L312" t="str">
        <f t="shared" si="112"/>
        <v>VALID</v>
      </c>
      <c r="M312">
        <f t="shared" si="140"/>
        <v>0.10521739130434782</v>
      </c>
      <c r="N312" t="str">
        <f t="shared" si="141"/>
        <v>Low</v>
      </c>
      <c r="O312">
        <f t="shared" si="142"/>
        <v>25.145000000000003</v>
      </c>
      <c r="P312" t="str">
        <f t="shared" si="143"/>
        <v>Low</v>
      </c>
    </row>
    <row r="313" spans="1:16" x14ac:dyDescent="0.25">
      <c r="A313">
        <v>400</v>
      </c>
      <c r="B313">
        <v>13.91</v>
      </c>
      <c r="C313" t="s">
        <v>21</v>
      </c>
      <c r="D313" t="s">
        <v>17</v>
      </c>
      <c r="E313" s="3">
        <v>600</v>
      </c>
      <c r="F313">
        <v>58.5</v>
      </c>
      <c r="G313">
        <v>17.46</v>
      </c>
      <c r="H313">
        <v>8.09</v>
      </c>
      <c r="I313">
        <v>58.16</v>
      </c>
      <c r="J313">
        <v>25</v>
      </c>
      <c r="K313" t="s">
        <v>16</v>
      </c>
      <c r="L313" t="str">
        <f t="shared" si="112"/>
        <v>VALID</v>
      </c>
      <c r="M313">
        <f t="shared" si="140"/>
        <v>0.3236</v>
      </c>
      <c r="N313" t="str">
        <f t="shared" si="141"/>
        <v>Low</v>
      </c>
      <c r="O313">
        <f t="shared" si="142"/>
        <v>37.81</v>
      </c>
      <c r="P313" t="str">
        <f t="shared" si="143"/>
        <v>Medium</v>
      </c>
    </row>
    <row r="314" spans="1:16" x14ac:dyDescent="0.25">
      <c r="A314">
        <v>1200</v>
      </c>
      <c r="B314">
        <v>34.42</v>
      </c>
      <c r="C314" t="s">
        <v>11</v>
      </c>
      <c r="D314" t="s">
        <v>18</v>
      </c>
      <c r="E314" s="3">
        <v>1500</v>
      </c>
      <c r="F314">
        <v>49.4</v>
      </c>
      <c r="G314">
        <v>10.78</v>
      </c>
      <c r="H314">
        <v>0.71</v>
      </c>
      <c r="I314">
        <v>2.06</v>
      </c>
      <c r="J314">
        <v>11</v>
      </c>
      <c r="K314" t="s">
        <v>23</v>
      </c>
      <c r="L314" t="str">
        <f t="shared" si="112"/>
        <v>VALID</v>
      </c>
      <c r="M314">
        <f t="shared" si="140"/>
        <v>6.4545454545454545E-2</v>
      </c>
      <c r="N314" t="str">
        <f t="shared" si="141"/>
        <v>Medium</v>
      </c>
      <c r="O314">
        <f t="shared" si="142"/>
        <v>6.42</v>
      </c>
      <c r="P314" t="str">
        <f t="shared" si="143"/>
        <v>Low</v>
      </c>
    </row>
    <row r="315" spans="1:16" x14ac:dyDescent="0.25">
      <c r="A315">
        <v>50</v>
      </c>
      <c r="B315">
        <v>4.8899999999999997</v>
      </c>
      <c r="C315" t="s">
        <v>22</v>
      </c>
      <c r="D315" t="s">
        <v>12</v>
      </c>
      <c r="E315" s="3">
        <v>2500</v>
      </c>
      <c r="F315">
        <v>-6.4</v>
      </c>
      <c r="G315">
        <v>1.81</v>
      </c>
      <c r="H315">
        <v>0.63</v>
      </c>
      <c r="I315">
        <v>12.88</v>
      </c>
      <c r="J315">
        <v>18</v>
      </c>
      <c r="K315" t="s">
        <v>23</v>
      </c>
      <c r="L315" t="str">
        <f t="shared" si="112"/>
        <v>VALID</v>
      </c>
      <c r="M315">
        <f t="shared" si="140"/>
        <v>3.5000000000000003E-2</v>
      </c>
      <c r="N315" t="str">
        <f t="shared" si="141"/>
        <v>Medium</v>
      </c>
      <c r="O315">
        <f t="shared" si="142"/>
        <v>7.3450000000000006</v>
      </c>
      <c r="P315" t="str">
        <f t="shared" si="143"/>
        <v>Low</v>
      </c>
    </row>
    <row r="316" spans="1:16" x14ac:dyDescent="0.25">
      <c r="A316">
        <v>800</v>
      </c>
      <c r="B316">
        <v>29.88</v>
      </c>
      <c r="C316" t="s">
        <v>22</v>
      </c>
      <c r="D316" t="s">
        <v>20</v>
      </c>
      <c r="E316" s="3">
        <v>300</v>
      </c>
      <c r="F316">
        <v>77.8</v>
      </c>
      <c r="G316">
        <v>10.19</v>
      </c>
      <c r="H316">
        <v>4.84</v>
      </c>
      <c r="I316">
        <v>16.2</v>
      </c>
      <c r="J316">
        <v>3</v>
      </c>
      <c r="K316" t="s">
        <v>13</v>
      </c>
      <c r="L316" t="str">
        <f t="shared" si="112"/>
        <v>VALID</v>
      </c>
      <c r="M316">
        <f t="shared" si="140"/>
        <v>1.6133333333333333</v>
      </c>
      <c r="N316" t="str">
        <f t="shared" si="141"/>
        <v>Low</v>
      </c>
      <c r="O316">
        <f t="shared" si="142"/>
        <v>13.195</v>
      </c>
      <c r="P316" t="str">
        <f t="shared" si="143"/>
        <v>Low</v>
      </c>
    </row>
    <row r="317" spans="1:16" x14ac:dyDescent="0.25">
      <c r="A317">
        <v>250</v>
      </c>
      <c r="B317">
        <v>11</v>
      </c>
      <c r="C317" t="s">
        <v>14</v>
      </c>
      <c r="D317" t="s">
        <v>17</v>
      </c>
      <c r="E317" s="3">
        <v>1500</v>
      </c>
      <c r="F317">
        <v>21.8</v>
      </c>
      <c r="G317">
        <v>4.5199999999999996</v>
      </c>
      <c r="H317">
        <v>2.59</v>
      </c>
      <c r="I317">
        <v>23.55</v>
      </c>
      <c r="J317">
        <v>21</v>
      </c>
      <c r="K317" t="s">
        <v>13</v>
      </c>
      <c r="L317" t="str">
        <f t="shared" si="112"/>
        <v>VALID</v>
      </c>
      <c r="M317">
        <f t="shared" si="140"/>
        <v>0.12333333333333332</v>
      </c>
      <c r="N317" t="str">
        <f t="shared" si="141"/>
        <v>Medium</v>
      </c>
      <c r="O317">
        <f t="shared" si="142"/>
        <v>14.035</v>
      </c>
      <c r="P317" t="str">
        <f t="shared" si="143"/>
        <v>Low</v>
      </c>
    </row>
    <row r="318" spans="1:16" x14ac:dyDescent="0.25">
      <c r="A318">
        <v>500</v>
      </c>
      <c r="B318">
        <v>13.59</v>
      </c>
      <c r="C318" t="s">
        <v>21</v>
      </c>
      <c r="D318" t="s">
        <v>15</v>
      </c>
      <c r="E318" s="3">
        <v>300</v>
      </c>
      <c r="F318">
        <v>15.7</v>
      </c>
      <c r="G318">
        <v>5.37</v>
      </c>
      <c r="H318">
        <v>6.78</v>
      </c>
      <c r="I318">
        <v>49.89</v>
      </c>
      <c r="J318">
        <v>16</v>
      </c>
      <c r="K318" t="s">
        <v>16</v>
      </c>
      <c r="L318" t="str">
        <f t="shared" si="112"/>
        <v>VALID</v>
      </c>
      <c r="M318">
        <f t="shared" si="140"/>
        <v>0.42375000000000002</v>
      </c>
      <c r="N318" t="str">
        <f t="shared" si="141"/>
        <v>Low</v>
      </c>
      <c r="O318">
        <f t="shared" si="142"/>
        <v>27.63</v>
      </c>
      <c r="P318" t="str">
        <f t="shared" si="143"/>
        <v>Low</v>
      </c>
    </row>
    <row r="319" spans="1:16" x14ac:dyDescent="0.25">
      <c r="A319">
        <v>200</v>
      </c>
      <c r="B319">
        <v>7.34</v>
      </c>
      <c r="C319" t="s">
        <v>22</v>
      </c>
      <c r="D319" t="s">
        <v>17</v>
      </c>
      <c r="E319" s="3">
        <v>900</v>
      </c>
      <c r="F319">
        <v>98.6</v>
      </c>
      <c r="G319">
        <v>18.62</v>
      </c>
      <c r="H319">
        <v>6.63</v>
      </c>
      <c r="I319">
        <v>90.33</v>
      </c>
      <c r="J319">
        <v>12</v>
      </c>
      <c r="K319" t="s">
        <v>16</v>
      </c>
      <c r="L319" t="str">
        <f t="shared" si="112"/>
        <v>VALID</v>
      </c>
      <c r="M319">
        <f t="shared" si="140"/>
        <v>0.55249999999999999</v>
      </c>
      <c r="N319" t="str">
        <f t="shared" si="141"/>
        <v>Low</v>
      </c>
      <c r="O319">
        <f t="shared" si="142"/>
        <v>54.475000000000001</v>
      </c>
      <c r="P319" t="str">
        <f t="shared" si="143"/>
        <v>Medium</v>
      </c>
    </row>
    <row r="320" spans="1:16" x14ac:dyDescent="0.25">
      <c r="A320">
        <v>1500</v>
      </c>
      <c r="B320">
        <v>43.02</v>
      </c>
      <c r="C320" t="s">
        <v>22</v>
      </c>
      <c r="D320" t="s">
        <v>17</v>
      </c>
      <c r="E320" s="3">
        <v>2500</v>
      </c>
      <c r="F320">
        <v>14.3</v>
      </c>
      <c r="G320">
        <v>2.02</v>
      </c>
      <c r="H320">
        <v>2.77</v>
      </c>
      <c r="I320">
        <v>6.44</v>
      </c>
      <c r="J320">
        <v>12</v>
      </c>
      <c r="K320" t="s">
        <v>13</v>
      </c>
      <c r="L320" t="str">
        <f t="shared" si="112"/>
        <v>VALID</v>
      </c>
      <c r="M320">
        <f t="shared" si="140"/>
        <v>0.23083333333333333</v>
      </c>
      <c r="N320" t="str">
        <f t="shared" si="141"/>
        <v>Medium</v>
      </c>
      <c r="O320">
        <f t="shared" si="142"/>
        <v>4.2300000000000004</v>
      </c>
      <c r="P320" t="str">
        <f t="shared" si="143"/>
        <v>Low</v>
      </c>
    </row>
    <row r="321" spans="1:16" x14ac:dyDescent="0.25">
      <c r="A321">
        <v>1200</v>
      </c>
      <c r="B321">
        <v>37.74</v>
      </c>
      <c r="C321" t="s">
        <v>19</v>
      </c>
      <c r="D321" t="s">
        <v>12</v>
      </c>
      <c r="E321" s="3">
        <v>600</v>
      </c>
      <c r="F321">
        <v>58.9</v>
      </c>
      <c r="G321">
        <v>9.44</v>
      </c>
      <c r="H321">
        <v>1.64</v>
      </c>
      <c r="I321">
        <v>4.3499999999999996</v>
      </c>
      <c r="J321">
        <v>7</v>
      </c>
      <c r="K321" t="s">
        <v>23</v>
      </c>
      <c r="L321" t="str">
        <f t="shared" si="112"/>
        <v>VALID</v>
      </c>
      <c r="M321">
        <f t="shared" si="140"/>
        <v>0.23428571428571426</v>
      </c>
      <c r="N321" t="str">
        <f t="shared" si="141"/>
        <v>Low</v>
      </c>
      <c r="O321">
        <f t="shared" si="142"/>
        <v>6.8949999999999996</v>
      </c>
      <c r="P321" t="str">
        <f t="shared" si="143"/>
        <v>Low</v>
      </c>
    </row>
    <row r="322" spans="1:16" x14ac:dyDescent="0.25">
      <c r="A322">
        <v>300</v>
      </c>
      <c r="B322">
        <v>7.62</v>
      </c>
      <c r="C322" t="s">
        <v>21</v>
      </c>
      <c r="D322" t="s">
        <v>12</v>
      </c>
      <c r="E322" s="3">
        <v>900</v>
      </c>
      <c r="F322">
        <v>-46.2</v>
      </c>
      <c r="G322">
        <v>0.13</v>
      </c>
      <c r="H322">
        <v>2.2200000000000002</v>
      </c>
      <c r="I322">
        <v>29.13</v>
      </c>
      <c r="J322">
        <v>13</v>
      </c>
      <c r="K322" t="s">
        <v>13</v>
      </c>
      <c r="L322" t="str">
        <f t="shared" si="112"/>
        <v>VALID</v>
      </c>
      <c r="M322">
        <f t="shared" si="140"/>
        <v>0.17076923076923078</v>
      </c>
      <c r="N322" t="str">
        <f t="shared" si="141"/>
        <v>Low</v>
      </c>
      <c r="O322">
        <f t="shared" si="142"/>
        <v>14.629999999999999</v>
      </c>
      <c r="P322" t="str">
        <f t="shared" si="143"/>
        <v>Low</v>
      </c>
    </row>
    <row r="323" spans="1:16" x14ac:dyDescent="0.25">
      <c r="A323">
        <v>100</v>
      </c>
      <c r="B323">
        <v>5.91</v>
      </c>
      <c r="C323" t="s">
        <v>11</v>
      </c>
      <c r="D323" t="s">
        <v>18</v>
      </c>
      <c r="E323" s="3">
        <v>900</v>
      </c>
      <c r="F323">
        <v>127.5</v>
      </c>
      <c r="G323">
        <v>13.05</v>
      </c>
      <c r="H323">
        <v>1.7</v>
      </c>
      <c r="I323">
        <v>28.76</v>
      </c>
      <c r="J323">
        <v>3</v>
      </c>
      <c r="K323" t="s">
        <v>23</v>
      </c>
      <c r="L323" t="str">
        <f t="shared" ref="L323:L386" si="144">IF(H323&gt;B323,"INVALID","VALID")</f>
        <v>VALID</v>
      </c>
      <c r="M323">
        <f t="shared" si="140"/>
        <v>0.56666666666666665</v>
      </c>
      <c r="N323" t="str">
        <f t="shared" si="141"/>
        <v>Low</v>
      </c>
      <c r="O323">
        <f t="shared" si="142"/>
        <v>20.905000000000001</v>
      </c>
      <c r="P323" t="str">
        <f t="shared" si="143"/>
        <v>Low</v>
      </c>
    </row>
    <row r="324" spans="1:16" x14ac:dyDescent="0.25">
      <c r="A324">
        <v>50</v>
      </c>
      <c r="B324">
        <v>3.76</v>
      </c>
      <c r="C324" t="s">
        <v>21</v>
      </c>
      <c r="D324" t="s">
        <v>15</v>
      </c>
      <c r="E324" s="3">
        <v>2500</v>
      </c>
      <c r="F324">
        <v>86.9</v>
      </c>
      <c r="G324">
        <v>11.94</v>
      </c>
      <c r="H324">
        <v>2.19</v>
      </c>
      <c r="I324">
        <v>58.24</v>
      </c>
      <c r="J324">
        <v>24</v>
      </c>
      <c r="K324" t="s">
        <v>13</v>
      </c>
      <c r="L324" t="str">
        <f t="shared" si="144"/>
        <v>VALID</v>
      </c>
      <c r="M324">
        <f t="shared" si="140"/>
        <v>9.1249999999999998E-2</v>
      </c>
      <c r="N324" t="str">
        <f t="shared" si="141"/>
        <v>Medium</v>
      </c>
      <c r="O324">
        <f t="shared" si="142"/>
        <v>35.090000000000003</v>
      </c>
      <c r="P324" t="str">
        <f t="shared" si="143"/>
        <v>Medium</v>
      </c>
    </row>
    <row r="325" spans="1:16" x14ac:dyDescent="0.25">
      <c r="A325">
        <v>1200</v>
      </c>
      <c r="B325">
        <v>32.92</v>
      </c>
      <c r="C325" t="s">
        <v>22</v>
      </c>
      <c r="D325" t="s">
        <v>17</v>
      </c>
      <c r="E325" s="3">
        <v>150</v>
      </c>
      <c r="F325">
        <v>39.299999999999997</v>
      </c>
      <c r="G325">
        <v>11.6</v>
      </c>
      <c r="H325">
        <v>2.13</v>
      </c>
      <c r="I325">
        <v>6.47</v>
      </c>
      <c r="J325">
        <v>2</v>
      </c>
      <c r="K325" t="s">
        <v>13</v>
      </c>
      <c r="L325" t="str">
        <f t="shared" si="144"/>
        <v>VALID</v>
      </c>
      <c r="M325">
        <f t="shared" si="140"/>
        <v>1.0649999999999999</v>
      </c>
      <c r="N325" t="str">
        <f t="shared" si="141"/>
        <v>Low</v>
      </c>
      <c r="O325">
        <f t="shared" si="142"/>
        <v>9.0350000000000001</v>
      </c>
      <c r="P325" t="str">
        <f t="shared" si="143"/>
        <v>Low</v>
      </c>
    </row>
    <row r="326" spans="1:16" hidden="1" x14ac:dyDescent="0.25">
      <c r="A326">
        <v>100</v>
      </c>
      <c r="B326">
        <v>4.1900000000000004</v>
      </c>
      <c r="C326" t="s">
        <v>21</v>
      </c>
      <c r="D326" t="s">
        <v>12</v>
      </c>
      <c r="E326">
        <v>2500</v>
      </c>
      <c r="F326">
        <v>21</v>
      </c>
      <c r="G326">
        <v>8.86</v>
      </c>
      <c r="H326">
        <v>7.86</v>
      </c>
      <c r="I326">
        <v>187.59</v>
      </c>
      <c r="J326">
        <v>24</v>
      </c>
      <c r="K326" t="s">
        <v>16</v>
      </c>
      <c r="L326" t="str">
        <f t="shared" si="144"/>
        <v>INVALID</v>
      </c>
    </row>
    <row r="327" spans="1:16" x14ac:dyDescent="0.25">
      <c r="A327">
        <v>1500</v>
      </c>
      <c r="B327">
        <v>29.92</v>
      </c>
      <c r="C327" t="s">
        <v>22</v>
      </c>
      <c r="D327" t="s">
        <v>17</v>
      </c>
      <c r="E327" s="3">
        <v>300</v>
      </c>
      <c r="F327">
        <v>5.7</v>
      </c>
      <c r="G327">
        <v>9.75</v>
      </c>
      <c r="H327">
        <v>3.35</v>
      </c>
      <c r="I327">
        <v>11.2</v>
      </c>
      <c r="J327">
        <v>22</v>
      </c>
      <c r="K327" t="s">
        <v>13</v>
      </c>
      <c r="L327" t="str">
        <f t="shared" si="144"/>
        <v>VALID</v>
      </c>
      <c r="M327">
        <f t="shared" ref="M327:M332" si="145">IF(J327&gt;0,H327/J327," ")</f>
        <v>0.15227272727272728</v>
      </c>
      <c r="N327" t="str">
        <f t="shared" ref="N327:N332" si="146">IF(ISNUMBER(E327),IF(E327&lt;1000,"Low",IF(E327&lt;3000,"Medium","High")),"Unknown")</f>
        <v>Low</v>
      </c>
      <c r="O327">
        <f t="shared" ref="O327:O332" si="147">(G327+I327)/2</f>
        <v>10.475</v>
      </c>
      <c r="P327" t="str">
        <f t="shared" ref="P327:P332" si="148">IF(O327&lt;30,"Low",IF(O327&lt;60,"Medium","High"))</f>
        <v>Low</v>
      </c>
    </row>
    <row r="328" spans="1:16" x14ac:dyDescent="0.25">
      <c r="A328">
        <v>800</v>
      </c>
      <c r="B328">
        <v>16.55</v>
      </c>
      <c r="C328" t="s">
        <v>22</v>
      </c>
      <c r="D328" t="s">
        <v>15</v>
      </c>
      <c r="E328" s="3">
        <v>150</v>
      </c>
      <c r="F328">
        <v>18.899999999999999</v>
      </c>
      <c r="G328">
        <v>19.84</v>
      </c>
      <c r="H328">
        <v>1.27</v>
      </c>
      <c r="I328">
        <v>7.67</v>
      </c>
      <c r="J328">
        <v>4</v>
      </c>
      <c r="K328" t="s">
        <v>23</v>
      </c>
      <c r="L328" t="str">
        <f t="shared" si="144"/>
        <v>VALID</v>
      </c>
      <c r="M328">
        <f t="shared" si="145"/>
        <v>0.3175</v>
      </c>
      <c r="N328" t="str">
        <f t="shared" si="146"/>
        <v>Low</v>
      </c>
      <c r="O328">
        <f t="shared" si="147"/>
        <v>13.754999999999999</v>
      </c>
      <c r="P328" t="str">
        <f t="shared" si="148"/>
        <v>Low</v>
      </c>
    </row>
    <row r="329" spans="1:16" x14ac:dyDescent="0.25">
      <c r="A329">
        <v>1200</v>
      </c>
      <c r="B329">
        <v>35.130000000000003</v>
      </c>
      <c r="C329" t="s">
        <v>21</v>
      </c>
      <c r="D329" t="s">
        <v>17</v>
      </c>
      <c r="E329" s="3">
        <v>150</v>
      </c>
      <c r="F329">
        <v>51.9</v>
      </c>
      <c r="G329">
        <v>13.13</v>
      </c>
      <c r="H329">
        <v>8.3699999999999992</v>
      </c>
      <c r="I329">
        <v>23.83</v>
      </c>
      <c r="J329">
        <v>4</v>
      </c>
      <c r="K329" t="s">
        <v>16</v>
      </c>
      <c r="L329" t="str">
        <f t="shared" si="144"/>
        <v>VALID</v>
      </c>
      <c r="M329">
        <f t="shared" si="145"/>
        <v>2.0924999999999998</v>
      </c>
      <c r="N329" t="str">
        <f t="shared" si="146"/>
        <v>Low</v>
      </c>
      <c r="O329">
        <f t="shared" si="147"/>
        <v>18.48</v>
      </c>
      <c r="P329" t="str">
        <f t="shared" si="148"/>
        <v>Low</v>
      </c>
    </row>
    <row r="330" spans="1:16" x14ac:dyDescent="0.25">
      <c r="A330">
        <v>600</v>
      </c>
      <c r="B330">
        <v>19.149999999999999</v>
      </c>
      <c r="C330" t="s">
        <v>21</v>
      </c>
      <c r="D330" t="s">
        <v>15</v>
      </c>
      <c r="E330" s="3">
        <v>900</v>
      </c>
      <c r="F330">
        <v>94</v>
      </c>
      <c r="G330">
        <v>8.7799999999999994</v>
      </c>
      <c r="H330">
        <v>5.15</v>
      </c>
      <c r="I330">
        <v>26.89</v>
      </c>
      <c r="J330">
        <v>2</v>
      </c>
      <c r="K330" t="s">
        <v>16</v>
      </c>
      <c r="L330" t="str">
        <f t="shared" si="144"/>
        <v>VALID</v>
      </c>
      <c r="M330">
        <f t="shared" si="145"/>
        <v>2.5750000000000002</v>
      </c>
      <c r="N330" t="str">
        <f t="shared" si="146"/>
        <v>Low</v>
      </c>
      <c r="O330">
        <f t="shared" si="147"/>
        <v>17.835000000000001</v>
      </c>
      <c r="P330" t="str">
        <f t="shared" si="148"/>
        <v>Low</v>
      </c>
    </row>
    <row r="331" spans="1:16" x14ac:dyDescent="0.25">
      <c r="A331">
        <v>100</v>
      </c>
      <c r="B331">
        <v>7.27</v>
      </c>
      <c r="C331" t="s">
        <v>19</v>
      </c>
      <c r="D331" t="s">
        <v>12</v>
      </c>
      <c r="E331" s="3">
        <v>600</v>
      </c>
      <c r="F331">
        <v>28.3</v>
      </c>
      <c r="G331">
        <v>8.89</v>
      </c>
      <c r="H331">
        <v>7.04</v>
      </c>
      <c r="I331">
        <v>96.84</v>
      </c>
      <c r="J331">
        <v>12</v>
      </c>
      <c r="K331" t="s">
        <v>16</v>
      </c>
      <c r="L331" t="str">
        <f t="shared" si="144"/>
        <v>VALID</v>
      </c>
      <c r="M331">
        <f t="shared" si="145"/>
        <v>0.58666666666666667</v>
      </c>
      <c r="N331" t="str">
        <f t="shared" si="146"/>
        <v>Low</v>
      </c>
      <c r="O331">
        <f t="shared" si="147"/>
        <v>52.865000000000002</v>
      </c>
      <c r="P331" t="str">
        <f t="shared" si="148"/>
        <v>Medium</v>
      </c>
    </row>
    <row r="332" spans="1:16" x14ac:dyDescent="0.25">
      <c r="A332">
        <v>500</v>
      </c>
      <c r="B332">
        <v>23.96</v>
      </c>
      <c r="C332" t="s">
        <v>22</v>
      </c>
      <c r="D332" t="s">
        <v>20</v>
      </c>
      <c r="E332" s="3">
        <v>2500</v>
      </c>
      <c r="F332">
        <v>64</v>
      </c>
      <c r="G332">
        <v>14.84</v>
      </c>
      <c r="H332">
        <v>2.95</v>
      </c>
      <c r="I332">
        <v>12.31</v>
      </c>
      <c r="J332">
        <v>17</v>
      </c>
      <c r="K332" t="s">
        <v>13</v>
      </c>
      <c r="L332" t="str">
        <f t="shared" si="144"/>
        <v>VALID</v>
      </c>
      <c r="M332">
        <f t="shared" si="145"/>
        <v>0.1735294117647059</v>
      </c>
      <c r="N332" t="str">
        <f t="shared" si="146"/>
        <v>Medium</v>
      </c>
      <c r="O332">
        <f t="shared" si="147"/>
        <v>13.574999999999999</v>
      </c>
      <c r="P332" t="str">
        <f t="shared" si="148"/>
        <v>Low</v>
      </c>
    </row>
    <row r="333" spans="1:16" hidden="1" x14ac:dyDescent="0.25">
      <c r="A333">
        <v>50</v>
      </c>
      <c r="B333">
        <v>4.6100000000000003</v>
      </c>
      <c r="C333" t="s">
        <v>11</v>
      </c>
      <c r="D333" t="s">
        <v>18</v>
      </c>
      <c r="E333">
        <v>150</v>
      </c>
      <c r="F333">
        <v>61.2</v>
      </c>
      <c r="G333">
        <v>13.48</v>
      </c>
      <c r="H333">
        <v>6.08</v>
      </c>
      <c r="I333">
        <v>131.88999999999999</v>
      </c>
      <c r="J333">
        <v>21</v>
      </c>
      <c r="K333" t="s">
        <v>16</v>
      </c>
      <c r="L333" t="str">
        <f t="shared" si="144"/>
        <v>INVALID</v>
      </c>
    </row>
    <row r="334" spans="1:16" x14ac:dyDescent="0.25">
      <c r="A334">
        <v>300</v>
      </c>
      <c r="B334">
        <v>13.51</v>
      </c>
      <c r="C334" t="s">
        <v>11</v>
      </c>
      <c r="D334" t="s">
        <v>15</v>
      </c>
      <c r="E334" s="3">
        <v>900</v>
      </c>
      <c r="F334">
        <v>11.3</v>
      </c>
      <c r="G334">
        <v>12.79</v>
      </c>
      <c r="H334">
        <v>0.51</v>
      </c>
      <c r="I334">
        <v>3.77</v>
      </c>
      <c r="J334">
        <v>25</v>
      </c>
      <c r="K334" t="s">
        <v>23</v>
      </c>
      <c r="L334" t="str">
        <f t="shared" si="144"/>
        <v>VALID</v>
      </c>
      <c r="M334">
        <f t="shared" ref="M334:M336" si="149">IF(J334&gt;0,H334/J334," ")</f>
        <v>2.0400000000000001E-2</v>
      </c>
      <c r="N334" t="str">
        <f t="shared" ref="N334:N336" si="150">IF(ISNUMBER(E334),IF(E334&lt;1000,"Low",IF(E334&lt;3000,"Medium","High")),"Unknown")</f>
        <v>Low</v>
      </c>
      <c r="O334">
        <f t="shared" ref="O334:O336" si="151">(G334+I334)/2</f>
        <v>8.2799999999999994</v>
      </c>
      <c r="P334" t="str">
        <f t="shared" ref="P334:P336" si="152">IF(O334&lt;30,"Low",IF(O334&lt;60,"Medium","High"))</f>
        <v>Low</v>
      </c>
    </row>
    <row r="335" spans="1:16" x14ac:dyDescent="0.25">
      <c r="A335">
        <v>150</v>
      </c>
      <c r="B335">
        <v>7.49</v>
      </c>
      <c r="C335" t="s">
        <v>22</v>
      </c>
      <c r="D335" t="s">
        <v>18</v>
      </c>
      <c r="E335" s="3">
        <v>150</v>
      </c>
      <c r="F335">
        <v>37.799999999999997</v>
      </c>
      <c r="G335">
        <v>12.89</v>
      </c>
      <c r="H335">
        <v>4.96</v>
      </c>
      <c r="I335">
        <v>66.22</v>
      </c>
      <c r="J335">
        <v>17</v>
      </c>
      <c r="K335" t="s">
        <v>13</v>
      </c>
      <c r="L335" t="str">
        <f t="shared" si="144"/>
        <v>VALID</v>
      </c>
      <c r="M335">
        <f t="shared" si="149"/>
        <v>0.29176470588235293</v>
      </c>
      <c r="N335" t="str">
        <f t="shared" si="150"/>
        <v>Low</v>
      </c>
      <c r="O335">
        <f t="shared" si="151"/>
        <v>39.555</v>
      </c>
      <c r="P335" t="str">
        <f t="shared" si="152"/>
        <v>Medium</v>
      </c>
    </row>
    <row r="336" spans="1:16" x14ac:dyDescent="0.25">
      <c r="A336">
        <v>200</v>
      </c>
      <c r="B336">
        <v>6.32</v>
      </c>
      <c r="C336" t="s">
        <v>11</v>
      </c>
      <c r="D336" t="s">
        <v>17</v>
      </c>
      <c r="E336" s="3">
        <v>150</v>
      </c>
      <c r="F336">
        <v>-27.2</v>
      </c>
      <c r="G336">
        <v>6.05</v>
      </c>
      <c r="H336">
        <v>4.09</v>
      </c>
      <c r="I336">
        <v>64.72</v>
      </c>
      <c r="J336">
        <v>17</v>
      </c>
      <c r="K336" t="s">
        <v>13</v>
      </c>
      <c r="L336" t="str">
        <f t="shared" si="144"/>
        <v>VALID</v>
      </c>
      <c r="M336">
        <f t="shared" si="149"/>
        <v>0.24058823529411763</v>
      </c>
      <c r="N336" t="str">
        <f t="shared" si="150"/>
        <v>Low</v>
      </c>
      <c r="O336">
        <f t="shared" si="151"/>
        <v>35.384999999999998</v>
      </c>
      <c r="P336" t="str">
        <f t="shared" si="152"/>
        <v>Medium</v>
      </c>
    </row>
    <row r="337" spans="1:16" hidden="1" x14ac:dyDescent="0.25">
      <c r="A337">
        <v>100</v>
      </c>
      <c r="B337">
        <v>5.17</v>
      </c>
      <c r="C337" t="s">
        <v>14</v>
      </c>
      <c r="D337" t="s">
        <v>18</v>
      </c>
      <c r="E337">
        <v>300</v>
      </c>
      <c r="F337">
        <v>-3.3</v>
      </c>
      <c r="G337">
        <v>17.88</v>
      </c>
      <c r="H337">
        <v>7.56</v>
      </c>
      <c r="I337">
        <v>146.22999999999999</v>
      </c>
      <c r="J337">
        <v>9</v>
      </c>
      <c r="K337" t="s">
        <v>16</v>
      </c>
      <c r="L337" t="str">
        <f t="shared" si="144"/>
        <v>INVALID</v>
      </c>
    </row>
    <row r="338" spans="1:16" x14ac:dyDescent="0.25">
      <c r="A338">
        <v>400</v>
      </c>
      <c r="B338">
        <v>17.690000000000001</v>
      </c>
      <c r="C338" t="s">
        <v>14</v>
      </c>
      <c r="D338" t="s">
        <v>18</v>
      </c>
      <c r="E338" s="3">
        <v>900</v>
      </c>
      <c r="F338">
        <v>74.7</v>
      </c>
      <c r="G338">
        <v>11.7</v>
      </c>
      <c r="H338">
        <v>8.34</v>
      </c>
      <c r="I338">
        <v>47.15</v>
      </c>
      <c r="J338">
        <v>19</v>
      </c>
      <c r="K338" t="s">
        <v>16</v>
      </c>
      <c r="L338" t="str">
        <f t="shared" si="144"/>
        <v>VALID</v>
      </c>
      <c r="M338">
        <f t="shared" ref="M338:M340" si="153">IF(J338&gt;0,H338/J338," ")</f>
        <v>0.43894736842105264</v>
      </c>
      <c r="N338" t="str">
        <f t="shared" ref="N338:N340" si="154">IF(ISNUMBER(E338),IF(E338&lt;1000,"Low",IF(E338&lt;3000,"Medium","High")),"Unknown")</f>
        <v>Low</v>
      </c>
      <c r="O338">
        <f t="shared" ref="O338:O340" si="155">(G338+I338)/2</f>
        <v>29.424999999999997</v>
      </c>
      <c r="P338" t="str">
        <f t="shared" ref="P338:P340" si="156">IF(O338&lt;30,"Low",IF(O338&lt;60,"Medium","High"))</f>
        <v>Low</v>
      </c>
    </row>
    <row r="339" spans="1:16" x14ac:dyDescent="0.25">
      <c r="A339">
        <v>1200</v>
      </c>
      <c r="B339">
        <v>30.5</v>
      </c>
      <c r="C339" t="s">
        <v>11</v>
      </c>
      <c r="D339" t="s">
        <v>15</v>
      </c>
      <c r="E339" s="3">
        <v>900</v>
      </c>
      <c r="F339">
        <v>15</v>
      </c>
      <c r="G339">
        <v>2.06</v>
      </c>
      <c r="H339">
        <v>4.74</v>
      </c>
      <c r="I339">
        <v>15.54</v>
      </c>
      <c r="J339">
        <v>12</v>
      </c>
      <c r="K339" t="s">
        <v>13</v>
      </c>
      <c r="L339" t="str">
        <f t="shared" si="144"/>
        <v>VALID</v>
      </c>
      <c r="M339">
        <f t="shared" si="153"/>
        <v>0.39500000000000002</v>
      </c>
      <c r="N339" t="str">
        <f t="shared" si="154"/>
        <v>Low</v>
      </c>
      <c r="O339">
        <f t="shared" si="155"/>
        <v>8.7999999999999989</v>
      </c>
      <c r="P339" t="str">
        <f t="shared" si="156"/>
        <v>Low</v>
      </c>
    </row>
    <row r="340" spans="1:16" x14ac:dyDescent="0.25">
      <c r="A340">
        <v>300</v>
      </c>
      <c r="B340">
        <v>7.92</v>
      </c>
      <c r="C340" t="s">
        <v>22</v>
      </c>
      <c r="D340" t="s">
        <v>17</v>
      </c>
      <c r="E340" s="3">
        <v>150</v>
      </c>
      <c r="F340">
        <v>103.9</v>
      </c>
      <c r="G340">
        <v>16.53</v>
      </c>
      <c r="H340">
        <v>3.01</v>
      </c>
      <c r="I340">
        <v>38.01</v>
      </c>
      <c r="J340">
        <v>10</v>
      </c>
      <c r="K340" t="s">
        <v>13</v>
      </c>
      <c r="L340" t="str">
        <f t="shared" si="144"/>
        <v>VALID</v>
      </c>
      <c r="M340">
        <f t="shared" si="153"/>
        <v>0.30099999999999999</v>
      </c>
      <c r="N340" t="str">
        <f t="shared" si="154"/>
        <v>Low</v>
      </c>
      <c r="O340">
        <f t="shared" si="155"/>
        <v>27.27</v>
      </c>
      <c r="P340" t="str">
        <f t="shared" si="156"/>
        <v>Low</v>
      </c>
    </row>
    <row r="341" spans="1:16" hidden="1" x14ac:dyDescent="0.25">
      <c r="A341">
        <v>50</v>
      </c>
      <c r="B341">
        <v>3.45</v>
      </c>
      <c r="C341" t="s">
        <v>19</v>
      </c>
      <c r="D341" t="s">
        <v>18</v>
      </c>
      <c r="E341">
        <v>900</v>
      </c>
      <c r="F341">
        <v>93.3</v>
      </c>
      <c r="G341">
        <v>2.54</v>
      </c>
      <c r="H341">
        <v>4.25</v>
      </c>
      <c r="I341">
        <v>123.19</v>
      </c>
      <c r="J341">
        <v>22</v>
      </c>
      <c r="K341" t="s">
        <v>13</v>
      </c>
      <c r="L341" t="str">
        <f t="shared" si="144"/>
        <v>INVALID</v>
      </c>
    </row>
    <row r="342" spans="1:16" x14ac:dyDescent="0.25">
      <c r="A342">
        <v>50</v>
      </c>
      <c r="B342">
        <v>5.4</v>
      </c>
      <c r="C342" t="s">
        <v>14</v>
      </c>
      <c r="D342" t="s">
        <v>15</v>
      </c>
      <c r="E342" s="3">
        <v>600</v>
      </c>
      <c r="F342">
        <v>71</v>
      </c>
      <c r="G342">
        <v>7.13</v>
      </c>
      <c r="H342">
        <v>4.43</v>
      </c>
      <c r="I342">
        <v>82.04</v>
      </c>
      <c r="J342">
        <v>1</v>
      </c>
      <c r="K342" t="s">
        <v>13</v>
      </c>
      <c r="L342" t="str">
        <f t="shared" si="144"/>
        <v>VALID</v>
      </c>
      <c r="M342">
        <f t="shared" ref="M342:M355" si="157">IF(J342&gt;0,H342/J342," ")</f>
        <v>4.43</v>
      </c>
      <c r="N342" t="str">
        <f t="shared" ref="N342:N355" si="158">IF(ISNUMBER(E342),IF(E342&lt;1000,"Low",IF(E342&lt;3000,"Medium","High")),"Unknown")</f>
        <v>Low</v>
      </c>
      <c r="O342">
        <f t="shared" ref="O342:O355" si="159">(G342+I342)/2</f>
        <v>44.585000000000001</v>
      </c>
      <c r="P342" t="str">
        <f t="shared" ref="P342:P355" si="160">IF(O342&lt;30,"Low",IF(O342&lt;60,"Medium","High"))</f>
        <v>Medium</v>
      </c>
    </row>
    <row r="343" spans="1:16" x14ac:dyDescent="0.25">
      <c r="A343">
        <v>600</v>
      </c>
      <c r="B343">
        <v>18.79</v>
      </c>
      <c r="C343" t="s">
        <v>19</v>
      </c>
      <c r="D343" t="s">
        <v>18</v>
      </c>
      <c r="E343" s="3">
        <v>2500</v>
      </c>
      <c r="F343">
        <v>7.5</v>
      </c>
      <c r="G343">
        <v>8.6199999999999992</v>
      </c>
      <c r="H343">
        <v>8.25</v>
      </c>
      <c r="I343">
        <v>43.91</v>
      </c>
      <c r="J343">
        <v>6</v>
      </c>
      <c r="K343" t="s">
        <v>16</v>
      </c>
      <c r="L343" t="str">
        <f t="shared" si="144"/>
        <v>VALID</v>
      </c>
      <c r="M343">
        <f t="shared" si="157"/>
        <v>1.375</v>
      </c>
      <c r="N343" t="str">
        <f t="shared" si="158"/>
        <v>Medium</v>
      </c>
      <c r="O343">
        <f t="shared" si="159"/>
        <v>26.264999999999997</v>
      </c>
      <c r="P343" t="str">
        <f t="shared" si="160"/>
        <v>Low</v>
      </c>
    </row>
    <row r="344" spans="1:16" x14ac:dyDescent="0.25">
      <c r="A344">
        <v>500</v>
      </c>
      <c r="B344">
        <v>20.48</v>
      </c>
      <c r="C344" t="s">
        <v>11</v>
      </c>
      <c r="D344" t="s">
        <v>12</v>
      </c>
      <c r="E344" s="3">
        <v>300</v>
      </c>
      <c r="F344">
        <v>21.3</v>
      </c>
      <c r="G344">
        <v>1.03</v>
      </c>
      <c r="H344">
        <v>3.09</v>
      </c>
      <c r="I344">
        <v>15.09</v>
      </c>
      <c r="J344">
        <v>14</v>
      </c>
      <c r="K344" t="s">
        <v>13</v>
      </c>
      <c r="L344" t="str">
        <f t="shared" si="144"/>
        <v>VALID</v>
      </c>
      <c r="M344">
        <f t="shared" si="157"/>
        <v>0.2207142857142857</v>
      </c>
      <c r="N344" t="str">
        <f t="shared" si="158"/>
        <v>Low</v>
      </c>
      <c r="O344">
        <f t="shared" si="159"/>
        <v>8.06</v>
      </c>
      <c r="P344" t="str">
        <f t="shared" si="160"/>
        <v>Low</v>
      </c>
    </row>
    <row r="345" spans="1:16" x14ac:dyDescent="0.25">
      <c r="A345">
        <v>500</v>
      </c>
      <c r="B345">
        <v>12.51</v>
      </c>
      <c r="C345" t="s">
        <v>14</v>
      </c>
      <c r="D345" t="s">
        <v>18</v>
      </c>
      <c r="E345" s="3">
        <v>150</v>
      </c>
      <c r="F345">
        <v>14.4</v>
      </c>
      <c r="G345">
        <v>16.61</v>
      </c>
      <c r="H345">
        <v>8.2799999999999994</v>
      </c>
      <c r="I345">
        <v>66.19</v>
      </c>
      <c r="J345">
        <v>10</v>
      </c>
      <c r="K345" t="s">
        <v>16</v>
      </c>
      <c r="L345" t="str">
        <f t="shared" si="144"/>
        <v>VALID</v>
      </c>
      <c r="M345">
        <f t="shared" si="157"/>
        <v>0.82799999999999996</v>
      </c>
      <c r="N345" t="str">
        <f t="shared" si="158"/>
        <v>Low</v>
      </c>
      <c r="O345">
        <f t="shared" si="159"/>
        <v>41.4</v>
      </c>
      <c r="P345" t="str">
        <f t="shared" si="160"/>
        <v>Medium</v>
      </c>
    </row>
    <row r="346" spans="1:16" x14ac:dyDescent="0.25">
      <c r="A346">
        <v>1000</v>
      </c>
      <c r="B346">
        <v>15.72</v>
      </c>
      <c r="C346" t="s">
        <v>11</v>
      </c>
      <c r="D346" t="s">
        <v>12</v>
      </c>
      <c r="E346" s="3">
        <v>2500</v>
      </c>
      <c r="F346">
        <v>124.9</v>
      </c>
      <c r="G346">
        <v>5.2</v>
      </c>
      <c r="H346">
        <v>4.34</v>
      </c>
      <c r="I346">
        <v>27.61</v>
      </c>
      <c r="J346">
        <v>22</v>
      </c>
      <c r="K346" t="s">
        <v>13</v>
      </c>
      <c r="L346" t="str">
        <f t="shared" si="144"/>
        <v>VALID</v>
      </c>
      <c r="M346">
        <f t="shared" si="157"/>
        <v>0.19727272727272727</v>
      </c>
      <c r="N346" t="str">
        <f t="shared" si="158"/>
        <v>Medium</v>
      </c>
      <c r="O346">
        <f t="shared" si="159"/>
        <v>16.405000000000001</v>
      </c>
      <c r="P346" t="str">
        <f t="shared" si="160"/>
        <v>Low</v>
      </c>
    </row>
    <row r="347" spans="1:16" x14ac:dyDescent="0.25">
      <c r="A347">
        <v>1000</v>
      </c>
      <c r="B347">
        <v>29.26</v>
      </c>
      <c r="C347" t="s">
        <v>22</v>
      </c>
      <c r="D347" t="s">
        <v>17</v>
      </c>
      <c r="E347" s="3">
        <v>1500</v>
      </c>
      <c r="F347">
        <v>31</v>
      </c>
      <c r="G347">
        <v>11.96</v>
      </c>
      <c r="H347">
        <v>7.23</v>
      </c>
      <c r="I347">
        <v>24.71</v>
      </c>
      <c r="J347">
        <v>8</v>
      </c>
      <c r="K347" t="s">
        <v>16</v>
      </c>
      <c r="L347" t="str">
        <f t="shared" si="144"/>
        <v>VALID</v>
      </c>
      <c r="M347">
        <f t="shared" si="157"/>
        <v>0.90375000000000005</v>
      </c>
      <c r="N347" t="str">
        <f t="shared" si="158"/>
        <v>Medium</v>
      </c>
      <c r="O347">
        <f t="shared" si="159"/>
        <v>18.335000000000001</v>
      </c>
      <c r="P347" t="str">
        <f t="shared" si="160"/>
        <v>Low</v>
      </c>
    </row>
    <row r="348" spans="1:16" x14ac:dyDescent="0.25">
      <c r="A348">
        <v>400</v>
      </c>
      <c r="B348">
        <v>12.45</v>
      </c>
      <c r="C348" t="s">
        <v>14</v>
      </c>
      <c r="D348" t="s">
        <v>12</v>
      </c>
      <c r="E348" s="3">
        <v>1500</v>
      </c>
      <c r="F348">
        <v>-24.8</v>
      </c>
      <c r="G348">
        <v>7.4</v>
      </c>
      <c r="H348">
        <v>7.92</v>
      </c>
      <c r="I348">
        <v>63.61</v>
      </c>
      <c r="J348">
        <v>9</v>
      </c>
      <c r="K348" t="s">
        <v>16</v>
      </c>
      <c r="L348" t="str">
        <f t="shared" si="144"/>
        <v>VALID</v>
      </c>
      <c r="M348">
        <f t="shared" si="157"/>
        <v>0.88</v>
      </c>
      <c r="N348" t="str">
        <f t="shared" si="158"/>
        <v>Medium</v>
      </c>
      <c r="O348">
        <f t="shared" si="159"/>
        <v>35.505000000000003</v>
      </c>
      <c r="P348" t="str">
        <f t="shared" si="160"/>
        <v>Medium</v>
      </c>
    </row>
    <row r="349" spans="1:16" x14ac:dyDescent="0.25">
      <c r="A349">
        <v>50</v>
      </c>
      <c r="B349">
        <v>5.26</v>
      </c>
      <c r="C349" t="s">
        <v>11</v>
      </c>
      <c r="D349" t="s">
        <v>15</v>
      </c>
      <c r="E349" s="3">
        <v>2500</v>
      </c>
      <c r="F349">
        <v>61.1</v>
      </c>
      <c r="G349">
        <v>16.8</v>
      </c>
      <c r="H349">
        <v>4.71</v>
      </c>
      <c r="I349">
        <v>89.54</v>
      </c>
      <c r="J349">
        <v>1</v>
      </c>
      <c r="K349" t="s">
        <v>13</v>
      </c>
      <c r="L349" t="str">
        <f t="shared" si="144"/>
        <v>VALID</v>
      </c>
      <c r="M349">
        <f t="shared" si="157"/>
        <v>4.71</v>
      </c>
      <c r="N349" t="str">
        <f t="shared" si="158"/>
        <v>Medium</v>
      </c>
      <c r="O349">
        <f t="shared" si="159"/>
        <v>53.17</v>
      </c>
      <c r="P349" t="str">
        <f t="shared" si="160"/>
        <v>Medium</v>
      </c>
    </row>
    <row r="350" spans="1:16" x14ac:dyDescent="0.25">
      <c r="A350">
        <v>600</v>
      </c>
      <c r="B350">
        <v>19.59</v>
      </c>
      <c r="C350" t="s">
        <v>19</v>
      </c>
      <c r="D350" t="s">
        <v>15</v>
      </c>
      <c r="E350" s="3">
        <v>2500</v>
      </c>
      <c r="F350">
        <v>65.8</v>
      </c>
      <c r="G350">
        <v>5.32</v>
      </c>
      <c r="H350">
        <v>5.73</v>
      </c>
      <c r="I350">
        <v>29.25</v>
      </c>
      <c r="J350">
        <v>11</v>
      </c>
      <c r="K350" t="s">
        <v>16</v>
      </c>
      <c r="L350" t="str">
        <f t="shared" si="144"/>
        <v>VALID</v>
      </c>
      <c r="M350">
        <f t="shared" si="157"/>
        <v>0.52090909090909099</v>
      </c>
      <c r="N350" t="str">
        <f t="shared" si="158"/>
        <v>Medium</v>
      </c>
      <c r="O350">
        <f t="shared" si="159"/>
        <v>17.285</v>
      </c>
      <c r="P350" t="str">
        <f t="shared" si="160"/>
        <v>Low</v>
      </c>
    </row>
    <row r="351" spans="1:16" x14ac:dyDescent="0.25">
      <c r="A351">
        <v>50</v>
      </c>
      <c r="B351">
        <v>3.62</v>
      </c>
      <c r="C351" t="s">
        <v>11</v>
      </c>
      <c r="D351" t="s">
        <v>20</v>
      </c>
      <c r="E351" s="3">
        <v>900</v>
      </c>
      <c r="F351">
        <v>19.5</v>
      </c>
      <c r="G351">
        <v>1.86</v>
      </c>
      <c r="H351">
        <v>3.38</v>
      </c>
      <c r="I351">
        <v>93.37</v>
      </c>
      <c r="J351">
        <v>22</v>
      </c>
      <c r="K351" t="s">
        <v>13</v>
      </c>
      <c r="L351" t="str">
        <f t="shared" si="144"/>
        <v>VALID</v>
      </c>
      <c r="M351">
        <f t="shared" si="157"/>
        <v>0.15363636363636363</v>
      </c>
      <c r="N351" t="str">
        <f t="shared" si="158"/>
        <v>Low</v>
      </c>
      <c r="O351">
        <f t="shared" si="159"/>
        <v>47.615000000000002</v>
      </c>
      <c r="P351" t="str">
        <f t="shared" si="160"/>
        <v>Medium</v>
      </c>
    </row>
    <row r="352" spans="1:16" x14ac:dyDescent="0.25">
      <c r="A352">
        <v>200</v>
      </c>
      <c r="B352">
        <v>11.96</v>
      </c>
      <c r="C352" t="s">
        <v>11</v>
      </c>
      <c r="D352" t="s">
        <v>15</v>
      </c>
      <c r="E352" s="3">
        <v>2500</v>
      </c>
      <c r="F352">
        <v>63.4</v>
      </c>
      <c r="G352">
        <v>14.19</v>
      </c>
      <c r="H352">
        <v>7.02</v>
      </c>
      <c r="I352">
        <v>58.7</v>
      </c>
      <c r="J352">
        <v>15</v>
      </c>
      <c r="K352" t="s">
        <v>16</v>
      </c>
      <c r="L352" t="str">
        <f t="shared" si="144"/>
        <v>VALID</v>
      </c>
      <c r="M352">
        <f t="shared" si="157"/>
        <v>0.46799999999999997</v>
      </c>
      <c r="N352" t="str">
        <f t="shared" si="158"/>
        <v>Medium</v>
      </c>
      <c r="O352">
        <f t="shared" si="159"/>
        <v>36.445</v>
      </c>
      <c r="P352" t="str">
        <f t="shared" si="160"/>
        <v>Medium</v>
      </c>
    </row>
    <row r="353" spans="1:16" x14ac:dyDescent="0.25">
      <c r="A353">
        <v>1000</v>
      </c>
      <c r="B353">
        <v>30.86</v>
      </c>
      <c r="C353" t="s">
        <v>22</v>
      </c>
      <c r="D353" t="s">
        <v>20</v>
      </c>
      <c r="E353" s="3">
        <v>900</v>
      </c>
      <c r="F353">
        <v>45.4</v>
      </c>
      <c r="G353">
        <v>13.15</v>
      </c>
      <c r="H353">
        <v>7.0000000000000007E-2</v>
      </c>
      <c r="I353">
        <v>0.23</v>
      </c>
      <c r="J353">
        <v>3</v>
      </c>
      <c r="K353" t="s">
        <v>23</v>
      </c>
      <c r="L353" t="str">
        <f t="shared" si="144"/>
        <v>VALID</v>
      </c>
      <c r="M353">
        <f t="shared" si="157"/>
        <v>2.3333333333333334E-2</v>
      </c>
      <c r="N353" t="str">
        <f t="shared" si="158"/>
        <v>Low</v>
      </c>
      <c r="O353">
        <f t="shared" si="159"/>
        <v>6.69</v>
      </c>
      <c r="P353" t="str">
        <f t="shared" si="160"/>
        <v>Low</v>
      </c>
    </row>
    <row r="354" spans="1:16" x14ac:dyDescent="0.25">
      <c r="A354">
        <v>150</v>
      </c>
      <c r="B354">
        <v>5.72</v>
      </c>
      <c r="C354" t="s">
        <v>11</v>
      </c>
      <c r="D354" t="s">
        <v>20</v>
      </c>
      <c r="E354" s="3">
        <v>150</v>
      </c>
      <c r="F354">
        <v>141.80000000000001</v>
      </c>
      <c r="G354">
        <v>0.8</v>
      </c>
      <c r="H354">
        <v>1.08</v>
      </c>
      <c r="I354">
        <v>18.88</v>
      </c>
      <c r="J354">
        <v>1</v>
      </c>
      <c r="K354" t="s">
        <v>23</v>
      </c>
      <c r="L354" t="str">
        <f t="shared" si="144"/>
        <v>VALID</v>
      </c>
      <c r="M354">
        <f t="shared" si="157"/>
        <v>1.08</v>
      </c>
      <c r="N354" t="str">
        <f t="shared" si="158"/>
        <v>Low</v>
      </c>
      <c r="O354">
        <f t="shared" si="159"/>
        <v>9.84</v>
      </c>
      <c r="P354" t="str">
        <f t="shared" si="160"/>
        <v>Low</v>
      </c>
    </row>
    <row r="355" spans="1:16" x14ac:dyDescent="0.25">
      <c r="A355">
        <v>50</v>
      </c>
      <c r="B355">
        <v>5.27</v>
      </c>
      <c r="C355" t="s">
        <v>19</v>
      </c>
      <c r="D355" t="s">
        <v>18</v>
      </c>
      <c r="E355" s="3">
        <v>150</v>
      </c>
      <c r="F355">
        <v>77.8</v>
      </c>
      <c r="G355">
        <v>11.29</v>
      </c>
      <c r="H355">
        <v>1.25</v>
      </c>
      <c r="I355">
        <v>23.72</v>
      </c>
      <c r="J355">
        <v>17</v>
      </c>
      <c r="K355" t="s">
        <v>23</v>
      </c>
      <c r="L355" t="str">
        <f t="shared" si="144"/>
        <v>VALID</v>
      </c>
      <c r="M355">
        <f t="shared" si="157"/>
        <v>7.3529411764705885E-2</v>
      </c>
      <c r="N355" t="str">
        <f t="shared" si="158"/>
        <v>Low</v>
      </c>
      <c r="O355">
        <f t="shared" si="159"/>
        <v>17.504999999999999</v>
      </c>
      <c r="P355" t="str">
        <f t="shared" si="160"/>
        <v>Low</v>
      </c>
    </row>
    <row r="356" spans="1:16" hidden="1" x14ac:dyDescent="0.25">
      <c r="A356">
        <v>50</v>
      </c>
      <c r="B356">
        <v>3.31</v>
      </c>
      <c r="C356" t="s">
        <v>11</v>
      </c>
      <c r="D356" t="s">
        <v>18</v>
      </c>
      <c r="E356">
        <v>2500</v>
      </c>
      <c r="F356">
        <v>13.4</v>
      </c>
      <c r="G356">
        <v>2.44</v>
      </c>
      <c r="H356">
        <v>5.12</v>
      </c>
      <c r="I356">
        <v>154.68</v>
      </c>
      <c r="J356">
        <v>5</v>
      </c>
      <c r="K356" t="s">
        <v>16</v>
      </c>
      <c r="L356" t="str">
        <f t="shared" si="144"/>
        <v>INVALID</v>
      </c>
    </row>
    <row r="357" spans="1:16" x14ac:dyDescent="0.25">
      <c r="A357">
        <v>400</v>
      </c>
      <c r="B357">
        <v>16.64</v>
      </c>
      <c r="C357" t="s">
        <v>11</v>
      </c>
      <c r="D357" t="s">
        <v>12</v>
      </c>
      <c r="E357" s="3">
        <v>150</v>
      </c>
      <c r="F357">
        <v>0.2</v>
      </c>
      <c r="G357">
        <v>12.16</v>
      </c>
      <c r="H357">
        <v>5.08</v>
      </c>
      <c r="I357">
        <v>30.53</v>
      </c>
      <c r="J357">
        <v>3</v>
      </c>
      <c r="K357" t="s">
        <v>16</v>
      </c>
      <c r="L357" t="str">
        <f t="shared" si="144"/>
        <v>VALID</v>
      </c>
      <c r="M357">
        <f t="shared" ref="M357:M373" si="161">IF(J357&gt;0,H357/J357," ")</f>
        <v>1.6933333333333334</v>
      </c>
      <c r="N357" t="str">
        <f t="shared" ref="N357:N373" si="162">IF(ISNUMBER(E357),IF(E357&lt;1000,"Low",IF(E357&lt;3000,"Medium","High")),"Unknown")</f>
        <v>Low</v>
      </c>
      <c r="O357">
        <f t="shared" ref="O357:O373" si="163">(G357+I357)/2</f>
        <v>21.344999999999999</v>
      </c>
      <c r="P357" t="str">
        <f t="shared" ref="P357:P373" si="164">IF(O357&lt;30,"Low",IF(O357&lt;60,"Medium","High"))</f>
        <v>Low</v>
      </c>
    </row>
    <row r="358" spans="1:16" x14ac:dyDescent="0.25">
      <c r="A358">
        <v>1500</v>
      </c>
      <c r="B358">
        <v>45.09</v>
      </c>
      <c r="C358" t="s">
        <v>19</v>
      </c>
      <c r="D358" t="s">
        <v>18</v>
      </c>
      <c r="E358" s="3">
        <v>900</v>
      </c>
      <c r="F358">
        <v>-5.4</v>
      </c>
      <c r="G358">
        <v>2.46</v>
      </c>
      <c r="H358">
        <v>1.27</v>
      </c>
      <c r="I358">
        <v>2.82</v>
      </c>
      <c r="J358">
        <v>3</v>
      </c>
      <c r="K358" t="s">
        <v>23</v>
      </c>
      <c r="L358" t="str">
        <f t="shared" si="144"/>
        <v>VALID</v>
      </c>
      <c r="M358">
        <f t="shared" si="161"/>
        <v>0.42333333333333334</v>
      </c>
      <c r="N358" t="str">
        <f t="shared" si="162"/>
        <v>Low</v>
      </c>
      <c r="O358">
        <f t="shared" si="163"/>
        <v>2.6399999999999997</v>
      </c>
      <c r="P358" t="str">
        <f t="shared" si="164"/>
        <v>Low</v>
      </c>
    </row>
    <row r="359" spans="1:16" x14ac:dyDescent="0.25">
      <c r="A359">
        <v>400</v>
      </c>
      <c r="B359">
        <v>16.71</v>
      </c>
      <c r="C359" t="s">
        <v>22</v>
      </c>
      <c r="D359" t="s">
        <v>20</v>
      </c>
      <c r="E359" s="3">
        <v>600</v>
      </c>
      <c r="F359">
        <v>83.4</v>
      </c>
      <c r="G359">
        <v>5.34</v>
      </c>
      <c r="H359">
        <v>1.57</v>
      </c>
      <c r="I359">
        <v>9.4</v>
      </c>
      <c r="J359">
        <v>14</v>
      </c>
      <c r="K359" t="s">
        <v>23</v>
      </c>
      <c r="L359" t="str">
        <f t="shared" si="144"/>
        <v>VALID</v>
      </c>
      <c r="M359">
        <f t="shared" si="161"/>
        <v>0.11214285714285714</v>
      </c>
      <c r="N359" t="str">
        <f t="shared" si="162"/>
        <v>Low</v>
      </c>
      <c r="O359">
        <f t="shared" si="163"/>
        <v>7.37</v>
      </c>
      <c r="P359" t="str">
        <f t="shared" si="164"/>
        <v>Low</v>
      </c>
    </row>
    <row r="360" spans="1:16" x14ac:dyDescent="0.25">
      <c r="A360">
        <v>300</v>
      </c>
      <c r="B360">
        <v>11.47</v>
      </c>
      <c r="C360" t="s">
        <v>22</v>
      </c>
      <c r="D360" t="s">
        <v>17</v>
      </c>
      <c r="E360" s="3">
        <v>150</v>
      </c>
      <c r="F360">
        <v>55</v>
      </c>
      <c r="G360">
        <v>16.760000000000002</v>
      </c>
      <c r="H360">
        <v>2.96</v>
      </c>
      <c r="I360">
        <v>25.81</v>
      </c>
      <c r="J360">
        <v>4</v>
      </c>
      <c r="K360" t="s">
        <v>13</v>
      </c>
      <c r="L360" t="str">
        <f t="shared" si="144"/>
        <v>VALID</v>
      </c>
      <c r="M360">
        <f t="shared" si="161"/>
        <v>0.74</v>
      </c>
      <c r="N360" t="str">
        <f t="shared" si="162"/>
        <v>Low</v>
      </c>
      <c r="O360">
        <f t="shared" si="163"/>
        <v>21.285</v>
      </c>
      <c r="P360" t="str">
        <f t="shared" si="164"/>
        <v>Low</v>
      </c>
    </row>
    <row r="361" spans="1:16" x14ac:dyDescent="0.25">
      <c r="A361">
        <v>1200</v>
      </c>
      <c r="B361">
        <v>38.61</v>
      </c>
      <c r="C361" t="s">
        <v>19</v>
      </c>
      <c r="D361" t="s">
        <v>15</v>
      </c>
      <c r="E361" s="3">
        <v>1500</v>
      </c>
      <c r="F361">
        <v>41.5</v>
      </c>
      <c r="G361">
        <v>12.53</v>
      </c>
      <c r="H361">
        <v>5.45</v>
      </c>
      <c r="I361">
        <v>14.12</v>
      </c>
      <c r="J361">
        <v>25</v>
      </c>
      <c r="K361" t="s">
        <v>16</v>
      </c>
      <c r="L361" t="str">
        <f t="shared" si="144"/>
        <v>VALID</v>
      </c>
      <c r="M361">
        <f t="shared" si="161"/>
        <v>0.218</v>
      </c>
      <c r="N361" t="str">
        <f t="shared" si="162"/>
        <v>Medium</v>
      </c>
      <c r="O361">
        <f t="shared" si="163"/>
        <v>13.324999999999999</v>
      </c>
      <c r="P361" t="str">
        <f t="shared" si="164"/>
        <v>Low</v>
      </c>
    </row>
    <row r="362" spans="1:16" x14ac:dyDescent="0.25">
      <c r="A362">
        <v>200</v>
      </c>
      <c r="B362">
        <v>11.62</v>
      </c>
      <c r="C362" t="s">
        <v>14</v>
      </c>
      <c r="D362" t="s">
        <v>12</v>
      </c>
      <c r="E362" s="3">
        <v>900</v>
      </c>
      <c r="F362">
        <v>14.9</v>
      </c>
      <c r="G362">
        <v>18.899999999999999</v>
      </c>
      <c r="H362">
        <v>7.87</v>
      </c>
      <c r="I362">
        <v>67.73</v>
      </c>
      <c r="J362">
        <v>8</v>
      </c>
      <c r="K362" t="s">
        <v>16</v>
      </c>
      <c r="L362" t="str">
        <f t="shared" si="144"/>
        <v>VALID</v>
      </c>
      <c r="M362">
        <f t="shared" si="161"/>
        <v>0.98375000000000001</v>
      </c>
      <c r="N362" t="str">
        <f t="shared" si="162"/>
        <v>Low</v>
      </c>
      <c r="O362">
        <f t="shared" si="163"/>
        <v>43.314999999999998</v>
      </c>
      <c r="P362" t="str">
        <f t="shared" si="164"/>
        <v>Medium</v>
      </c>
    </row>
    <row r="363" spans="1:16" x14ac:dyDescent="0.25">
      <c r="A363">
        <v>800</v>
      </c>
      <c r="B363">
        <v>31.61</v>
      </c>
      <c r="C363" t="s">
        <v>19</v>
      </c>
      <c r="D363" t="s">
        <v>20</v>
      </c>
      <c r="E363" s="3">
        <v>300</v>
      </c>
      <c r="F363">
        <v>87</v>
      </c>
      <c r="G363">
        <v>7.94</v>
      </c>
      <c r="H363">
        <v>5.94</v>
      </c>
      <c r="I363">
        <v>18.79</v>
      </c>
      <c r="J363">
        <v>7</v>
      </c>
      <c r="K363" t="s">
        <v>16</v>
      </c>
      <c r="L363" t="str">
        <f t="shared" si="144"/>
        <v>VALID</v>
      </c>
      <c r="M363">
        <f t="shared" si="161"/>
        <v>0.84857142857142864</v>
      </c>
      <c r="N363" t="str">
        <f t="shared" si="162"/>
        <v>Low</v>
      </c>
      <c r="O363">
        <f t="shared" si="163"/>
        <v>13.365</v>
      </c>
      <c r="P363" t="str">
        <f t="shared" si="164"/>
        <v>Low</v>
      </c>
    </row>
    <row r="364" spans="1:16" x14ac:dyDescent="0.25">
      <c r="A364">
        <v>200</v>
      </c>
      <c r="B364">
        <v>6.74</v>
      </c>
      <c r="C364" t="s">
        <v>14</v>
      </c>
      <c r="D364" t="s">
        <v>20</v>
      </c>
      <c r="E364" s="3">
        <v>2500</v>
      </c>
      <c r="F364">
        <v>10.1</v>
      </c>
      <c r="G364">
        <v>10.63</v>
      </c>
      <c r="H364">
        <v>5.21</v>
      </c>
      <c r="I364">
        <v>77.3</v>
      </c>
      <c r="J364">
        <v>21</v>
      </c>
      <c r="K364" t="s">
        <v>16</v>
      </c>
      <c r="L364" t="str">
        <f t="shared" si="144"/>
        <v>VALID</v>
      </c>
      <c r="M364">
        <f t="shared" si="161"/>
        <v>0.24809523809523809</v>
      </c>
      <c r="N364" t="str">
        <f t="shared" si="162"/>
        <v>Medium</v>
      </c>
      <c r="O364">
        <f t="shared" si="163"/>
        <v>43.964999999999996</v>
      </c>
      <c r="P364" t="str">
        <f t="shared" si="164"/>
        <v>Medium</v>
      </c>
    </row>
    <row r="365" spans="1:16" x14ac:dyDescent="0.25">
      <c r="A365">
        <v>800</v>
      </c>
      <c r="B365">
        <v>17.350000000000001</v>
      </c>
      <c r="C365" t="s">
        <v>14</v>
      </c>
      <c r="D365" t="s">
        <v>20</v>
      </c>
      <c r="E365" s="3">
        <v>150</v>
      </c>
      <c r="F365">
        <v>20.100000000000001</v>
      </c>
      <c r="G365">
        <v>16.34</v>
      </c>
      <c r="H365">
        <v>7.86</v>
      </c>
      <c r="I365">
        <v>45.3</v>
      </c>
      <c r="J365">
        <v>2</v>
      </c>
      <c r="K365" t="s">
        <v>16</v>
      </c>
      <c r="L365" t="str">
        <f t="shared" si="144"/>
        <v>VALID</v>
      </c>
      <c r="M365">
        <f t="shared" si="161"/>
        <v>3.93</v>
      </c>
      <c r="N365" t="str">
        <f t="shared" si="162"/>
        <v>Low</v>
      </c>
      <c r="O365">
        <f t="shared" si="163"/>
        <v>30.82</v>
      </c>
      <c r="P365" t="str">
        <f t="shared" si="164"/>
        <v>Medium</v>
      </c>
    </row>
    <row r="366" spans="1:16" x14ac:dyDescent="0.25">
      <c r="A366">
        <v>1200</v>
      </c>
      <c r="B366">
        <v>32.64</v>
      </c>
      <c r="C366" t="s">
        <v>22</v>
      </c>
      <c r="D366" t="s">
        <v>18</v>
      </c>
      <c r="E366" s="3">
        <v>300</v>
      </c>
      <c r="F366">
        <v>18.7</v>
      </c>
      <c r="G366">
        <v>9.66</v>
      </c>
      <c r="H366">
        <v>5.42</v>
      </c>
      <c r="I366">
        <v>16.61</v>
      </c>
      <c r="J366">
        <v>11</v>
      </c>
      <c r="K366" t="s">
        <v>16</v>
      </c>
      <c r="L366" t="str">
        <f t="shared" si="144"/>
        <v>VALID</v>
      </c>
      <c r="M366">
        <f t="shared" si="161"/>
        <v>0.49272727272727274</v>
      </c>
      <c r="N366" t="str">
        <f t="shared" si="162"/>
        <v>Low</v>
      </c>
      <c r="O366">
        <f t="shared" si="163"/>
        <v>13.135</v>
      </c>
      <c r="P366" t="str">
        <f t="shared" si="164"/>
        <v>Low</v>
      </c>
    </row>
    <row r="367" spans="1:16" x14ac:dyDescent="0.25">
      <c r="A367">
        <v>50</v>
      </c>
      <c r="B367">
        <v>5.73</v>
      </c>
      <c r="C367" t="s">
        <v>22</v>
      </c>
      <c r="D367" t="s">
        <v>12</v>
      </c>
      <c r="E367" s="3">
        <v>600</v>
      </c>
      <c r="F367">
        <v>3.2</v>
      </c>
      <c r="G367">
        <v>9.01</v>
      </c>
      <c r="H367">
        <v>0.33</v>
      </c>
      <c r="I367">
        <v>5.76</v>
      </c>
      <c r="J367">
        <v>19</v>
      </c>
      <c r="K367" t="s">
        <v>23</v>
      </c>
      <c r="L367" t="str">
        <f t="shared" si="144"/>
        <v>VALID</v>
      </c>
      <c r="M367">
        <f t="shared" si="161"/>
        <v>1.7368421052631578E-2</v>
      </c>
      <c r="N367" t="str">
        <f t="shared" si="162"/>
        <v>Low</v>
      </c>
      <c r="O367">
        <f t="shared" si="163"/>
        <v>7.3849999999999998</v>
      </c>
      <c r="P367" t="str">
        <f t="shared" si="164"/>
        <v>Low</v>
      </c>
    </row>
    <row r="368" spans="1:16" x14ac:dyDescent="0.25">
      <c r="A368">
        <v>500</v>
      </c>
      <c r="B368">
        <v>15.5</v>
      </c>
      <c r="C368" t="s">
        <v>19</v>
      </c>
      <c r="D368" t="s">
        <v>12</v>
      </c>
      <c r="E368" s="3">
        <v>2500</v>
      </c>
      <c r="F368">
        <v>32</v>
      </c>
      <c r="G368">
        <v>9.84</v>
      </c>
      <c r="H368">
        <v>8.8800000000000008</v>
      </c>
      <c r="I368">
        <v>57.29</v>
      </c>
      <c r="J368">
        <v>17</v>
      </c>
      <c r="K368" t="s">
        <v>16</v>
      </c>
      <c r="L368" t="str">
        <f t="shared" si="144"/>
        <v>VALID</v>
      </c>
      <c r="M368">
        <f t="shared" si="161"/>
        <v>0.52235294117647069</v>
      </c>
      <c r="N368" t="str">
        <f t="shared" si="162"/>
        <v>Medium</v>
      </c>
      <c r="O368">
        <f t="shared" si="163"/>
        <v>33.564999999999998</v>
      </c>
      <c r="P368" t="str">
        <f t="shared" si="164"/>
        <v>Medium</v>
      </c>
    </row>
    <row r="369" spans="1:16" x14ac:dyDescent="0.25">
      <c r="A369">
        <v>400</v>
      </c>
      <c r="B369">
        <v>15.39</v>
      </c>
      <c r="C369" t="s">
        <v>11</v>
      </c>
      <c r="D369" t="s">
        <v>15</v>
      </c>
      <c r="E369" s="3">
        <v>2500</v>
      </c>
      <c r="F369">
        <v>62.2</v>
      </c>
      <c r="G369">
        <v>0.26</v>
      </c>
      <c r="H369">
        <v>8.5500000000000007</v>
      </c>
      <c r="I369">
        <v>55.56</v>
      </c>
      <c r="J369">
        <v>4</v>
      </c>
      <c r="K369" t="s">
        <v>16</v>
      </c>
      <c r="L369" t="str">
        <f t="shared" si="144"/>
        <v>VALID</v>
      </c>
      <c r="M369">
        <f t="shared" si="161"/>
        <v>2.1375000000000002</v>
      </c>
      <c r="N369" t="str">
        <f t="shared" si="162"/>
        <v>Medium</v>
      </c>
      <c r="O369">
        <f t="shared" si="163"/>
        <v>27.91</v>
      </c>
      <c r="P369" t="str">
        <f t="shared" si="164"/>
        <v>Low</v>
      </c>
    </row>
    <row r="370" spans="1:16" x14ac:dyDescent="0.25">
      <c r="A370">
        <v>200</v>
      </c>
      <c r="B370">
        <v>7.27</v>
      </c>
      <c r="C370" t="s">
        <v>11</v>
      </c>
      <c r="D370" t="s">
        <v>20</v>
      </c>
      <c r="E370" s="3">
        <v>600</v>
      </c>
      <c r="F370">
        <v>115.3</v>
      </c>
      <c r="G370">
        <v>19.989999999999998</v>
      </c>
      <c r="H370">
        <v>1.2</v>
      </c>
      <c r="I370">
        <v>16.510000000000002</v>
      </c>
      <c r="J370">
        <v>6</v>
      </c>
      <c r="K370" t="s">
        <v>23</v>
      </c>
      <c r="L370" t="str">
        <f t="shared" si="144"/>
        <v>VALID</v>
      </c>
      <c r="M370">
        <f t="shared" si="161"/>
        <v>0.19999999999999998</v>
      </c>
      <c r="N370" t="str">
        <f t="shared" si="162"/>
        <v>Low</v>
      </c>
      <c r="O370">
        <f t="shared" si="163"/>
        <v>18.25</v>
      </c>
      <c r="P370" t="str">
        <f t="shared" si="164"/>
        <v>Low</v>
      </c>
    </row>
    <row r="371" spans="1:16" x14ac:dyDescent="0.25">
      <c r="A371">
        <v>1200</v>
      </c>
      <c r="B371">
        <v>38.24</v>
      </c>
      <c r="C371" t="s">
        <v>14</v>
      </c>
      <c r="D371" t="s">
        <v>18</v>
      </c>
      <c r="E371" s="3">
        <v>300</v>
      </c>
      <c r="F371">
        <v>91.6</v>
      </c>
      <c r="G371">
        <v>2.71</v>
      </c>
      <c r="H371">
        <v>1.98</v>
      </c>
      <c r="I371">
        <v>5.18</v>
      </c>
      <c r="J371">
        <v>8</v>
      </c>
      <c r="K371" t="s">
        <v>23</v>
      </c>
      <c r="L371" t="str">
        <f t="shared" si="144"/>
        <v>VALID</v>
      </c>
      <c r="M371">
        <f t="shared" si="161"/>
        <v>0.2475</v>
      </c>
      <c r="N371" t="str">
        <f t="shared" si="162"/>
        <v>Low</v>
      </c>
      <c r="O371">
        <f t="shared" si="163"/>
        <v>3.9449999999999998</v>
      </c>
      <c r="P371" t="str">
        <f t="shared" si="164"/>
        <v>Low</v>
      </c>
    </row>
    <row r="372" spans="1:16" x14ac:dyDescent="0.25">
      <c r="A372">
        <v>300</v>
      </c>
      <c r="B372">
        <v>15.69</v>
      </c>
      <c r="C372" t="s">
        <v>19</v>
      </c>
      <c r="D372" t="s">
        <v>17</v>
      </c>
      <c r="E372" s="3">
        <v>300</v>
      </c>
      <c r="F372">
        <v>27.8</v>
      </c>
      <c r="G372">
        <v>4.53</v>
      </c>
      <c r="H372">
        <v>3.86</v>
      </c>
      <c r="I372">
        <v>24.6</v>
      </c>
      <c r="J372">
        <v>22</v>
      </c>
      <c r="K372" t="s">
        <v>13</v>
      </c>
      <c r="L372" t="str">
        <f t="shared" si="144"/>
        <v>VALID</v>
      </c>
      <c r="M372">
        <f t="shared" si="161"/>
        <v>0.17545454545454545</v>
      </c>
      <c r="N372" t="str">
        <f t="shared" si="162"/>
        <v>Low</v>
      </c>
      <c r="O372">
        <f t="shared" si="163"/>
        <v>14.565000000000001</v>
      </c>
      <c r="P372" t="str">
        <f t="shared" si="164"/>
        <v>Low</v>
      </c>
    </row>
    <row r="373" spans="1:16" x14ac:dyDescent="0.25">
      <c r="A373">
        <v>200</v>
      </c>
      <c r="B373">
        <v>9.94</v>
      </c>
      <c r="C373" t="s">
        <v>11</v>
      </c>
      <c r="D373" t="s">
        <v>12</v>
      </c>
      <c r="E373" s="3">
        <v>1500</v>
      </c>
      <c r="F373">
        <v>37.200000000000003</v>
      </c>
      <c r="G373">
        <v>1.22</v>
      </c>
      <c r="H373">
        <v>1.07</v>
      </c>
      <c r="I373">
        <v>10.76</v>
      </c>
      <c r="J373">
        <v>14</v>
      </c>
      <c r="K373" t="s">
        <v>23</v>
      </c>
      <c r="L373" t="str">
        <f t="shared" si="144"/>
        <v>VALID</v>
      </c>
      <c r="M373">
        <f t="shared" si="161"/>
        <v>7.6428571428571429E-2</v>
      </c>
      <c r="N373" t="str">
        <f t="shared" si="162"/>
        <v>Medium</v>
      </c>
      <c r="O373">
        <f t="shared" si="163"/>
        <v>5.99</v>
      </c>
      <c r="P373" t="str">
        <f t="shared" si="164"/>
        <v>Low</v>
      </c>
    </row>
    <row r="374" spans="1:16" hidden="1" x14ac:dyDescent="0.25">
      <c r="A374">
        <v>50</v>
      </c>
      <c r="B374">
        <v>5.65</v>
      </c>
      <c r="C374" t="s">
        <v>14</v>
      </c>
      <c r="D374" t="s">
        <v>18</v>
      </c>
      <c r="E374">
        <v>600</v>
      </c>
      <c r="F374">
        <v>-40.9</v>
      </c>
      <c r="G374">
        <v>6.92</v>
      </c>
      <c r="H374">
        <v>9.1300000000000008</v>
      </c>
      <c r="I374">
        <v>161.59</v>
      </c>
      <c r="J374">
        <v>22</v>
      </c>
      <c r="K374" t="s">
        <v>16</v>
      </c>
      <c r="L374" t="str">
        <f t="shared" si="144"/>
        <v>INVALID</v>
      </c>
    </row>
    <row r="375" spans="1:16" x14ac:dyDescent="0.25">
      <c r="A375">
        <v>50</v>
      </c>
      <c r="B375">
        <v>3.66</v>
      </c>
      <c r="C375" t="s">
        <v>21</v>
      </c>
      <c r="D375" t="s">
        <v>15</v>
      </c>
      <c r="E375" s="3">
        <v>900</v>
      </c>
      <c r="F375">
        <v>78.5</v>
      </c>
      <c r="G375">
        <v>3.75</v>
      </c>
      <c r="H375">
        <v>0.31</v>
      </c>
      <c r="I375">
        <v>8.4700000000000006</v>
      </c>
      <c r="J375">
        <v>25</v>
      </c>
      <c r="K375" t="s">
        <v>23</v>
      </c>
      <c r="L375" t="str">
        <f t="shared" si="144"/>
        <v>VALID</v>
      </c>
      <c r="M375">
        <f t="shared" ref="M375:M378" si="165">IF(J375&gt;0,H375/J375," ")</f>
        <v>1.24E-2</v>
      </c>
      <c r="N375" t="str">
        <f t="shared" ref="N375:N378" si="166">IF(ISNUMBER(E375),IF(E375&lt;1000,"Low",IF(E375&lt;3000,"Medium","High")),"Unknown")</f>
        <v>Low</v>
      </c>
      <c r="O375">
        <f t="shared" ref="O375:O378" si="167">(G375+I375)/2</f>
        <v>6.11</v>
      </c>
      <c r="P375" t="str">
        <f t="shared" ref="P375:P378" si="168">IF(O375&lt;30,"Low",IF(O375&lt;60,"Medium","High"))</f>
        <v>Low</v>
      </c>
    </row>
    <row r="376" spans="1:16" x14ac:dyDescent="0.25">
      <c r="A376">
        <v>800</v>
      </c>
      <c r="B376">
        <v>16.71</v>
      </c>
      <c r="C376" t="s">
        <v>22</v>
      </c>
      <c r="D376" t="s">
        <v>20</v>
      </c>
      <c r="E376" s="3">
        <v>150</v>
      </c>
      <c r="F376">
        <v>-18.600000000000001</v>
      </c>
      <c r="G376">
        <v>6.23</v>
      </c>
      <c r="H376">
        <v>7.8</v>
      </c>
      <c r="I376">
        <v>46.68</v>
      </c>
      <c r="J376">
        <v>2</v>
      </c>
      <c r="K376" t="s">
        <v>16</v>
      </c>
      <c r="L376" t="str">
        <f t="shared" si="144"/>
        <v>VALID</v>
      </c>
      <c r="M376">
        <f t="shared" si="165"/>
        <v>3.9</v>
      </c>
      <c r="N376" t="str">
        <f t="shared" si="166"/>
        <v>Low</v>
      </c>
      <c r="O376">
        <f t="shared" si="167"/>
        <v>26.454999999999998</v>
      </c>
      <c r="P376" t="str">
        <f t="shared" si="168"/>
        <v>Low</v>
      </c>
    </row>
    <row r="377" spans="1:16" x14ac:dyDescent="0.25">
      <c r="A377">
        <v>200</v>
      </c>
      <c r="B377">
        <v>7.49</v>
      </c>
      <c r="C377" t="s">
        <v>21</v>
      </c>
      <c r="D377" t="s">
        <v>17</v>
      </c>
      <c r="E377" s="3">
        <v>900</v>
      </c>
      <c r="F377">
        <v>48.1</v>
      </c>
      <c r="G377">
        <v>13.08</v>
      </c>
      <c r="H377">
        <v>7.44</v>
      </c>
      <c r="I377">
        <v>99.33</v>
      </c>
      <c r="J377">
        <v>14</v>
      </c>
      <c r="K377" t="s">
        <v>16</v>
      </c>
      <c r="L377" t="str">
        <f t="shared" si="144"/>
        <v>VALID</v>
      </c>
      <c r="M377">
        <f t="shared" si="165"/>
        <v>0.53142857142857147</v>
      </c>
      <c r="N377" t="str">
        <f t="shared" si="166"/>
        <v>Low</v>
      </c>
      <c r="O377">
        <f t="shared" si="167"/>
        <v>56.204999999999998</v>
      </c>
      <c r="P377" t="str">
        <f t="shared" si="168"/>
        <v>Medium</v>
      </c>
    </row>
    <row r="378" spans="1:16" x14ac:dyDescent="0.25">
      <c r="A378">
        <v>50</v>
      </c>
      <c r="B378">
        <v>5.82</v>
      </c>
      <c r="C378" t="s">
        <v>21</v>
      </c>
      <c r="D378" t="s">
        <v>18</v>
      </c>
      <c r="E378" s="3">
        <v>900</v>
      </c>
      <c r="F378">
        <v>67.8</v>
      </c>
      <c r="G378">
        <v>5.7</v>
      </c>
      <c r="H378">
        <v>1.77</v>
      </c>
      <c r="I378">
        <v>30.41</v>
      </c>
      <c r="J378">
        <v>20</v>
      </c>
      <c r="K378" t="s">
        <v>23</v>
      </c>
      <c r="L378" t="str">
        <f t="shared" si="144"/>
        <v>VALID</v>
      </c>
      <c r="M378">
        <f t="shared" si="165"/>
        <v>8.8499999999999995E-2</v>
      </c>
      <c r="N378" t="str">
        <f t="shared" si="166"/>
        <v>Low</v>
      </c>
      <c r="O378">
        <f t="shared" si="167"/>
        <v>18.055</v>
      </c>
      <c r="P378" t="str">
        <f t="shared" si="168"/>
        <v>Low</v>
      </c>
    </row>
    <row r="379" spans="1:16" hidden="1" x14ac:dyDescent="0.25">
      <c r="A379">
        <v>50</v>
      </c>
      <c r="B379">
        <v>4.29</v>
      </c>
      <c r="C379" t="s">
        <v>14</v>
      </c>
      <c r="D379" t="s">
        <v>15</v>
      </c>
      <c r="E379">
        <v>600</v>
      </c>
      <c r="F379">
        <v>37.200000000000003</v>
      </c>
      <c r="G379">
        <v>19.350000000000001</v>
      </c>
      <c r="H379">
        <v>4.88</v>
      </c>
      <c r="I379">
        <v>113.75</v>
      </c>
      <c r="J379">
        <v>19</v>
      </c>
      <c r="K379" t="s">
        <v>13</v>
      </c>
      <c r="L379" t="str">
        <f t="shared" si="144"/>
        <v>INVALID</v>
      </c>
    </row>
    <row r="380" spans="1:16" x14ac:dyDescent="0.25">
      <c r="A380">
        <v>1500</v>
      </c>
      <c r="B380">
        <v>31.98</v>
      </c>
      <c r="C380" t="s">
        <v>21</v>
      </c>
      <c r="D380" t="s">
        <v>18</v>
      </c>
      <c r="E380" s="3">
        <v>600</v>
      </c>
      <c r="F380">
        <v>-37.700000000000003</v>
      </c>
      <c r="G380">
        <v>2.6</v>
      </c>
      <c r="H380">
        <v>4.74</v>
      </c>
      <c r="I380">
        <v>14.82</v>
      </c>
      <c r="J380">
        <v>8</v>
      </c>
      <c r="K380" t="s">
        <v>13</v>
      </c>
      <c r="L380" t="str">
        <f t="shared" si="144"/>
        <v>VALID</v>
      </c>
      <c r="M380">
        <f t="shared" ref="M380:M382" si="169">IF(J380&gt;0,H380/J380," ")</f>
        <v>0.59250000000000003</v>
      </c>
      <c r="N380" t="str">
        <f t="shared" ref="N380:N382" si="170">IF(ISNUMBER(E380),IF(E380&lt;1000,"Low",IF(E380&lt;3000,"Medium","High")),"Unknown")</f>
        <v>Low</v>
      </c>
      <c r="O380">
        <f t="shared" ref="O380:O382" si="171">(G380+I380)/2</f>
        <v>8.7100000000000009</v>
      </c>
      <c r="P380" t="str">
        <f t="shared" ref="P380:P382" si="172">IF(O380&lt;30,"Low",IF(O380&lt;60,"Medium","High"))</f>
        <v>Low</v>
      </c>
    </row>
    <row r="381" spans="1:16" x14ac:dyDescent="0.25">
      <c r="A381">
        <v>1200</v>
      </c>
      <c r="B381">
        <v>25.4</v>
      </c>
      <c r="C381" t="s">
        <v>19</v>
      </c>
      <c r="D381" t="s">
        <v>12</v>
      </c>
      <c r="E381" s="3">
        <v>300</v>
      </c>
      <c r="F381">
        <v>-7.9</v>
      </c>
      <c r="G381">
        <v>1.88</v>
      </c>
      <c r="H381">
        <v>3.47</v>
      </c>
      <c r="I381">
        <v>13.66</v>
      </c>
      <c r="J381">
        <v>14</v>
      </c>
      <c r="K381" t="s">
        <v>13</v>
      </c>
      <c r="L381" t="str">
        <f t="shared" si="144"/>
        <v>VALID</v>
      </c>
      <c r="M381">
        <f t="shared" si="169"/>
        <v>0.24785714285714286</v>
      </c>
      <c r="N381" t="str">
        <f t="shared" si="170"/>
        <v>Low</v>
      </c>
      <c r="O381">
        <f t="shared" si="171"/>
        <v>7.77</v>
      </c>
      <c r="P381" t="str">
        <f t="shared" si="172"/>
        <v>Low</v>
      </c>
    </row>
    <row r="382" spans="1:16" x14ac:dyDescent="0.25">
      <c r="A382">
        <v>1500</v>
      </c>
      <c r="B382">
        <v>28.54</v>
      </c>
      <c r="C382" t="s">
        <v>14</v>
      </c>
      <c r="D382" t="s">
        <v>17</v>
      </c>
      <c r="E382" s="3">
        <v>600</v>
      </c>
      <c r="F382">
        <v>-14.3</v>
      </c>
      <c r="G382">
        <v>15.64</v>
      </c>
      <c r="H382">
        <v>9.3000000000000007</v>
      </c>
      <c r="I382">
        <v>32.590000000000003</v>
      </c>
      <c r="J382">
        <v>22</v>
      </c>
      <c r="K382" t="s">
        <v>16</v>
      </c>
      <c r="L382" t="str">
        <f t="shared" si="144"/>
        <v>VALID</v>
      </c>
      <c r="M382">
        <f t="shared" si="169"/>
        <v>0.42272727272727278</v>
      </c>
      <c r="N382" t="str">
        <f t="shared" si="170"/>
        <v>Low</v>
      </c>
      <c r="O382">
        <f t="shared" si="171"/>
        <v>24.115000000000002</v>
      </c>
      <c r="P382" t="str">
        <f t="shared" si="172"/>
        <v>Low</v>
      </c>
    </row>
    <row r="383" spans="1:16" hidden="1" x14ac:dyDescent="0.25">
      <c r="A383">
        <v>50</v>
      </c>
      <c r="B383">
        <v>4.82</v>
      </c>
      <c r="C383" t="s">
        <v>22</v>
      </c>
      <c r="D383" t="s">
        <v>20</v>
      </c>
      <c r="E383">
        <v>900</v>
      </c>
      <c r="F383">
        <v>16.8</v>
      </c>
      <c r="G383">
        <v>12.1</v>
      </c>
      <c r="H383">
        <v>8.4</v>
      </c>
      <c r="I383">
        <v>174.27</v>
      </c>
      <c r="J383">
        <v>4</v>
      </c>
      <c r="K383" t="s">
        <v>16</v>
      </c>
      <c r="L383" t="str">
        <f t="shared" si="144"/>
        <v>INVALID</v>
      </c>
    </row>
    <row r="384" spans="1:16" x14ac:dyDescent="0.25">
      <c r="A384">
        <v>300</v>
      </c>
      <c r="B384">
        <v>16.329999999999998</v>
      </c>
      <c r="C384" t="s">
        <v>11</v>
      </c>
      <c r="D384" t="s">
        <v>18</v>
      </c>
      <c r="E384" s="3">
        <v>2500</v>
      </c>
      <c r="F384">
        <v>65.8</v>
      </c>
      <c r="G384">
        <v>11.08</v>
      </c>
      <c r="H384">
        <v>1.6</v>
      </c>
      <c r="I384">
        <v>9.8000000000000007</v>
      </c>
      <c r="J384">
        <v>18</v>
      </c>
      <c r="K384" t="s">
        <v>23</v>
      </c>
      <c r="L384" t="str">
        <f t="shared" si="144"/>
        <v>VALID</v>
      </c>
      <c r="M384">
        <f t="shared" ref="M384:M387" si="173">IF(J384&gt;0,H384/J384," ")</f>
        <v>8.8888888888888892E-2</v>
      </c>
      <c r="N384" t="str">
        <f t="shared" ref="N384:N387" si="174">IF(ISNUMBER(E384),IF(E384&lt;1000,"Low",IF(E384&lt;3000,"Medium","High")),"Unknown")</f>
        <v>Medium</v>
      </c>
      <c r="O384">
        <f t="shared" ref="O384:O387" si="175">(G384+I384)/2</f>
        <v>10.440000000000001</v>
      </c>
      <c r="P384" t="str">
        <f t="shared" ref="P384:P387" si="176">IF(O384&lt;30,"Low",IF(O384&lt;60,"Medium","High"))</f>
        <v>Low</v>
      </c>
    </row>
    <row r="385" spans="1:16" x14ac:dyDescent="0.25">
      <c r="A385">
        <v>1500</v>
      </c>
      <c r="B385">
        <v>34.75</v>
      </c>
      <c r="C385" t="s">
        <v>14</v>
      </c>
      <c r="D385" t="s">
        <v>17</v>
      </c>
      <c r="E385" s="3">
        <v>2500</v>
      </c>
      <c r="F385">
        <v>15.2</v>
      </c>
      <c r="G385">
        <v>18.760000000000002</v>
      </c>
      <c r="H385">
        <v>5.44</v>
      </c>
      <c r="I385">
        <v>15.65</v>
      </c>
      <c r="J385">
        <v>21</v>
      </c>
      <c r="K385" t="s">
        <v>16</v>
      </c>
      <c r="L385" t="str">
        <f t="shared" si="144"/>
        <v>VALID</v>
      </c>
      <c r="M385">
        <f t="shared" si="173"/>
        <v>0.25904761904761908</v>
      </c>
      <c r="N385" t="str">
        <f t="shared" si="174"/>
        <v>Medium</v>
      </c>
      <c r="O385">
        <f t="shared" si="175"/>
        <v>17.205000000000002</v>
      </c>
      <c r="P385" t="str">
        <f t="shared" si="176"/>
        <v>Low</v>
      </c>
    </row>
    <row r="386" spans="1:16" x14ac:dyDescent="0.25">
      <c r="A386">
        <v>150</v>
      </c>
      <c r="B386">
        <v>5.08</v>
      </c>
      <c r="C386" t="s">
        <v>21</v>
      </c>
      <c r="D386" t="s">
        <v>17</v>
      </c>
      <c r="E386" s="3">
        <v>600</v>
      </c>
      <c r="F386">
        <v>21.5</v>
      </c>
      <c r="G386">
        <v>15.15</v>
      </c>
      <c r="H386">
        <v>3.88</v>
      </c>
      <c r="I386">
        <v>76.38</v>
      </c>
      <c r="J386">
        <v>17</v>
      </c>
      <c r="K386" t="s">
        <v>13</v>
      </c>
      <c r="L386" t="str">
        <f t="shared" si="144"/>
        <v>VALID</v>
      </c>
      <c r="M386">
        <f t="shared" si="173"/>
        <v>0.22823529411764706</v>
      </c>
      <c r="N386" t="str">
        <f t="shared" si="174"/>
        <v>Low</v>
      </c>
      <c r="O386">
        <f t="shared" si="175"/>
        <v>45.765000000000001</v>
      </c>
      <c r="P386" t="str">
        <f t="shared" si="176"/>
        <v>Medium</v>
      </c>
    </row>
    <row r="387" spans="1:16" x14ac:dyDescent="0.25">
      <c r="A387">
        <v>250</v>
      </c>
      <c r="B387">
        <v>9.92</v>
      </c>
      <c r="C387" t="s">
        <v>22</v>
      </c>
      <c r="D387" t="s">
        <v>12</v>
      </c>
      <c r="E387" s="3">
        <v>150</v>
      </c>
      <c r="F387">
        <v>-18.7</v>
      </c>
      <c r="G387">
        <v>3.27</v>
      </c>
      <c r="H387">
        <v>1.61</v>
      </c>
      <c r="I387">
        <v>16.23</v>
      </c>
      <c r="J387">
        <v>17</v>
      </c>
      <c r="K387" t="s">
        <v>23</v>
      </c>
      <c r="L387" t="str">
        <f t="shared" ref="L387:L450" si="177">IF(H387&gt;B387,"INVALID","VALID")</f>
        <v>VALID</v>
      </c>
      <c r="M387">
        <f t="shared" si="173"/>
        <v>9.4705882352941181E-2</v>
      </c>
      <c r="N387" t="str">
        <f t="shared" si="174"/>
        <v>Low</v>
      </c>
      <c r="O387">
        <f t="shared" si="175"/>
        <v>9.75</v>
      </c>
      <c r="P387" t="str">
        <f t="shared" si="176"/>
        <v>Low</v>
      </c>
    </row>
    <row r="388" spans="1:16" hidden="1" x14ac:dyDescent="0.25">
      <c r="A388">
        <v>50</v>
      </c>
      <c r="B388">
        <v>3.86</v>
      </c>
      <c r="C388" t="s">
        <v>11</v>
      </c>
      <c r="D388" t="s">
        <v>18</v>
      </c>
      <c r="E388">
        <v>600</v>
      </c>
      <c r="F388">
        <v>141.6</v>
      </c>
      <c r="G388">
        <v>11.94</v>
      </c>
      <c r="H388">
        <v>7.18</v>
      </c>
      <c r="I388">
        <v>186.01</v>
      </c>
      <c r="J388">
        <v>8</v>
      </c>
      <c r="K388" t="s">
        <v>16</v>
      </c>
      <c r="L388" t="str">
        <f t="shared" si="177"/>
        <v>INVALID</v>
      </c>
    </row>
    <row r="389" spans="1:16" x14ac:dyDescent="0.25">
      <c r="A389">
        <v>50</v>
      </c>
      <c r="B389">
        <v>5.74</v>
      </c>
      <c r="C389" t="s">
        <v>19</v>
      </c>
      <c r="D389" t="s">
        <v>15</v>
      </c>
      <c r="E389" s="3">
        <v>300</v>
      </c>
      <c r="F389">
        <v>19.899999999999999</v>
      </c>
      <c r="G389">
        <v>8.8000000000000007</v>
      </c>
      <c r="H389">
        <v>4.18</v>
      </c>
      <c r="I389">
        <v>72.819999999999993</v>
      </c>
      <c r="J389">
        <v>8</v>
      </c>
      <c r="K389" t="s">
        <v>13</v>
      </c>
      <c r="L389" t="str">
        <f t="shared" si="177"/>
        <v>VALID</v>
      </c>
      <c r="M389">
        <f t="shared" ref="M389:M394" si="178">IF(J389&gt;0,H389/J389," ")</f>
        <v>0.52249999999999996</v>
      </c>
      <c r="N389" t="str">
        <f t="shared" ref="N389:N394" si="179">IF(ISNUMBER(E389),IF(E389&lt;1000,"Low",IF(E389&lt;3000,"Medium","High")),"Unknown")</f>
        <v>Low</v>
      </c>
      <c r="O389">
        <f t="shared" ref="O389:O394" si="180">(G389+I389)/2</f>
        <v>40.809999999999995</v>
      </c>
      <c r="P389" t="str">
        <f t="shared" ref="P389:P394" si="181">IF(O389&lt;30,"Low",IF(O389&lt;60,"Medium","High"))</f>
        <v>Medium</v>
      </c>
    </row>
    <row r="390" spans="1:16" x14ac:dyDescent="0.25">
      <c r="A390">
        <v>500</v>
      </c>
      <c r="B390">
        <v>10.93</v>
      </c>
      <c r="C390" t="s">
        <v>14</v>
      </c>
      <c r="D390" t="s">
        <v>17</v>
      </c>
      <c r="E390" s="3">
        <v>600</v>
      </c>
      <c r="F390">
        <v>100.2</v>
      </c>
      <c r="G390">
        <v>11.3</v>
      </c>
      <c r="H390">
        <v>9.6199999999999992</v>
      </c>
      <c r="I390">
        <v>88.01</v>
      </c>
      <c r="J390">
        <v>12</v>
      </c>
      <c r="K390" t="s">
        <v>16</v>
      </c>
      <c r="L390" t="str">
        <f t="shared" si="177"/>
        <v>VALID</v>
      </c>
      <c r="M390">
        <f t="shared" si="178"/>
        <v>0.80166666666666664</v>
      </c>
      <c r="N390" t="str">
        <f t="shared" si="179"/>
        <v>Low</v>
      </c>
      <c r="O390">
        <f t="shared" si="180"/>
        <v>49.655000000000001</v>
      </c>
      <c r="P390" t="str">
        <f t="shared" si="181"/>
        <v>Medium</v>
      </c>
    </row>
    <row r="391" spans="1:16" x14ac:dyDescent="0.25">
      <c r="A391">
        <v>1500</v>
      </c>
      <c r="B391">
        <v>23.47</v>
      </c>
      <c r="C391" t="s">
        <v>21</v>
      </c>
      <c r="D391" t="s">
        <v>17</v>
      </c>
      <c r="E391" s="3">
        <v>150</v>
      </c>
      <c r="F391">
        <v>18.3</v>
      </c>
      <c r="G391">
        <v>10.75</v>
      </c>
      <c r="H391">
        <v>9.02</v>
      </c>
      <c r="I391">
        <v>38.43</v>
      </c>
      <c r="J391">
        <v>9</v>
      </c>
      <c r="K391" t="s">
        <v>16</v>
      </c>
      <c r="L391" t="str">
        <f t="shared" si="177"/>
        <v>VALID</v>
      </c>
      <c r="M391">
        <f t="shared" si="178"/>
        <v>1.0022222222222221</v>
      </c>
      <c r="N391" t="str">
        <f t="shared" si="179"/>
        <v>Low</v>
      </c>
      <c r="O391">
        <f t="shared" si="180"/>
        <v>24.59</v>
      </c>
      <c r="P391" t="str">
        <f t="shared" si="181"/>
        <v>Low</v>
      </c>
    </row>
    <row r="392" spans="1:16" x14ac:dyDescent="0.25">
      <c r="A392">
        <v>400</v>
      </c>
      <c r="B392">
        <v>9.44</v>
      </c>
      <c r="C392" t="s">
        <v>22</v>
      </c>
      <c r="D392" t="s">
        <v>15</v>
      </c>
      <c r="E392" s="3">
        <v>1500</v>
      </c>
      <c r="F392">
        <v>31.7</v>
      </c>
      <c r="G392">
        <v>3.39</v>
      </c>
      <c r="H392">
        <v>0.99</v>
      </c>
      <c r="I392">
        <v>10.49</v>
      </c>
      <c r="J392">
        <v>4</v>
      </c>
      <c r="K392" t="s">
        <v>23</v>
      </c>
      <c r="L392" t="str">
        <f t="shared" si="177"/>
        <v>VALID</v>
      </c>
      <c r="M392">
        <f t="shared" si="178"/>
        <v>0.2475</v>
      </c>
      <c r="N392" t="str">
        <f t="shared" si="179"/>
        <v>Medium</v>
      </c>
      <c r="O392">
        <f t="shared" si="180"/>
        <v>6.94</v>
      </c>
      <c r="P392" t="str">
        <f t="shared" si="181"/>
        <v>Low</v>
      </c>
    </row>
    <row r="393" spans="1:16" x14ac:dyDescent="0.25">
      <c r="A393">
        <v>500</v>
      </c>
      <c r="B393">
        <v>20.010000000000002</v>
      </c>
      <c r="C393" t="s">
        <v>21</v>
      </c>
      <c r="D393" t="s">
        <v>15</v>
      </c>
      <c r="E393" s="3">
        <v>300</v>
      </c>
      <c r="F393">
        <v>5.6</v>
      </c>
      <c r="G393">
        <v>2.64</v>
      </c>
      <c r="H393">
        <v>4.99</v>
      </c>
      <c r="I393">
        <v>24.94</v>
      </c>
      <c r="J393">
        <v>23</v>
      </c>
      <c r="K393" t="s">
        <v>13</v>
      </c>
      <c r="L393" t="str">
        <f t="shared" si="177"/>
        <v>VALID</v>
      </c>
      <c r="M393">
        <f t="shared" si="178"/>
        <v>0.21695652173913044</v>
      </c>
      <c r="N393" t="str">
        <f t="shared" si="179"/>
        <v>Low</v>
      </c>
      <c r="O393">
        <f t="shared" si="180"/>
        <v>13.790000000000001</v>
      </c>
      <c r="P393" t="str">
        <f t="shared" si="181"/>
        <v>Low</v>
      </c>
    </row>
    <row r="394" spans="1:16" x14ac:dyDescent="0.25">
      <c r="A394">
        <v>250</v>
      </c>
      <c r="B394">
        <v>14.24</v>
      </c>
      <c r="C394" t="s">
        <v>22</v>
      </c>
      <c r="D394" t="s">
        <v>17</v>
      </c>
      <c r="E394" s="3">
        <v>2500</v>
      </c>
      <c r="F394">
        <v>136.6</v>
      </c>
      <c r="G394">
        <v>4.53</v>
      </c>
      <c r="H394">
        <v>1.1000000000000001</v>
      </c>
      <c r="I394">
        <v>7.72</v>
      </c>
      <c r="J394">
        <v>18</v>
      </c>
      <c r="K394" t="s">
        <v>23</v>
      </c>
      <c r="L394" t="str">
        <f t="shared" si="177"/>
        <v>VALID</v>
      </c>
      <c r="M394">
        <f t="shared" si="178"/>
        <v>6.1111111111111116E-2</v>
      </c>
      <c r="N394" t="str">
        <f t="shared" si="179"/>
        <v>Medium</v>
      </c>
      <c r="O394">
        <f t="shared" si="180"/>
        <v>6.125</v>
      </c>
      <c r="P394" t="str">
        <f t="shared" si="181"/>
        <v>Low</v>
      </c>
    </row>
    <row r="395" spans="1:16" hidden="1" x14ac:dyDescent="0.25">
      <c r="A395">
        <v>50</v>
      </c>
      <c r="B395">
        <v>5.0999999999999996</v>
      </c>
      <c r="C395" t="s">
        <v>21</v>
      </c>
      <c r="D395" t="s">
        <v>12</v>
      </c>
      <c r="E395">
        <v>600</v>
      </c>
      <c r="F395">
        <v>80.2</v>
      </c>
      <c r="G395">
        <v>10.57</v>
      </c>
      <c r="H395">
        <v>6.93</v>
      </c>
      <c r="I395">
        <v>135.88</v>
      </c>
      <c r="J395">
        <v>18</v>
      </c>
      <c r="K395" t="s">
        <v>16</v>
      </c>
      <c r="L395" t="str">
        <f t="shared" si="177"/>
        <v>INVALID</v>
      </c>
    </row>
    <row r="396" spans="1:16" x14ac:dyDescent="0.25">
      <c r="A396">
        <v>100</v>
      </c>
      <c r="B396">
        <v>5.95</v>
      </c>
      <c r="C396" t="s">
        <v>22</v>
      </c>
      <c r="D396" t="s">
        <v>15</v>
      </c>
      <c r="E396" s="3">
        <v>150</v>
      </c>
      <c r="F396">
        <v>69.3</v>
      </c>
      <c r="G396">
        <v>18.23</v>
      </c>
      <c r="H396">
        <v>5.37</v>
      </c>
      <c r="I396">
        <v>90.25</v>
      </c>
      <c r="J396">
        <v>5</v>
      </c>
      <c r="K396" t="s">
        <v>16</v>
      </c>
      <c r="L396" t="str">
        <f t="shared" si="177"/>
        <v>VALID</v>
      </c>
      <c r="M396">
        <f t="shared" ref="M396:M404" si="182">IF(J396&gt;0,H396/J396," ")</f>
        <v>1.0740000000000001</v>
      </c>
      <c r="N396" t="str">
        <f t="shared" ref="N396:N404" si="183">IF(ISNUMBER(E396),IF(E396&lt;1000,"Low",IF(E396&lt;3000,"Medium","High")),"Unknown")</f>
        <v>Low</v>
      </c>
      <c r="O396">
        <f t="shared" ref="O396:O404" si="184">(G396+I396)/2</f>
        <v>54.24</v>
      </c>
      <c r="P396" t="str">
        <f t="shared" ref="P396:P404" si="185">IF(O396&lt;30,"Low",IF(O396&lt;60,"Medium","High"))</f>
        <v>Medium</v>
      </c>
    </row>
    <row r="397" spans="1:16" x14ac:dyDescent="0.25">
      <c r="A397">
        <v>50</v>
      </c>
      <c r="B397">
        <v>4.43</v>
      </c>
      <c r="C397" t="s">
        <v>19</v>
      </c>
      <c r="D397" t="s">
        <v>15</v>
      </c>
      <c r="E397" s="3">
        <v>600</v>
      </c>
      <c r="F397">
        <v>16.100000000000001</v>
      </c>
      <c r="G397">
        <v>16.91</v>
      </c>
      <c r="H397">
        <v>4.09</v>
      </c>
      <c r="I397">
        <v>92.33</v>
      </c>
      <c r="J397">
        <v>16</v>
      </c>
      <c r="K397" t="s">
        <v>13</v>
      </c>
      <c r="L397" t="str">
        <f t="shared" si="177"/>
        <v>VALID</v>
      </c>
      <c r="M397">
        <f t="shared" si="182"/>
        <v>0.25562499999999999</v>
      </c>
      <c r="N397" t="str">
        <f t="shared" si="183"/>
        <v>Low</v>
      </c>
      <c r="O397">
        <f t="shared" si="184"/>
        <v>54.62</v>
      </c>
      <c r="P397" t="str">
        <f t="shared" si="185"/>
        <v>Medium</v>
      </c>
    </row>
    <row r="398" spans="1:16" x14ac:dyDescent="0.25">
      <c r="A398">
        <v>100</v>
      </c>
      <c r="B398">
        <v>5.33</v>
      </c>
      <c r="C398" t="s">
        <v>22</v>
      </c>
      <c r="D398" t="s">
        <v>12</v>
      </c>
      <c r="E398" s="3">
        <v>1500</v>
      </c>
      <c r="F398">
        <v>50.9</v>
      </c>
      <c r="G398">
        <v>16.47</v>
      </c>
      <c r="H398">
        <v>2.04</v>
      </c>
      <c r="I398">
        <v>38.270000000000003</v>
      </c>
      <c r="J398">
        <v>16</v>
      </c>
      <c r="K398" t="s">
        <v>13</v>
      </c>
      <c r="L398" t="str">
        <f t="shared" si="177"/>
        <v>VALID</v>
      </c>
      <c r="M398">
        <f t="shared" si="182"/>
        <v>0.1275</v>
      </c>
      <c r="N398" t="str">
        <f t="shared" si="183"/>
        <v>Medium</v>
      </c>
      <c r="O398">
        <f t="shared" si="184"/>
        <v>27.37</v>
      </c>
      <c r="P398" t="str">
        <f t="shared" si="185"/>
        <v>Low</v>
      </c>
    </row>
    <row r="399" spans="1:16" x14ac:dyDescent="0.25">
      <c r="A399">
        <v>600</v>
      </c>
      <c r="B399">
        <v>24.6</v>
      </c>
      <c r="C399" t="s">
        <v>14</v>
      </c>
      <c r="D399" t="s">
        <v>18</v>
      </c>
      <c r="E399" s="3">
        <v>2500</v>
      </c>
      <c r="F399">
        <v>2.7</v>
      </c>
      <c r="G399">
        <v>1.98</v>
      </c>
      <c r="H399">
        <v>7.53</v>
      </c>
      <c r="I399">
        <v>30.61</v>
      </c>
      <c r="J399">
        <v>6</v>
      </c>
      <c r="K399" t="s">
        <v>16</v>
      </c>
      <c r="L399" t="str">
        <f t="shared" si="177"/>
        <v>VALID</v>
      </c>
      <c r="M399">
        <f t="shared" si="182"/>
        <v>1.2550000000000001</v>
      </c>
      <c r="N399" t="str">
        <f t="shared" si="183"/>
        <v>Medium</v>
      </c>
      <c r="O399">
        <f t="shared" si="184"/>
        <v>16.294999999999998</v>
      </c>
      <c r="P399" t="str">
        <f t="shared" si="185"/>
        <v>Low</v>
      </c>
    </row>
    <row r="400" spans="1:16" x14ac:dyDescent="0.25">
      <c r="A400">
        <v>250</v>
      </c>
      <c r="B400">
        <v>13.65</v>
      </c>
      <c r="C400" t="s">
        <v>21</v>
      </c>
      <c r="D400" t="s">
        <v>12</v>
      </c>
      <c r="E400" s="3">
        <v>300</v>
      </c>
      <c r="F400">
        <v>45.9</v>
      </c>
      <c r="G400">
        <v>12.65</v>
      </c>
      <c r="H400">
        <v>7.65</v>
      </c>
      <c r="I400">
        <v>56.04</v>
      </c>
      <c r="J400">
        <v>9</v>
      </c>
      <c r="K400" t="s">
        <v>16</v>
      </c>
      <c r="L400" t="str">
        <f t="shared" si="177"/>
        <v>VALID</v>
      </c>
      <c r="M400">
        <f t="shared" si="182"/>
        <v>0.85000000000000009</v>
      </c>
      <c r="N400" t="str">
        <f t="shared" si="183"/>
        <v>Low</v>
      </c>
      <c r="O400">
        <f t="shared" si="184"/>
        <v>34.344999999999999</v>
      </c>
      <c r="P400" t="str">
        <f t="shared" si="185"/>
        <v>Medium</v>
      </c>
    </row>
    <row r="401" spans="1:16" x14ac:dyDescent="0.25">
      <c r="A401">
        <v>1200</v>
      </c>
      <c r="B401">
        <v>24.59</v>
      </c>
      <c r="C401" t="s">
        <v>22</v>
      </c>
      <c r="D401" t="s">
        <v>20</v>
      </c>
      <c r="E401" s="3">
        <v>300</v>
      </c>
      <c r="F401">
        <v>72.8</v>
      </c>
      <c r="G401">
        <v>12.85</v>
      </c>
      <c r="H401">
        <v>8.44</v>
      </c>
      <c r="I401">
        <v>34.32</v>
      </c>
      <c r="J401">
        <v>13</v>
      </c>
      <c r="K401" t="s">
        <v>16</v>
      </c>
      <c r="L401" t="str">
        <f t="shared" si="177"/>
        <v>VALID</v>
      </c>
      <c r="M401">
        <f t="shared" si="182"/>
        <v>0.64923076923076917</v>
      </c>
      <c r="N401" t="str">
        <f t="shared" si="183"/>
        <v>Low</v>
      </c>
      <c r="O401">
        <f t="shared" si="184"/>
        <v>23.585000000000001</v>
      </c>
      <c r="P401" t="str">
        <f t="shared" si="185"/>
        <v>Low</v>
      </c>
    </row>
    <row r="402" spans="1:16" x14ac:dyDescent="0.25">
      <c r="A402">
        <v>400</v>
      </c>
      <c r="B402">
        <v>16.12</v>
      </c>
      <c r="C402" t="s">
        <v>19</v>
      </c>
      <c r="D402" t="s">
        <v>15</v>
      </c>
      <c r="E402" s="3">
        <v>150</v>
      </c>
      <c r="F402">
        <v>84</v>
      </c>
      <c r="G402">
        <v>12.61</v>
      </c>
      <c r="H402">
        <v>6.86</v>
      </c>
      <c r="I402">
        <v>42.56</v>
      </c>
      <c r="J402">
        <v>3</v>
      </c>
      <c r="K402" t="s">
        <v>16</v>
      </c>
      <c r="L402" t="str">
        <f t="shared" si="177"/>
        <v>VALID</v>
      </c>
      <c r="M402">
        <f t="shared" si="182"/>
        <v>2.2866666666666666</v>
      </c>
      <c r="N402" t="str">
        <f t="shared" si="183"/>
        <v>Low</v>
      </c>
      <c r="O402">
        <f t="shared" si="184"/>
        <v>27.585000000000001</v>
      </c>
      <c r="P402" t="str">
        <f t="shared" si="185"/>
        <v>Low</v>
      </c>
    </row>
    <row r="403" spans="1:16" x14ac:dyDescent="0.25">
      <c r="A403">
        <v>1500</v>
      </c>
      <c r="B403">
        <v>39.33</v>
      </c>
      <c r="C403" t="s">
        <v>19</v>
      </c>
      <c r="D403" t="s">
        <v>12</v>
      </c>
      <c r="E403" s="3">
        <v>300</v>
      </c>
      <c r="F403">
        <v>-13.1</v>
      </c>
      <c r="G403">
        <v>6.78</v>
      </c>
      <c r="H403">
        <v>3.13</v>
      </c>
      <c r="I403">
        <v>7.96</v>
      </c>
      <c r="J403">
        <v>19</v>
      </c>
      <c r="K403" t="s">
        <v>13</v>
      </c>
      <c r="L403" t="str">
        <f t="shared" si="177"/>
        <v>VALID</v>
      </c>
      <c r="M403">
        <f t="shared" si="182"/>
        <v>0.16473684210526315</v>
      </c>
      <c r="N403" t="str">
        <f t="shared" si="183"/>
        <v>Low</v>
      </c>
      <c r="O403">
        <f t="shared" si="184"/>
        <v>7.37</v>
      </c>
      <c r="P403" t="str">
        <f t="shared" si="185"/>
        <v>Low</v>
      </c>
    </row>
    <row r="404" spans="1:16" x14ac:dyDescent="0.25">
      <c r="A404">
        <v>500</v>
      </c>
      <c r="B404">
        <v>9.5399999999999991</v>
      </c>
      <c r="C404" t="s">
        <v>22</v>
      </c>
      <c r="D404" t="s">
        <v>15</v>
      </c>
      <c r="E404" s="3">
        <v>900</v>
      </c>
      <c r="F404">
        <v>48.6</v>
      </c>
      <c r="G404">
        <v>11.26</v>
      </c>
      <c r="H404">
        <v>3.14</v>
      </c>
      <c r="I404">
        <v>32.909999999999997</v>
      </c>
      <c r="J404">
        <v>10</v>
      </c>
      <c r="K404" t="s">
        <v>13</v>
      </c>
      <c r="L404" t="str">
        <f t="shared" si="177"/>
        <v>VALID</v>
      </c>
      <c r="M404">
        <f t="shared" si="182"/>
        <v>0.314</v>
      </c>
      <c r="N404" t="str">
        <f t="shared" si="183"/>
        <v>Low</v>
      </c>
      <c r="O404">
        <f t="shared" si="184"/>
        <v>22.084999999999997</v>
      </c>
      <c r="P404" t="str">
        <f t="shared" si="185"/>
        <v>Low</v>
      </c>
    </row>
    <row r="405" spans="1:16" hidden="1" x14ac:dyDescent="0.25">
      <c r="A405">
        <v>100</v>
      </c>
      <c r="B405">
        <v>6.67</v>
      </c>
      <c r="C405" t="s">
        <v>11</v>
      </c>
      <c r="D405" t="s">
        <v>17</v>
      </c>
      <c r="E405">
        <v>150</v>
      </c>
      <c r="F405">
        <v>-13.9</v>
      </c>
      <c r="G405">
        <v>9.73</v>
      </c>
      <c r="H405">
        <v>8.14</v>
      </c>
      <c r="I405">
        <v>122.04</v>
      </c>
      <c r="J405">
        <v>3</v>
      </c>
      <c r="K405" t="s">
        <v>16</v>
      </c>
      <c r="L405" t="str">
        <f t="shared" si="177"/>
        <v>INVALID</v>
      </c>
    </row>
    <row r="406" spans="1:16" x14ac:dyDescent="0.25">
      <c r="A406">
        <v>50</v>
      </c>
      <c r="B406">
        <v>3</v>
      </c>
      <c r="C406" t="s">
        <v>22</v>
      </c>
      <c r="D406" t="s">
        <v>12</v>
      </c>
      <c r="E406" s="3">
        <v>2500</v>
      </c>
      <c r="F406">
        <v>149.5</v>
      </c>
      <c r="G406">
        <v>9.41</v>
      </c>
      <c r="H406">
        <v>2.44</v>
      </c>
      <c r="I406">
        <v>81.33</v>
      </c>
      <c r="J406">
        <v>5</v>
      </c>
      <c r="K406" t="s">
        <v>13</v>
      </c>
      <c r="L406" t="str">
        <f t="shared" si="177"/>
        <v>VALID</v>
      </c>
      <c r="M406">
        <f t="shared" ref="M406:M413" si="186">IF(J406&gt;0,H406/J406," ")</f>
        <v>0.48799999999999999</v>
      </c>
      <c r="N406" t="str">
        <f t="shared" ref="N406:N413" si="187">IF(ISNUMBER(E406),IF(E406&lt;1000,"Low",IF(E406&lt;3000,"Medium","High")),"Unknown")</f>
        <v>Medium</v>
      </c>
      <c r="O406">
        <f t="shared" ref="O406:O413" si="188">(G406+I406)/2</f>
        <v>45.37</v>
      </c>
      <c r="P406" t="str">
        <f t="shared" ref="P406:P413" si="189">IF(O406&lt;30,"Low",IF(O406&lt;60,"Medium","High"))</f>
        <v>Medium</v>
      </c>
    </row>
    <row r="407" spans="1:16" x14ac:dyDescent="0.25">
      <c r="A407">
        <v>600</v>
      </c>
      <c r="B407">
        <v>18.899999999999999</v>
      </c>
      <c r="C407" t="s">
        <v>14</v>
      </c>
      <c r="D407" t="s">
        <v>17</v>
      </c>
      <c r="E407" s="3">
        <v>300</v>
      </c>
      <c r="F407">
        <v>117.6</v>
      </c>
      <c r="G407">
        <v>18.88</v>
      </c>
      <c r="H407">
        <v>8.35</v>
      </c>
      <c r="I407">
        <v>44.18</v>
      </c>
      <c r="J407">
        <v>2</v>
      </c>
      <c r="K407" t="s">
        <v>16</v>
      </c>
      <c r="L407" t="str">
        <f t="shared" si="177"/>
        <v>VALID</v>
      </c>
      <c r="M407">
        <f t="shared" si="186"/>
        <v>4.1749999999999998</v>
      </c>
      <c r="N407" t="str">
        <f t="shared" si="187"/>
        <v>Low</v>
      </c>
      <c r="O407">
        <f t="shared" si="188"/>
        <v>31.53</v>
      </c>
      <c r="P407" t="str">
        <f t="shared" si="189"/>
        <v>Medium</v>
      </c>
    </row>
    <row r="408" spans="1:16" x14ac:dyDescent="0.25">
      <c r="A408">
        <v>1000</v>
      </c>
      <c r="B408">
        <v>23.13</v>
      </c>
      <c r="C408" t="s">
        <v>22</v>
      </c>
      <c r="D408" t="s">
        <v>15</v>
      </c>
      <c r="E408" s="3">
        <v>900</v>
      </c>
      <c r="F408">
        <v>40.299999999999997</v>
      </c>
      <c r="G408">
        <v>8.4499999999999993</v>
      </c>
      <c r="H408">
        <v>3.98</v>
      </c>
      <c r="I408">
        <v>17.21</v>
      </c>
      <c r="J408">
        <v>12</v>
      </c>
      <c r="K408" t="s">
        <v>13</v>
      </c>
      <c r="L408" t="str">
        <f t="shared" si="177"/>
        <v>VALID</v>
      </c>
      <c r="M408">
        <f t="shared" si="186"/>
        <v>0.33166666666666667</v>
      </c>
      <c r="N408" t="str">
        <f t="shared" si="187"/>
        <v>Low</v>
      </c>
      <c r="O408">
        <f t="shared" si="188"/>
        <v>12.83</v>
      </c>
      <c r="P408" t="str">
        <f t="shared" si="189"/>
        <v>Low</v>
      </c>
    </row>
    <row r="409" spans="1:16" x14ac:dyDescent="0.25">
      <c r="A409">
        <v>200</v>
      </c>
      <c r="B409">
        <v>11.05</v>
      </c>
      <c r="C409" t="s">
        <v>21</v>
      </c>
      <c r="D409" t="s">
        <v>17</v>
      </c>
      <c r="E409" s="3">
        <v>900</v>
      </c>
      <c r="F409">
        <v>10.1</v>
      </c>
      <c r="G409">
        <v>4.0999999999999996</v>
      </c>
      <c r="H409">
        <v>1.81</v>
      </c>
      <c r="I409">
        <v>16.38</v>
      </c>
      <c r="J409">
        <v>25</v>
      </c>
      <c r="K409" t="s">
        <v>23</v>
      </c>
      <c r="L409" t="str">
        <f t="shared" si="177"/>
        <v>VALID</v>
      </c>
      <c r="M409">
        <f t="shared" si="186"/>
        <v>7.2400000000000006E-2</v>
      </c>
      <c r="N409" t="str">
        <f t="shared" si="187"/>
        <v>Low</v>
      </c>
      <c r="O409">
        <f t="shared" si="188"/>
        <v>10.239999999999998</v>
      </c>
      <c r="P409" t="str">
        <f t="shared" si="189"/>
        <v>Low</v>
      </c>
    </row>
    <row r="410" spans="1:16" x14ac:dyDescent="0.25">
      <c r="A410">
        <v>400</v>
      </c>
      <c r="B410">
        <v>12.9</v>
      </c>
      <c r="C410" t="s">
        <v>14</v>
      </c>
      <c r="D410" t="s">
        <v>20</v>
      </c>
      <c r="E410" s="3">
        <v>1500</v>
      </c>
      <c r="F410">
        <v>19.8</v>
      </c>
      <c r="G410">
        <v>19.47</v>
      </c>
      <c r="H410">
        <v>2.81</v>
      </c>
      <c r="I410">
        <v>21.78</v>
      </c>
      <c r="J410">
        <v>6</v>
      </c>
      <c r="K410" t="s">
        <v>13</v>
      </c>
      <c r="L410" t="str">
        <f t="shared" si="177"/>
        <v>VALID</v>
      </c>
      <c r="M410">
        <f t="shared" si="186"/>
        <v>0.46833333333333332</v>
      </c>
      <c r="N410" t="str">
        <f t="shared" si="187"/>
        <v>Medium</v>
      </c>
      <c r="O410">
        <f t="shared" si="188"/>
        <v>20.625</v>
      </c>
      <c r="P410" t="str">
        <f t="shared" si="189"/>
        <v>Low</v>
      </c>
    </row>
    <row r="411" spans="1:16" x14ac:dyDescent="0.25">
      <c r="A411">
        <v>250</v>
      </c>
      <c r="B411">
        <v>12.98</v>
      </c>
      <c r="C411" t="s">
        <v>11</v>
      </c>
      <c r="D411" t="s">
        <v>17</v>
      </c>
      <c r="E411" s="3">
        <v>900</v>
      </c>
      <c r="F411">
        <v>102.9</v>
      </c>
      <c r="G411">
        <v>1.02</v>
      </c>
      <c r="H411">
        <v>0.88</v>
      </c>
      <c r="I411">
        <v>6.78</v>
      </c>
      <c r="J411">
        <v>19</v>
      </c>
      <c r="K411" t="s">
        <v>23</v>
      </c>
      <c r="L411" t="str">
        <f t="shared" si="177"/>
        <v>VALID</v>
      </c>
      <c r="M411">
        <f t="shared" si="186"/>
        <v>4.6315789473684213E-2</v>
      </c>
      <c r="N411" t="str">
        <f t="shared" si="187"/>
        <v>Low</v>
      </c>
      <c r="O411">
        <f t="shared" si="188"/>
        <v>3.9000000000000004</v>
      </c>
      <c r="P411" t="str">
        <f t="shared" si="189"/>
        <v>Low</v>
      </c>
    </row>
    <row r="412" spans="1:16" x14ac:dyDescent="0.25">
      <c r="A412">
        <v>1500</v>
      </c>
      <c r="B412">
        <v>36.130000000000003</v>
      </c>
      <c r="C412" t="s">
        <v>22</v>
      </c>
      <c r="D412" t="s">
        <v>17</v>
      </c>
      <c r="E412" s="3">
        <v>900</v>
      </c>
      <c r="F412">
        <v>59.5</v>
      </c>
      <c r="G412">
        <v>2.84</v>
      </c>
      <c r="H412">
        <v>6.93</v>
      </c>
      <c r="I412">
        <v>19.18</v>
      </c>
      <c r="J412">
        <v>14</v>
      </c>
      <c r="K412" t="s">
        <v>16</v>
      </c>
      <c r="L412" t="str">
        <f t="shared" si="177"/>
        <v>VALID</v>
      </c>
      <c r="M412">
        <f t="shared" si="186"/>
        <v>0.495</v>
      </c>
      <c r="N412" t="str">
        <f t="shared" si="187"/>
        <v>Low</v>
      </c>
      <c r="O412">
        <f t="shared" si="188"/>
        <v>11.01</v>
      </c>
      <c r="P412" t="str">
        <f t="shared" si="189"/>
        <v>Low</v>
      </c>
    </row>
    <row r="413" spans="1:16" x14ac:dyDescent="0.25">
      <c r="A413">
        <v>100</v>
      </c>
      <c r="B413">
        <v>7.8</v>
      </c>
      <c r="C413" t="s">
        <v>14</v>
      </c>
      <c r="D413" t="s">
        <v>12</v>
      </c>
      <c r="E413" s="3">
        <v>1500</v>
      </c>
      <c r="F413">
        <v>36</v>
      </c>
      <c r="G413">
        <v>3.57</v>
      </c>
      <c r="H413">
        <v>4.6399999999999997</v>
      </c>
      <c r="I413">
        <v>59.49</v>
      </c>
      <c r="J413">
        <v>23</v>
      </c>
      <c r="K413" t="s">
        <v>13</v>
      </c>
      <c r="L413" t="str">
        <f t="shared" si="177"/>
        <v>VALID</v>
      </c>
      <c r="M413">
        <f t="shared" si="186"/>
        <v>0.20173913043478259</v>
      </c>
      <c r="N413" t="str">
        <f t="shared" si="187"/>
        <v>Medium</v>
      </c>
      <c r="O413">
        <f t="shared" si="188"/>
        <v>31.53</v>
      </c>
      <c r="P413" t="str">
        <f t="shared" si="189"/>
        <v>Medium</v>
      </c>
    </row>
    <row r="414" spans="1:16" hidden="1" x14ac:dyDescent="0.25">
      <c r="A414">
        <v>200</v>
      </c>
      <c r="B414">
        <v>6.14</v>
      </c>
      <c r="C414" t="s">
        <v>14</v>
      </c>
      <c r="D414" t="s">
        <v>18</v>
      </c>
      <c r="E414">
        <v>900</v>
      </c>
      <c r="F414">
        <v>50.9</v>
      </c>
      <c r="G414">
        <v>16.59</v>
      </c>
      <c r="H414">
        <v>7.1</v>
      </c>
      <c r="I414">
        <v>115.64</v>
      </c>
      <c r="J414">
        <v>3</v>
      </c>
      <c r="K414" t="s">
        <v>16</v>
      </c>
      <c r="L414" t="str">
        <f t="shared" si="177"/>
        <v>INVALID</v>
      </c>
    </row>
    <row r="415" spans="1:16" x14ac:dyDescent="0.25">
      <c r="A415">
        <v>100</v>
      </c>
      <c r="B415">
        <v>4.22</v>
      </c>
      <c r="C415" t="s">
        <v>14</v>
      </c>
      <c r="D415" t="s">
        <v>18</v>
      </c>
      <c r="E415" s="3">
        <v>1500</v>
      </c>
      <c r="F415">
        <v>3.5</v>
      </c>
      <c r="G415">
        <v>16.13</v>
      </c>
      <c r="H415">
        <v>0.03</v>
      </c>
      <c r="I415">
        <v>0.71</v>
      </c>
      <c r="J415">
        <v>17</v>
      </c>
      <c r="K415" t="s">
        <v>23</v>
      </c>
      <c r="L415" t="str">
        <f t="shared" si="177"/>
        <v>VALID</v>
      </c>
      <c r="M415">
        <f t="shared" ref="M415:M423" si="190">IF(J415&gt;0,H415/J415," ")</f>
        <v>1.764705882352941E-3</v>
      </c>
      <c r="N415" t="str">
        <f t="shared" ref="N415:N423" si="191">IF(ISNUMBER(E415),IF(E415&lt;1000,"Low",IF(E415&lt;3000,"Medium","High")),"Unknown")</f>
        <v>Medium</v>
      </c>
      <c r="O415">
        <f t="shared" ref="O415:O423" si="192">(G415+I415)/2</f>
        <v>8.42</v>
      </c>
      <c r="P415" t="str">
        <f t="shared" ref="P415:P423" si="193">IF(O415&lt;30,"Low",IF(O415&lt;60,"Medium","High"))</f>
        <v>Low</v>
      </c>
    </row>
    <row r="416" spans="1:16" x14ac:dyDescent="0.25">
      <c r="A416">
        <v>1000</v>
      </c>
      <c r="B416">
        <v>26.19</v>
      </c>
      <c r="C416" t="s">
        <v>19</v>
      </c>
      <c r="D416" t="s">
        <v>20</v>
      </c>
      <c r="E416" s="3">
        <v>900</v>
      </c>
      <c r="F416">
        <v>26.3</v>
      </c>
      <c r="G416">
        <v>4.38</v>
      </c>
      <c r="H416">
        <v>0.12</v>
      </c>
      <c r="I416">
        <v>0.46</v>
      </c>
      <c r="J416">
        <v>4</v>
      </c>
      <c r="K416" t="s">
        <v>23</v>
      </c>
      <c r="L416" t="str">
        <f t="shared" si="177"/>
        <v>VALID</v>
      </c>
      <c r="M416">
        <f t="shared" si="190"/>
        <v>0.03</v>
      </c>
      <c r="N416" t="str">
        <f t="shared" si="191"/>
        <v>Low</v>
      </c>
      <c r="O416">
        <f t="shared" si="192"/>
        <v>2.42</v>
      </c>
      <c r="P416" t="str">
        <f t="shared" si="193"/>
        <v>Low</v>
      </c>
    </row>
    <row r="417" spans="1:16" x14ac:dyDescent="0.25">
      <c r="A417">
        <v>400</v>
      </c>
      <c r="B417">
        <v>14.97</v>
      </c>
      <c r="C417" t="s">
        <v>19</v>
      </c>
      <c r="D417" t="s">
        <v>12</v>
      </c>
      <c r="E417" s="3">
        <v>2500</v>
      </c>
      <c r="F417">
        <v>3</v>
      </c>
      <c r="G417">
        <v>13.47</v>
      </c>
      <c r="H417">
        <v>3.14</v>
      </c>
      <c r="I417">
        <v>20.98</v>
      </c>
      <c r="J417">
        <v>23</v>
      </c>
      <c r="K417" t="s">
        <v>13</v>
      </c>
      <c r="L417" t="str">
        <f t="shared" si="177"/>
        <v>VALID</v>
      </c>
      <c r="M417">
        <f t="shared" si="190"/>
        <v>0.13652173913043478</v>
      </c>
      <c r="N417" t="str">
        <f t="shared" si="191"/>
        <v>Medium</v>
      </c>
      <c r="O417">
        <f t="shared" si="192"/>
        <v>17.225000000000001</v>
      </c>
      <c r="P417" t="str">
        <f t="shared" si="193"/>
        <v>Low</v>
      </c>
    </row>
    <row r="418" spans="1:16" x14ac:dyDescent="0.25">
      <c r="A418">
        <v>50</v>
      </c>
      <c r="B418">
        <v>3.63</v>
      </c>
      <c r="C418" t="s">
        <v>22</v>
      </c>
      <c r="D418" t="s">
        <v>15</v>
      </c>
      <c r="E418" s="3">
        <v>900</v>
      </c>
      <c r="F418">
        <v>35.9</v>
      </c>
      <c r="G418">
        <v>5.29</v>
      </c>
      <c r="H418">
        <v>0.55000000000000004</v>
      </c>
      <c r="I418">
        <v>15.15</v>
      </c>
      <c r="J418">
        <v>10</v>
      </c>
      <c r="K418" t="s">
        <v>23</v>
      </c>
      <c r="L418" t="str">
        <f t="shared" si="177"/>
        <v>VALID</v>
      </c>
      <c r="M418">
        <f t="shared" si="190"/>
        <v>5.5000000000000007E-2</v>
      </c>
      <c r="N418" t="str">
        <f t="shared" si="191"/>
        <v>Low</v>
      </c>
      <c r="O418">
        <f t="shared" si="192"/>
        <v>10.220000000000001</v>
      </c>
      <c r="P418" t="str">
        <f t="shared" si="193"/>
        <v>Low</v>
      </c>
    </row>
    <row r="419" spans="1:16" x14ac:dyDescent="0.25">
      <c r="A419">
        <v>1500</v>
      </c>
      <c r="B419">
        <v>48.32</v>
      </c>
      <c r="C419" t="s">
        <v>19</v>
      </c>
      <c r="D419" t="s">
        <v>12</v>
      </c>
      <c r="E419" s="3">
        <v>300</v>
      </c>
      <c r="F419">
        <v>90.1</v>
      </c>
      <c r="G419">
        <v>19.12</v>
      </c>
      <c r="H419">
        <v>6.42</v>
      </c>
      <c r="I419">
        <v>13.29</v>
      </c>
      <c r="J419">
        <v>2</v>
      </c>
      <c r="K419" t="s">
        <v>16</v>
      </c>
      <c r="L419" t="str">
        <f t="shared" si="177"/>
        <v>VALID</v>
      </c>
      <c r="M419">
        <f t="shared" si="190"/>
        <v>3.21</v>
      </c>
      <c r="N419" t="str">
        <f t="shared" si="191"/>
        <v>Low</v>
      </c>
      <c r="O419">
        <f t="shared" si="192"/>
        <v>16.204999999999998</v>
      </c>
      <c r="P419" t="str">
        <f t="shared" si="193"/>
        <v>Low</v>
      </c>
    </row>
    <row r="420" spans="1:16" x14ac:dyDescent="0.25">
      <c r="A420">
        <v>100</v>
      </c>
      <c r="B420">
        <v>4.26</v>
      </c>
      <c r="C420" t="s">
        <v>22</v>
      </c>
      <c r="D420" t="s">
        <v>12</v>
      </c>
      <c r="E420" s="3">
        <v>150</v>
      </c>
      <c r="F420">
        <v>43.5</v>
      </c>
      <c r="G420">
        <v>9.24</v>
      </c>
      <c r="H420">
        <v>3.41</v>
      </c>
      <c r="I420">
        <v>80.05</v>
      </c>
      <c r="J420">
        <v>6</v>
      </c>
      <c r="K420" t="s">
        <v>13</v>
      </c>
      <c r="L420" t="str">
        <f t="shared" si="177"/>
        <v>VALID</v>
      </c>
      <c r="M420">
        <f t="shared" si="190"/>
        <v>0.56833333333333336</v>
      </c>
      <c r="N420" t="str">
        <f t="shared" si="191"/>
        <v>Low</v>
      </c>
      <c r="O420">
        <f t="shared" si="192"/>
        <v>44.644999999999996</v>
      </c>
      <c r="P420" t="str">
        <f t="shared" si="193"/>
        <v>Medium</v>
      </c>
    </row>
    <row r="421" spans="1:16" x14ac:dyDescent="0.25">
      <c r="A421">
        <v>1500</v>
      </c>
      <c r="B421">
        <v>21.48</v>
      </c>
      <c r="C421" t="s">
        <v>22</v>
      </c>
      <c r="D421" t="s">
        <v>18</v>
      </c>
      <c r="E421" s="3">
        <v>150</v>
      </c>
      <c r="F421">
        <v>106.1</v>
      </c>
      <c r="G421">
        <v>0.13</v>
      </c>
      <c r="H421">
        <v>6.02</v>
      </c>
      <c r="I421">
        <v>28.03</v>
      </c>
      <c r="J421">
        <v>1</v>
      </c>
      <c r="K421" t="s">
        <v>16</v>
      </c>
      <c r="L421" t="str">
        <f t="shared" si="177"/>
        <v>VALID</v>
      </c>
      <c r="M421">
        <f t="shared" si="190"/>
        <v>6.02</v>
      </c>
      <c r="N421" t="str">
        <f t="shared" si="191"/>
        <v>Low</v>
      </c>
      <c r="O421">
        <f t="shared" si="192"/>
        <v>14.08</v>
      </c>
      <c r="P421" t="str">
        <f t="shared" si="193"/>
        <v>Low</v>
      </c>
    </row>
    <row r="422" spans="1:16" x14ac:dyDescent="0.25">
      <c r="A422">
        <v>400</v>
      </c>
      <c r="B422">
        <v>17.48</v>
      </c>
      <c r="C422" t="s">
        <v>22</v>
      </c>
      <c r="D422" t="s">
        <v>20</v>
      </c>
      <c r="E422" s="3">
        <v>150</v>
      </c>
      <c r="F422">
        <v>65.7</v>
      </c>
      <c r="G422">
        <v>16.079999999999998</v>
      </c>
      <c r="H422">
        <v>9.18</v>
      </c>
      <c r="I422">
        <v>52.52</v>
      </c>
      <c r="J422">
        <v>5</v>
      </c>
      <c r="K422" t="s">
        <v>16</v>
      </c>
      <c r="L422" t="str">
        <f t="shared" si="177"/>
        <v>VALID</v>
      </c>
      <c r="M422">
        <f t="shared" si="190"/>
        <v>1.8359999999999999</v>
      </c>
      <c r="N422" t="str">
        <f t="shared" si="191"/>
        <v>Low</v>
      </c>
      <c r="O422">
        <f t="shared" si="192"/>
        <v>34.299999999999997</v>
      </c>
      <c r="P422" t="str">
        <f t="shared" si="193"/>
        <v>Medium</v>
      </c>
    </row>
    <row r="423" spans="1:16" x14ac:dyDescent="0.25">
      <c r="A423">
        <v>50</v>
      </c>
      <c r="B423">
        <v>3.93</v>
      </c>
      <c r="C423" t="s">
        <v>21</v>
      </c>
      <c r="D423" t="s">
        <v>12</v>
      </c>
      <c r="E423" s="3">
        <v>1500</v>
      </c>
      <c r="F423">
        <v>60.9</v>
      </c>
      <c r="G423">
        <v>12.73</v>
      </c>
      <c r="H423">
        <v>2.2799999999999998</v>
      </c>
      <c r="I423">
        <v>58.02</v>
      </c>
      <c r="J423">
        <v>10</v>
      </c>
      <c r="K423" t="s">
        <v>13</v>
      </c>
      <c r="L423" t="str">
        <f t="shared" si="177"/>
        <v>VALID</v>
      </c>
      <c r="M423">
        <f t="shared" si="190"/>
        <v>0.22799999999999998</v>
      </c>
      <c r="N423" t="str">
        <f t="shared" si="191"/>
        <v>Medium</v>
      </c>
      <c r="O423">
        <f t="shared" si="192"/>
        <v>35.375</v>
      </c>
      <c r="P423" t="str">
        <f t="shared" si="193"/>
        <v>Medium</v>
      </c>
    </row>
    <row r="424" spans="1:16" hidden="1" x14ac:dyDescent="0.25">
      <c r="A424">
        <v>100</v>
      </c>
      <c r="B424">
        <v>4.7</v>
      </c>
      <c r="C424" t="s">
        <v>22</v>
      </c>
      <c r="D424" t="s">
        <v>18</v>
      </c>
      <c r="E424">
        <v>300</v>
      </c>
      <c r="F424">
        <v>63.7</v>
      </c>
      <c r="G424">
        <v>6.81</v>
      </c>
      <c r="H424">
        <v>8.83</v>
      </c>
      <c r="I424">
        <v>187.87</v>
      </c>
      <c r="J424">
        <v>6</v>
      </c>
      <c r="K424" t="s">
        <v>16</v>
      </c>
      <c r="L424" t="str">
        <f t="shared" si="177"/>
        <v>INVALID</v>
      </c>
    </row>
    <row r="425" spans="1:16" x14ac:dyDescent="0.25">
      <c r="A425">
        <v>800</v>
      </c>
      <c r="B425">
        <v>21.5</v>
      </c>
      <c r="C425" t="s">
        <v>14</v>
      </c>
      <c r="D425" t="s">
        <v>15</v>
      </c>
      <c r="E425" s="3">
        <v>150</v>
      </c>
      <c r="F425">
        <v>28.4</v>
      </c>
      <c r="G425">
        <v>13.34</v>
      </c>
      <c r="H425">
        <v>5.52</v>
      </c>
      <c r="I425">
        <v>25.67</v>
      </c>
      <c r="J425">
        <v>25</v>
      </c>
      <c r="K425" t="s">
        <v>16</v>
      </c>
      <c r="L425" t="str">
        <f t="shared" si="177"/>
        <v>VALID</v>
      </c>
      <c r="M425">
        <f t="shared" ref="M425:M427" si="194">IF(J425&gt;0,H425/J425," ")</f>
        <v>0.2208</v>
      </c>
      <c r="N425" t="str">
        <f t="shared" ref="N425:N427" si="195">IF(ISNUMBER(E425),IF(E425&lt;1000,"Low",IF(E425&lt;3000,"Medium","High")),"Unknown")</f>
        <v>Low</v>
      </c>
      <c r="O425">
        <f t="shared" ref="O425:O427" si="196">(G425+I425)/2</f>
        <v>19.505000000000003</v>
      </c>
      <c r="P425" t="str">
        <f t="shared" ref="P425:P427" si="197">IF(O425&lt;30,"Low",IF(O425&lt;60,"Medium","High"))</f>
        <v>Low</v>
      </c>
    </row>
    <row r="426" spans="1:16" x14ac:dyDescent="0.25">
      <c r="A426">
        <v>600</v>
      </c>
      <c r="B426">
        <v>23.01</v>
      </c>
      <c r="C426" t="s">
        <v>21</v>
      </c>
      <c r="D426" t="s">
        <v>18</v>
      </c>
      <c r="E426" s="3">
        <v>900</v>
      </c>
      <c r="F426">
        <v>54.1</v>
      </c>
      <c r="G426">
        <v>7.44</v>
      </c>
      <c r="H426">
        <v>0.21</v>
      </c>
      <c r="I426">
        <v>0.91</v>
      </c>
      <c r="J426">
        <v>19</v>
      </c>
      <c r="K426" t="s">
        <v>23</v>
      </c>
      <c r="L426" t="str">
        <f t="shared" si="177"/>
        <v>VALID</v>
      </c>
      <c r="M426">
        <f t="shared" si="194"/>
        <v>1.1052631578947368E-2</v>
      </c>
      <c r="N426" t="str">
        <f t="shared" si="195"/>
        <v>Low</v>
      </c>
      <c r="O426">
        <f t="shared" si="196"/>
        <v>4.1749999999999998</v>
      </c>
      <c r="P426" t="str">
        <f t="shared" si="197"/>
        <v>Low</v>
      </c>
    </row>
    <row r="427" spans="1:16" x14ac:dyDescent="0.25">
      <c r="A427">
        <v>1200</v>
      </c>
      <c r="B427">
        <v>24.51</v>
      </c>
      <c r="C427" t="s">
        <v>21</v>
      </c>
      <c r="D427" t="s">
        <v>20</v>
      </c>
      <c r="E427" s="3">
        <v>1500</v>
      </c>
      <c r="F427">
        <v>138.4</v>
      </c>
      <c r="G427">
        <v>8.83</v>
      </c>
      <c r="H427">
        <v>3.26</v>
      </c>
      <c r="I427">
        <v>13.3</v>
      </c>
      <c r="J427">
        <v>22</v>
      </c>
      <c r="K427" t="s">
        <v>13</v>
      </c>
      <c r="L427" t="str">
        <f t="shared" si="177"/>
        <v>VALID</v>
      </c>
      <c r="M427">
        <f t="shared" si="194"/>
        <v>0.14818181818181816</v>
      </c>
      <c r="N427" t="str">
        <f t="shared" si="195"/>
        <v>Medium</v>
      </c>
      <c r="O427">
        <f t="shared" si="196"/>
        <v>11.065000000000001</v>
      </c>
      <c r="P427" t="str">
        <f t="shared" si="197"/>
        <v>Low</v>
      </c>
    </row>
    <row r="428" spans="1:16" hidden="1" x14ac:dyDescent="0.25">
      <c r="A428">
        <v>50</v>
      </c>
      <c r="B428">
        <v>5.0999999999999996</v>
      </c>
      <c r="C428" t="s">
        <v>14</v>
      </c>
      <c r="D428" t="s">
        <v>15</v>
      </c>
      <c r="E428">
        <v>300</v>
      </c>
      <c r="F428">
        <v>5.6</v>
      </c>
      <c r="G428">
        <v>2.42</v>
      </c>
      <c r="H428">
        <v>6.46</v>
      </c>
      <c r="I428">
        <v>126.67</v>
      </c>
      <c r="J428">
        <v>21</v>
      </c>
      <c r="K428" t="s">
        <v>16</v>
      </c>
      <c r="L428" t="str">
        <f t="shared" si="177"/>
        <v>INVALID</v>
      </c>
    </row>
    <row r="429" spans="1:16" x14ac:dyDescent="0.25">
      <c r="A429">
        <v>1500</v>
      </c>
      <c r="B429">
        <v>23.53</v>
      </c>
      <c r="C429" t="s">
        <v>11</v>
      </c>
      <c r="D429" t="s">
        <v>15</v>
      </c>
      <c r="E429" s="3">
        <v>1500</v>
      </c>
      <c r="F429">
        <v>6.1</v>
      </c>
      <c r="G429">
        <v>11.73</v>
      </c>
      <c r="H429">
        <v>1.53</v>
      </c>
      <c r="I429">
        <v>6.5</v>
      </c>
      <c r="J429">
        <v>5</v>
      </c>
      <c r="K429" t="s">
        <v>23</v>
      </c>
      <c r="L429" t="str">
        <f t="shared" si="177"/>
        <v>VALID</v>
      </c>
      <c r="M429">
        <f t="shared" ref="M429:M436" si="198">IF(J429&gt;0,H429/J429," ")</f>
        <v>0.30599999999999999</v>
      </c>
      <c r="N429" t="str">
        <f t="shared" ref="N429:N436" si="199">IF(ISNUMBER(E429),IF(E429&lt;1000,"Low",IF(E429&lt;3000,"Medium","High")),"Unknown")</f>
        <v>Medium</v>
      </c>
      <c r="O429">
        <f t="shared" ref="O429:O436" si="200">(G429+I429)/2</f>
        <v>9.1150000000000002</v>
      </c>
      <c r="P429" t="str">
        <f t="shared" ref="P429:P436" si="201">IF(O429&lt;30,"Low",IF(O429&lt;60,"Medium","High"))</f>
        <v>Low</v>
      </c>
    </row>
    <row r="430" spans="1:16" x14ac:dyDescent="0.25">
      <c r="A430">
        <v>300</v>
      </c>
      <c r="B430">
        <v>15.67</v>
      </c>
      <c r="C430" t="s">
        <v>21</v>
      </c>
      <c r="D430" t="s">
        <v>12</v>
      </c>
      <c r="E430" s="3">
        <v>300</v>
      </c>
      <c r="F430">
        <v>43.3</v>
      </c>
      <c r="G430">
        <v>6.51</v>
      </c>
      <c r="H430">
        <v>4.76</v>
      </c>
      <c r="I430">
        <v>30.38</v>
      </c>
      <c r="J430">
        <v>5</v>
      </c>
      <c r="K430" t="s">
        <v>13</v>
      </c>
      <c r="L430" t="str">
        <f t="shared" si="177"/>
        <v>VALID</v>
      </c>
      <c r="M430">
        <f t="shared" si="198"/>
        <v>0.95199999999999996</v>
      </c>
      <c r="N430" t="str">
        <f t="shared" si="199"/>
        <v>Low</v>
      </c>
      <c r="O430">
        <f t="shared" si="200"/>
        <v>18.445</v>
      </c>
      <c r="P430" t="str">
        <f t="shared" si="201"/>
        <v>Low</v>
      </c>
    </row>
    <row r="431" spans="1:16" x14ac:dyDescent="0.25">
      <c r="A431">
        <v>200</v>
      </c>
      <c r="B431">
        <v>6.3</v>
      </c>
      <c r="C431" t="s">
        <v>11</v>
      </c>
      <c r="D431" t="s">
        <v>18</v>
      </c>
      <c r="E431" s="3">
        <v>300</v>
      </c>
      <c r="F431">
        <v>62.6</v>
      </c>
      <c r="G431">
        <v>3.47</v>
      </c>
      <c r="H431">
        <v>1.55</v>
      </c>
      <c r="I431">
        <v>24.6</v>
      </c>
      <c r="J431">
        <v>19</v>
      </c>
      <c r="K431" t="s">
        <v>23</v>
      </c>
      <c r="L431" t="str">
        <f t="shared" si="177"/>
        <v>VALID</v>
      </c>
      <c r="M431">
        <f t="shared" si="198"/>
        <v>8.1578947368421056E-2</v>
      </c>
      <c r="N431" t="str">
        <f t="shared" si="199"/>
        <v>Low</v>
      </c>
      <c r="O431">
        <f t="shared" si="200"/>
        <v>14.035</v>
      </c>
      <c r="P431" t="str">
        <f t="shared" si="201"/>
        <v>Low</v>
      </c>
    </row>
    <row r="432" spans="1:16" x14ac:dyDescent="0.25">
      <c r="A432">
        <v>1000</v>
      </c>
      <c r="B432">
        <v>22.93</v>
      </c>
      <c r="C432" t="s">
        <v>21</v>
      </c>
      <c r="D432" t="s">
        <v>12</v>
      </c>
      <c r="E432" s="3">
        <v>900</v>
      </c>
      <c r="F432">
        <v>84.6</v>
      </c>
      <c r="G432">
        <v>7.67</v>
      </c>
      <c r="H432">
        <v>3.92</v>
      </c>
      <c r="I432">
        <v>17.100000000000001</v>
      </c>
      <c r="J432">
        <v>23</v>
      </c>
      <c r="K432" t="s">
        <v>13</v>
      </c>
      <c r="L432" t="str">
        <f t="shared" si="177"/>
        <v>VALID</v>
      </c>
      <c r="M432">
        <f t="shared" si="198"/>
        <v>0.17043478260869566</v>
      </c>
      <c r="N432" t="str">
        <f t="shared" si="199"/>
        <v>Low</v>
      </c>
      <c r="O432">
        <f t="shared" si="200"/>
        <v>12.385000000000002</v>
      </c>
      <c r="P432" t="str">
        <f t="shared" si="201"/>
        <v>Low</v>
      </c>
    </row>
    <row r="433" spans="1:16" x14ac:dyDescent="0.25">
      <c r="A433">
        <v>300</v>
      </c>
      <c r="B433">
        <v>10.67</v>
      </c>
      <c r="C433" t="s">
        <v>21</v>
      </c>
      <c r="D433" t="s">
        <v>20</v>
      </c>
      <c r="E433" s="3">
        <v>2500</v>
      </c>
      <c r="F433">
        <v>92.3</v>
      </c>
      <c r="G433">
        <v>6.24</v>
      </c>
      <c r="H433">
        <v>6.66</v>
      </c>
      <c r="I433">
        <v>62.42</v>
      </c>
      <c r="J433">
        <v>15</v>
      </c>
      <c r="K433" t="s">
        <v>16</v>
      </c>
      <c r="L433" t="str">
        <f t="shared" si="177"/>
        <v>VALID</v>
      </c>
      <c r="M433">
        <f t="shared" si="198"/>
        <v>0.44400000000000001</v>
      </c>
      <c r="N433" t="str">
        <f t="shared" si="199"/>
        <v>Medium</v>
      </c>
      <c r="O433">
        <f t="shared" si="200"/>
        <v>34.33</v>
      </c>
      <c r="P433" t="str">
        <f t="shared" si="201"/>
        <v>Medium</v>
      </c>
    </row>
    <row r="434" spans="1:16" x14ac:dyDescent="0.25">
      <c r="A434">
        <v>500</v>
      </c>
      <c r="B434">
        <v>23.22</v>
      </c>
      <c r="C434" t="s">
        <v>14</v>
      </c>
      <c r="D434" t="s">
        <v>17</v>
      </c>
      <c r="E434" s="3">
        <v>150</v>
      </c>
      <c r="F434">
        <v>45.6</v>
      </c>
      <c r="G434">
        <v>13.08</v>
      </c>
      <c r="H434">
        <v>4.97</v>
      </c>
      <c r="I434">
        <v>21.4</v>
      </c>
      <c r="J434">
        <v>13</v>
      </c>
      <c r="K434" t="s">
        <v>13</v>
      </c>
      <c r="L434" t="str">
        <f t="shared" si="177"/>
        <v>VALID</v>
      </c>
      <c r="M434">
        <f t="shared" si="198"/>
        <v>0.38230769230769229</v>
      </c>
      <c r="N434" t="str">
        <f t="shared" si="199"/>
        <v>Low</v>
      </c>
      <c r="O434">
        <f t="shared" si="200"/>
        <v>17.239999999999998</v>
      </c>
      <c r="P434" t="str">
        <f t="shared" si="201"/>
        <v>Low</v>
      </c>
    </row>
    <row r="435" spans="1:16" x14ac:dyDescent="0.25">
      <c r="A435">
        <v>300</v>
      </c>
      <c r="B435">
        <v>12.92</v>
      </c>
      <c r="C435" t="s">
        <v>11</v>
      </c>
      <c r="D435" t="s">
        <v>12</v>
      </c>
      <c r="E435" s="3">
        <v>150</v>
      </c>
      <c r="F435">
        <v>136</v>
      </c>
      <c r="G435">
        <v>11.02</v>
      </c>
      <c r="H435">
        <v>6.79</v>
      </c>
      <c r="I435">
        <v>52.55</v>
      </c>
      <c r="J435">
        <v>6</v>
      </c>
      <c r="K435" t="s">
        <v>16</v>
      </c>
      <c r="L435" t="str">
        <f t="shared" si="177"/>
        <v>VALID</v>
      </c>
      <c r="M435">
        <f t="shared" si="198"/>
        <v>1.1316666666666666</v>
      </c>
      <c r="N435" t="str">
        <f t="shared" si="199"/>
        <v>Low</v>
      </c>
      <c r="O435">
        <f t="shared" si="200"/>
        <v>31.784999999999997</v>
      </c>
      <c r="P435" t="str">
        <f t="shared" si="201"/>
        <v>Medium</v>
      </c>
    </row>
    <row r="436" spans="1:16" x14ac:dyDescent="0.25">
      <c r="A436">
        <v>1200</v>
      </c>
      <c r="B436">
        <v>36.1</v>
      </c>
      <c r="C436" t="s">
        <v>19</v>
      </c>
      <c r="D436" t="s">
        <v>20</v>
      </c>
      <c r="E436" s="3">
        <v>900</v>
      </c>
      <c r="F436">
        <v>56.8</v>
      </c>
      <c r="G436">
        <v>10.34</v>
      </c>
      <c r="H436">
        <v>8.06</v>
      </c>
      <c r="I436">
        <v>22.33</v>
      </c>
      <c r="J436">
        <v>16</v>
      </c>
      <c r="K436" t="s">
        <v>16</v>
      </c>
      <c r="L436" t="str">
        <f t="shared" si="177"/>
        <v>VALID</v>
      </c>
      <c r="M436">
        <f t="shared" si="198"/>
        <v>0.50375000000000003</v>
      </c>
      <c r="N436" t="str">
        <f t="shared" si="199"/>
        <v>Low</v>
      </c>
      <c r="O436">
        <f t="shared" si="200"/>
        <v>16.335000000000001</v>
      </c>
      <c r="P436" t="str">
        <f t="shared" si="201"/>
        <v>Low</v>
      </c>
    </row>
    <row r="437" spans="1:16" hidden="1" x14ac:dyDescent="0.25">
      <c r="A437">
        <v>200</v>
      </c>
      <c r="B437">
        <v>9.1300000000000008</v>
      </c>
      <c r="C437" t="s">
        <v>22</v>
      </c>
      <c r="D437" t="s">
        <v>12</v>
      </c>
      <c r="E437">
        <v>2500</v>
      </c>
      <c r="F437">
        <v>93.4</v>
      </c>
      <c r="G437">
        <v>10.66</v>
      </c>
      <c r="H437">
        <v>9.83</v>
      </c>
      <c r="I437">
        <v>107.67</v>
      </c>
      <c r="J437">
        <v>8</v>
      </c>
      <c r="K437" t="s">
        <v>16</v>
      </c>
      <c r="L437" t="str">
        <f t="shared" si="177"/>
        <v>INVALID</v>
      </c>
    </row>
    <row r="438" spans="1:16" x14ac:dyDescent="0.25">
      <c r="A438">
        <v>500</v>
      </c>
      <c r="B438">
        <v>10.210000000000001</v>
      </c>
      <c r="C438" t="s">
        <v>11</v>
      </c>
      <c r="D438" t="s">
        <v>15</v>
      </c>
      <c r="E438" s="3">
        <v>1500</v>
      </c>
      <c r="F438">
        <v>-17</v>
      </c>
      <c r="G438">
        <v>19.809999999999999</v>
      </c>
      <c r="H438">
        <v>0.94</v>
      </c>
      <c r="I438">
        <v>9.2100000000000009</v>
      </c>
      <c r="J438">
        <v>14</v>
      </c>
      <c r="K438" t="s">
        <v>23</v>
      </c>
      <c r="L438" t="str">
        <f t="shared" si="177"/>
        <v>VALID</v>
      </c>
      <c r="M438">
        <f t="shared" ref="M438:M440" si="202">IF(J438&gt;0,H438/J438," ")</f>
        <v>6.7142857142857143E-2</v>
      </c>
      <c r="N438" t="str">
        <f t="shared" ref="N438:N440" si="203">IF(ISNUMBER(E438),IF(E438&lt;1000,"Low",IF(E438&lt;3000,"Medium","High")),"Unknown")</f>
        <v>Medium</v>
      </c>
      <c r="O438">
        <f t="shared" ref="O438:O440" si="204">(G438+I438)/2</f>
        <v>14.51</v>
      </c>
      <c r="P438" t="str">
        <f t="shared" ref="P438:P440" si="205">IF(O438&lt;30,"Low",IF(O438&lt;60,"Medium","High"))</f>
        <v>Low</v>
      </c>
    </row>
    <row r="439" spans="1:16" x14ac:dyDescent="0.25">
      <c r="A439">
        <v>800</v>
      </c>
      <c r="B439">
        <v>22.07</v>
      </c>
      <c r="C439" t="s">
        <v>21</v>
      </c>
      <c r="D439" t="s">
        <v>17</v>
      </c>
      <c r="E439" s="3">
        <v>600</v>
      </c>
      <c r="F439">
        <v>21.1</v>
      </c>
      <c r="G439">
        <v>2.71</v>
      </c>
      <c r="H439">
        <v>2.17</v>
      </c>
      <c r="I439">
        <v>9.83</v>
      </c>
      <c r="J439">
        <v>11</v>
      </c>
      <c r="K439" t="s">
        <v>13</v>
      </c>
      <c r="L439" t="str">
        <f t="shared" si="177"/>
        <v>VALID</v>
      </c>
      <c r="M439">
        <f t="shared" si="202"/>
        <v>0.19727272727272727</v>
      </c>
      <c r="N439" t="str">
        <f t="shared" si="203"/>
        <v>Low</v>
      </c>
      <c r="O439">
        <f t="shared" si="204"/>
        <v>6.27</v>
      </c>
      <c r="P439" t="str">
        <f t="shared" si="205"/>
        <v>Low</v>
      </c>
    </row>
    <row r="440" spans="1:16" x14ac:dyDescent="0.25">
      <c r="A440">
        <v>500</v>
      </c>
      <c r="B440">
        <v>9.7100000000000009</v>
      </c>
      <c r="C440" t="s">
        <v>11</v>
      </c>
      <c r="D440" t="s">
        <v>20</v>
      </c>
      <c r="E440" s="3">
        <v>900</v>
      </c>
      <c r="F440">
        <v>24.1</v>
      </c>
      <c r="G440">
        <v>10.87</v>
      </c>
      <c r="H440">
        <v>1.93</v>
      </c>
      <c r="I440">
        <v>19.88</v>
      </c>
      <c r="J440">
        <v>25</v>
      </c>
      <c r="K440" t="s">
        <v>23</v>
      </c>
      <c r="L440" t="str">
        <f t="shared" si="177"/>
        <v>VALID</v>
      </c>
      <c r="M440">
        <f t="shared" si="202"/>
        <v>7.7199999999999991E-2</v>
      </c>
      <c r="N440" t="str">
        <f t="shared" si="203"/>
        <v>Low</v>
      </c>
      <c r="O440">
        <f t="shared" si="204"/>
        <v>15.375</v>
      </c>
      <c r="P440" t="str">
        <f t="shared" si="205"/>
        <v>Low</v>
      </c>
    </row>
    <row r="441" spans="1:16" hidden="1" x14ac:dyDescent="0.25">
      <c r="A441">
        <v>150</v>
      </c>
      <c r="B441">
        <v>5.73</v>
      </c>
      <c r="C441" t="s">
        <v>14</v>
      </c>
      <c r="D441" t="s">
        <v>12</v>
      </c>
      <c r="E441">
        <v>600</v>
      </c>
      <c r="F441">
        <v>67.900000000000006</v>
      </c>
      <c r="G441">
        <v>2.75</v>
      </c>
      <c r="H441">
        <v>9.36</v>
      </c>
      <c r="I441">
        <v>163.35</v>
      </c>
      <c r="J441">
        <v>17</v>
      </c>
      <c r="K441" t="s">
        <v>16</v>
      </c>
      <c r="L441" t="str">
        <f t="shared" si="177"/>
        <v>INVALID</v>
      </c>
    </row>
    <row r="442" spans="1:16" x14ac:dyDescent="0.25">
      <c r="A442">
        <v>400</v>
      </c>
      <c r="B442">
        <v>14.7</v>
      </c>
      <c r="C442" t="s">
        <v>22</v>
      </c>
      <c r="D442" t="s">
        <v>12</v>
      </c>
      <c r="E442" s="3">
        <v>2500</v>
      </c>
      <c r="F442">
        <v>70.099999999999994</v>
      </c>
      <c r="G442">
        <v>2.84</v>
      </c>
      <c r="H442">
        <v>7.55</v>
      </c>
      <c r="I442">
        <v>51.36</v>
      </c>
      <c r="J442">
        <v>15</v>
      </c>
      <c r="K442" t="s">
        <v>16</v>
      </c>
      <c r="L442" t="str">
        <f t="shared" si="177"/>
        <v>VALID</v>
      </c>
      <c r="M442">
        <f t="shared" ref="M442:M455" si="206">IF(J442&gt;0,H442/J442," ")</f>
        <v>0.5033333333333333</v>
      </c>
      <c r="N442" t="str">
        <f t="shared" ref="N442:N455" si="207">IF(ISNUMBER(E442),IF(E442&lt;1000,"Low",IF(E442&lt;3000,"Medium","High")),"Unknown")</f>
        <v>Medium</v>
      </c>
      <c r="O442">
        <f t="shared" ref="O442:O455" si="208">(G442+I442)/2</f>
        <v>27.1</v>
      </c>
      <c r="P442" t="str">
        <f t="shared" ref="P442:P455" si="209">IF(O442&lt;30,"Low",IF(O442&lt;60,"Medium","High"))</f>
        <v>Low</v>
      </c>
    </row>
    <row r="443" spans="1:16" x14ac:dyDescent="0.25">
      <c r="A443">
        <v>600</v>
      </c>
      <c r="B443">
        <v>13.23</v>
      </c>
      <c r="C443" t="s">
        <v>22</v>
      </c>
      <c r="D443" t="s">
        <v>18</v>
      </c>
      <c r="E443" s="3">
        <v>300</v>
      </c>
      <c r="F443">
        <v>148.19999999999999</v>
      </c>
      <c r="G443">
        <v>4.96</v>
      </c>
      <c r="H443">
        <v>7.11</v>
      </c>
      <c r="I443">
        <v>53.74</v>
      </c>
      <c r="J443">
        <v>10</v>
      </c>
      <c r="K443" t="s">
        <v>16</v>
      </c>
      <c r="L443" t="str">
        <f t="shared" si="177"/>
        <v>VALID</v>
      </c>
      <c r="M443">
        <f t="shared" si="206"/>
        <v>0.71100000000000008</v>
      </c>
      <c r="N443" t="str">
        <f t="shared" si="207"/>
        <v>Low</v>
      </c>
      <c r="O443">
        <f t="shared" si="208"/>
        <v>29.35</v>
      </c>
      <c r="P443" t="str">
        <f t="shared" si="209"/>
        <v>Low</v>
      </c>
    </row>
    <row r="444" spans="1:16" x14ac:dyDescent="0.25">
      <c r="A444">
        <v>300</v>
      </c>
      <c r="B444">
        <v>15.67</v>
      </c>
      <c r="C444" t="s">
        <v>19</v>
      </c>
      <c r="D444" t="s">
        <v>12</v>
      </c>
      <c r="E444" s="3">
        <v>150</v>
      </c>
      <c r="F444">
        <v>14.1</v>
      </c>
      <c r="G444">
        <v>2.73</v>
      </c>
      <c r="H444">
        <v>1</v>
      </c>
      <c r="I444">
        <v>6.38</v>
      </c>
      <c r="J444">
        <v>21</v>
      </c>
      <c r="K444" t="s">
        <v>23</v>
      </c>
      <c r="L444" t="str">
        <f t="shared" si="177"/>
        <v>VALID</v>
      </c>
      <c r="M444">
        <f t="shared" si="206"/>
        <v>4.7619047619047616E-2</v>
      </c>
      <c r="N444" t="str">
        <f t="shared" si="207"/>
        <v>Low</v>
      </c>
      <c r="O444">
        <f t="shared" si="208"/>
        <v>4.5549999999999997</v>
      </c>
      <c r="P444" t="str">
        <f t="shared" si="209"/>
        <v>Low</v>
      </c>
    </row>
    <row r="445" spans="1:16" x14ac:dyDescent="0.25">
      <c r="A445">
        <v>200</v>
      </c>
      <c r="B445">
        <v>9.5</v>
      </c>
      <c r="C445" t="s">
        <v>21</v>
      </c>
      <c r="D445" t="s">
        <v>17</v>
      </c>
      <c r="E445" s="3">
        <v>600</v>
      </c>
      <c r="F445">
        <v>29.6</v>
      </c>
      <c r="G445">
        <v>19.100000000000001</v>
      </c>
      <c r="H445">
        <v>9.01</v>
      </c>
      <c r="I445">
        <v>94.84</v>
      </c>
      <c r="J445">
        <v>16</v>
      </c>
      <c r="K445" t="s">
        <v>16</v>
      </c>
      <c r="L445" t="str">
        <f t="shared" si="177"/>
        <v>VALID</v>
      </c>
      <c r="M445">
        <f t="shared" si="206"/>
        <v>0.56312499999999999</v>
      </c>
      <c r="N445" t="str">
        <f t="shared" si="207"/>
        <v>Low</v>
      </c>
      <c r="O445">
        <f t="shared" si="208"/>
        <v>56.97</v>
      </c>
      <c r="P445" t="str">
        <f t="shared" si="209"/>
        <v>Medium</v>
      </c>
    </row>
    <row r="446" spans="1:16" x14ac:dyDescent="0.25">
      <c r="A446">
        <v>100</v>
      </c>
      <c r="B446">
        <v>4.6500000000000004</v>
      </c>
      <c r="C446" t="s">
        <v>11</v>
      </c>
      <c r="D446" t="s">
        <v>15</v>
      </c>
      <c r="E446" s="3">
        <v>1500</v>
      </c>
      <c r="F446">
        <v>48.8</v>
      </c>
      <c r="G446">
        <v>9.19</v>
      </c>
      <c r="H446">
        <v>1.59</v>
      </c>
      <c r="I446">
        <v>34.19</v>
      </c>
      <c r="J446">
        <v>5</v>
      </c>
      <c r="K446" t="s">
        <v>23</v>
      </c>
      <c r="L446" t="str">
        <f t="shared" si="177"/>
        <v>VALID</v>
      </c>
      <c r="M446">
        <f t="shared" si="206"/>
        <v>0.318</v>
      </c>
      <c r="N446" t="str">
        <f t="shared" si="207"/>
        <v>Medium</v>
      </c>
      <c r="O446">
        <f t="shared" si="208"/>
        <v>21.689999999999998</v>
      </c>
      <c r="P446" t="str">
        <f t="shared" si="209"/>
        <v>Low</v>
      </c>
    </row>
    <row r="447" spans="1:16" x14ac:dyDescent="0.25">
      <c r="A447">
        <v>1200</v>
      </c>
      <c r="B447">
        <v>34.92</v>
      </c>
      <c r="C447" t="s">
        <v>19</v>
      </c>
      <c r="D447" t="s">
        <v>12</v>
      </c>
      <c r="E447" s="3">
        <v>300</v>
      </c>
      <c r="F447">
        <v>79.3</v>
      </c>
      <c r="G447">
        <v>3.55</v>
      </c>
      <c r="H447">
        <v>6.92</v>
      </c>
      <c r="I447">
        <v>19.82</v>
      </c>
      <c r="J447">
        <v>12</v>
      </c>
      <c r="K447" t="s">
        <v>16</v>
      </c>
      <c r="L447" t="str">
        <f t="shared" si="177"/>
        <v>VALID</v>
      </c>
      <c r="M447">
        <f t="shared" si="206"/>
        <v>0.57666666666666666</v>
      </c>
      <c r="N447" t="str">
        <f t="shared" si="207"/>
        <v>Low</v>
      </c>
      <c r="O447">
        <f t="shared" si="208"/>
        <v>11.685</v>
      </c>
      <c r="P447" t="str">
        <f t="shared" si="209"/>
        <v>Low</v>
      </c>
    </row>
    <row r="448" spans="1:16" x14ac:dyDescent="0.25">
      <c r="A448">
        <v>600</v>
      </c>
      <c r="B448">
        <v>21.33</v>
      </c>
      <c r="C448" t="s">
        <v>19</v>
      </c>
      <c r="D448" t="s">
        <v>12</v>
      </c>
      <c r="E448" s="3">
        <v>300</v>
      </c>
      <c r="F448">
        <v>100.1</v>
      </c>
      <c r="G448">
        <v>6.63</v>
      </c>
      <c r="H448">
        <v>7.16</v>
      </c>
      <c r="I448">
        <v>33.57</v>
      </c>
      <c r="J448">
        <v>15</v>
      </c>
      <c r="K448" t="s">
        <v>16</v>
      </c>
      <c r="L448" t="str">
        <f t="shared" si="177"/>
        <v>VALID</v>
      </c>
      <c r="M448">
        <f t="shared" si="206"/>
        <v>0.47733333333333333</v>
      </c>
      <c r="N448" t="str">
        <f t="shared" si="207"/>
        <v>Low</v>
      </c>
      <c r="O448">
        <f t="shared" si="208"/>
        <v>20.100000000000001</v>
      </c>
      <c r="P448" t="str">
        <f t="shared" si="209"/>
        <v>Low</v>
      </c>
    </row>
    <row r="449" spans="1:16" x14ac:dyDescent="0.25">
      <c r="A449">
        <v>500</v>
      </c>
      <c r="B449">
        <v>17.850000000000001</v>
      </c>
      <c r="C449" t="s">
        <v>21</v>
      </c>
      <c r="D449" t="s">
        <v>18</v>
      </c>
      <c r="E449" s="3">
        <v>150</v>
      </c>
      <c r="F449">
        <v>20.7</v>
      </c>
      <c r="G449">
        <v>6.86</v>
      </c>
      <c r="H449">
        <v>8.76</v>
      </c>
      <c r="I449">
        <v>49.08</v>
      </c>
      <c r="J449">
        <v>10</v>
      </c>
      <c r="K449" t="s">
        <v>16</v>
      </c>
      <c r="L449" t="str">
        <f t="shared" si="177"/>
        <v>VALID</v>
      </c>
      <c r="M449">
        <f t="shared" si="206"/>
        <v>0.876</v>
      </c>
      <c r="N449" t="str">
        <f t="shared" si="207"/>
        <v>Low</v>
      </c>
      <c r="O449">
        <f t="shared" si="208"/>
        <v>27.97</v>
      </c>
      <c r="P449" t="str">
        <f t="shared" si="209"/>
        <v>Low</v>
      </c>
    </row>
    <row r="450" spans="1:16" x14ac:dyDescent="0.25">
      <c r="A450">
        <v>1200</v>
      </c>
      <c r="B450">
        <v>22.83</v>
      </c>
      <c r="C450" t="s">
        <v>14</v>
      </c>
      <c r="D450" t="s">
        <v>15</v>
      </c>
      <c r="E450" s="3">
        <v>900</v>
      </c>
      <c r="F450">
        <v>42.1</v>
      </c>
      <c r="G450">
        <v>7.33</v>
      </c>
      <c r="H450">
        <v>4.45</v>
      </c>
      <c r="I450">
        <v>19.489999999999998</v>
      </c>
      <c r="J450">
        <v>10</v>
      </c>
      <c r="K450" t="s">
        <v>13</v>
      </c>
      <c r="L450" t="str">
        <f t="shared" si="177"/>
        <v>VALID</v>
      </c>
      <c r="M450">
        <f t="shared" si="206"/>
        <v>0.44500000000000001</v>
      </c>
      <c r="N450" t="str">
        <f t="shared" si="207"/>
        <v>Low</v>
      </c>
      <c r="O450">
        <f t="shared" si="208"/>
        <v>13.41</v>
      </c>
      <c r="P450" t="str">
        <f t="shared" si="209"/>
        <v>Low</v>
      </c>
    </row>
    <row r="451" spans="1:16" x14ac:dyDescent="0.25">
      <c r="A451">
        <v>800</v>
      </c>
      <c r="B451">
        <v>18.329999999999998</v>
      </c>
      <c r="C451" t="s">
        <v>22</v>
      </c>
      <c r="D451" t="s">
        <v>18</v>
      </c>
      <c r="E451" s="3">
        <v>1500</v>
      </c>
      <c r="F451">
        <v>104.9</v>
      </c>
      <c r="G451">
        <v>5.68</v>
      </c>
      <c r="H451">
        <v>3.2</v>
      </c>
      <c r="I451">
        <v>17.46</v>
      </c>
      <c r="J451">
        <v>10</v>
      </c>
      <c r="K451" t="s">
        <v>13</v>
      </c>
      <c r="L451" t="str">
        <f t="shared" ref="L451:L514" si="210">IF(H451&gt;B451,"INVALID","VALID")</f>
        <v>VALID</v>
      </c>
      <c r="M451">
        <f t="shared" si="206"/>
        <v>0.32</v>
      </c>
      <c r="N451" t="str">
        <f t="shared" si="207"/>
        <v>Medium</v>
      </c>
      <c r="O451">
        <f t="shared" si="208"/>
        <v>11.57</v>
      </c>
      <c r="P451" t="str">
        <f t="shared" si="209"/>
        <v>Low</v>
      </c>
    </row>
    <row r="452" spans="1:16" x14ac:dyDescent="0.25">
      <c r="A452">
        <v>600</v>
      </c>
      <c r="B452">
        <v>12.39</v>
      </c>
      <c r="C452" t="s">
        <v>14</v>
      </c>
      <c r="D452" t="s">
        <v>20</v>
      </c>
      <c r="E452" s="3">
        <v>1500</v>
      </c>
      <c r="F452">
        <v>56</v>
      </c>
      <c r="G452">
        <v>19.13</v>
      </c>
      <c r="H452">
        <v>7.83</v>
      </c>
      <c r="I452">
        <v>63.2</v>
      </c>
      <c r="J452">
        <v>22</v>
      </c>
      <c r="K452" t="s">
        <v>16</v>
      </c>
      <c r="L452" t="str">
        <f t="shared" si="210"/>
        <v>VALID</v>
      </c>
      <c r="M452">
        <f t="shared" si="206"/>
        <v>0.3559090909090909</v>
      </c>
      <c r="N452" t="str">
        <f t="shared" si="207"/>
        <v>Medium</v>
      </c>
      <c r="O452">
        <f t="shared" si="208"/>
        <v>41.164999999999999</v>
      </c>
      <c r="P452" t="str">
        <f t="shared" si="209"/>
        <v>Medium</v>
      </c>
    </row>
    <row r="453" spans="1:16" x14ac:dyDescent="0.25">
      <c r="A453">
        <v>300</v>
      </c>
      <c r="B453">
        <v>12.86</v>
      </c>
      <c r="C453" t="s">
        <v>21</v>
      </c>
      <c r="D453" t="s">
        <v>12</v>
      </c>
      <c r="E453" s="3">
        <v>900</v>
      </c>
      <c r="F453">
        <v>88.9</v>
      </c>
      <c r="G453">
        <v>11.84</v>
      </c>
      <c r="H453">
        <v>5.2</v>
      </c>
      <c r="I453">
        <v>40.44</v>
      </c>
      <c r="J453">
        <v>18</v>
      </c>
      <c r="K453" t="s">
        <v>16</v>
      </c>
      <c r="L453" t="str">
        <f t="shared" si="210"/>
        <v>VALID</v>
      </c>
      <c r="M453">
        <f t="shared" si="206"/>
        <v>0.28888888888888892</v>
      </c>
      <c r="N453" t="str">
        <f t="shared" si="207"/>
        <v>Low</v>
      </c>
      <c r="O453">
        <f t="shared" si="208"/>
        <v>26.14</v>
      </c>
      <c r="P453" t="str">
        <f t="shared" si="209"/>
        <v>Low</v>
      </c>
    </row>
    <row r="454" spans="1:16" x14ac:dyDescent="0.25">
      <c r="A454">
        <v>1200</v>
      </c>
      <c r="B454">
        <v>24.24</v>
      </c>
      <c r="C454" t="s">
        <v>14</v>
      </c>
      <c r="D454" t="s">
        <v>15</v>
      </c>
      <c r="E454" s="3">
        <v>900</v>
      </c>
      <c r="F454">
        <v>-34.4</v>
      </c>
      <c r="G454">
        <v>5.08</v>
      </c>
      <c r="H454">
        <v>8.5399999999999991</v>
      </c>
      <c r="I454">
        <v>35.229999999999997</v>
      </c>
      <c r="J454">
        <v>25</v>
      </c>
      <c r="K454" t="s">
        <v>16</v>
      </c>
      <c r="L454" t="str">
        <f t="shared" si="210"/>
        <v>VALID</v>
      </c>
      <c r="M454">
        <f t="shared" si="206"/>
        <v>0.34159999999999996</v>
      </c>
      <c r="N454" t="str">
        <f t="shared" si="207"/>
        <v>Low</v>
      </c>
      <c r="O454">
        <f t="shared" si="208"/>
        <v>20.154999999999998</v>
      </c>
      <c r="P454" t="str">
        <f t="shared" si="209"/>
        <v>Low</v>
      </c>
    </row>
    <row r="455" spans="1:16" x14ac:dyDescent="0.25">
      <c r="A455">
        <v>150</v>
      </c>
      <c r="B455">
        <v>7.91</v>
      </c>
      <c r="C455" t="s">
        <v>14</v>
      </c>
      <c r="D455" t="s">
        <v>15</v>
      </c>
      <c r="E455" s="3">
        <v>600</v>
      </c>
      <c r="F455">
        <v>20.8</v>
      </c>
      <c r="G455">
        <v>2.12</v>
      </c>
      <c r="H455">
        <v>1.17</v>
      </c>
      <c r="I455">
        <v>14.79</v>
      </c>
      <c r="J455">
        <v>12</v>
      </c>
      <c r="K455" t="s">
        <v>23</v>
      </c>
      <c r="L455" t="str">
        <f t="shared" si="210"/>
        <v>VALID</v>
      </c>
      <c r="M455">
        <f t="shared" si="206"/>
        <v>9.7499999999999989E-2</v>
      </c>
      <c r="N455" t="str">
        <f t="shared" si="207"/>
        <v>Low</v>
      </c>
      <c r="O455">
        <f t="shared" si="208"/>
        <v>8.4550000000000001</v>
      </c>
      <c r="P455" t="str">
        <f t="shared" si="209"/>
        <v>Low</v>
      </c>
    </row>
    <row r="456" spans="1:16" hidden="1" x14ac:dyDescent="0.25">
      <c r="A456">
        <v>200</v>
      </c>
      <c r="B456">
        <v>8.98</v>
      </c>
      <c r="C456" t="s">
        <v>21</v>
      </c>
      <c r="D456" t="s">
        <v>20</v>
      </c>
      <c r="E456">
        <v>900</v>
      </c>
      <c r="F456">
        <v>-38.6</v>
      </c>
      <c r="G456">
        <v>14.53</v>
      </c>
      <c r="H456">
        <v>9.2200000000000006</v>
      </c>
      <c r="I456">
        <v>102.67</v>
      </c>
      <c r="J456">
        <v>18</v>
      </c>
      <c r="K456" t="s">
        <v>16</v>
      </c>
      <c r="L456" t="str">
        <f t="shared" si="210"/>
        <v>INVALID</v>
      </c>
    </row>
    <row r="457" spans="1:16" x14ac:dyDescent="0.25">
      <c r="A457">
        <v>1200</v>
      </c>
      <c r="B457">
        <v>38.03</v>
      </c>
      <c r="C457" t="s">
        <v>21</v>
      </c>
      <c r="D457" t="s">
        <v>17</v>
      </c>
      <c r="E457" s="3">
        <v>900</v>
      </c>
      <c r="F457">
        <v>-44.2</v>
      </c>
      <c r="G457">
        <v>4.74</v>
      </c>
      <c r="H457">
        <v>5.56</v>
      </c>
      <c r="I457">
        <v>14.62</v>
      </c>
      <c r="J457">
        <v>11</v>
      </c>
      <c r="K457" t="s">
        <v>16</v>
      </c>
      <c r="L457" t="str">
        <f t="shared" si="210"/>
        <v>VALID</v>
      </c>
      <c r="M457">
        <f t="shared" ref="M457:M460" si="211">IF(J457&gt;0,H457/J457," ")</f>
        <v>0.50545454545454538</v>
      </c>
      <c r="N457" t="str">
        <f t="shared" ref="N457:N460" si="212">IF(ISNUMBER(E457),IF(E457&lt;1000,"Low",IF(E457&lt;3000,"Medium","High")),"Unknown")</f>
        <v>Low</v>
      </c>
      <c r="O457">
        <f t="shared" ref="O457:O460" si="213">(G457+I457)/2</f>
        <v>9.68</v>
      </c>
      <c r="P457" t="str">
        <f t="shared" ref="P457:P460" si="214">IF(O457&lt;30,"Low",IF(O457&lt;60,"Medium","High"))</f>
        <v>Low</v>
      </c>
    </row>
    <row r="458" spans="1:16" x14ac:dyDescent="0.25">
      <c r="A458">
        <v>1000</v>
      </c>
      <c r="B458">
        <v>26.98</v>
      </c>
      <c r="C458" t="s">
        <v>14</v>
      </c>
      <c r="D458" t="s">
        <v>15</v>
      </c>
      <c r="E458" s="3">
        <v>150</v>
      </c>
      <c r="F458">
        <v>43.9</v>
      </c>
      <c r="G458">
        <v>12.77</v>
      </c>
      <c r="H458">
        <v>9.99</v>
      </c>
      <c r="I458">
        <v>37.03</v>
      </c>
      <c r="J458">
        <v>16</v>
      </c>
      <c r="K458" t="s">
        <v>16</v>
      </c>
      <c r="L458" t="str">
        <f t="shared" si="210"/>
        <v>VALID</v>
      </c>
      <c r="M458">
        <f t="shared" si="211"/>
        <v>0.62437500000000001</v>
      </c>
      <c r="N458" t="str">
        <f t="shared" si="212"/>
        <v>Low</v>
      </c>
      <c r="O458">
        <f t="shared" si="213"/>
        <v>24.9</v>
      </c>
      <c r="P458" t="str">
        <f t="shared" si="214"/>
        <v>Low</v>
      </c>
    </row>
    <row r="459" spans="1:16" x14ac:dyDescent="0.25">
      <c r="A459">
        <v>150</v>
      </c>
      <c r="B459">
        <v>9.73</v>
      </c>
      <c r="C459" t="s">
        <v>22</v>
      </c>
      <c r="D459" t="s">
        <v>15</v>
      </c>
      <c r="E459" s="3">
        <v>600</v>
      </c>
      <c r="F459">
        <v>56</v>
      </c>
      <c r="G459">
        <v>8.07</v>
      </c>
      <c r="H459">
        <v>3.18</v>
      </c>
      <c r="I459">
        <v>32.68</v>
      </c>
      <c r="J459">
        <v>2</v>
      </c>
      <c r="K459" t="s">
        <v>13</v>
      </c>
      <c r="L459" t="str">
        <f t="shared" si="210"/>
        <v>VALID</v>
      </c>
      <c r="M459">
        <f t="shared" si="211"/>
        <v>1.59</v>
      </c>
      <c r="N459" t="str">
        <f t="shared" si="212"/>
        <v>Low</v>
      </c>
      <c r="O459">
        <f t="shared" si="213"/>
        <v>20.375</v>
      </c>
      <c r="P459" t="str">
        <f t="shared" si="214"/>
        <v>Low</v>
      </c>
    </row>
    <row r="460" spans="1:16" x14ac:dyDescent="0.25">
      <c r="A460">
        <v>500</v>
      </c>
      <c r="B460">
        <v>22.49</v>
      </c>
      <c r="C460" t="s">
        <v>22</v>
      </c>
      <c r="D460" t="s">
        <v>20</v>
      </c>
      <c r="E460" s="3">
        <v>1500</v>
      </c>
      <c r="F460">
        <v>58.1</v>
      </c>
      <c r="G460">
        <v>3.1</v>
      </c>
      <c r="H460">
        <v>6.62</v>
      </c>
      <c r="I460">
        <v>29.44</v>
      </c>
      <c r="J460">
        <v>1</v>
      </c>
      <c r="K460" t="s">
        <v>16</v>
      </c>
      <c r="L460" t="str">
        <f t="shared" si="210"/>
        <v>VALID</v>
      </c>
      <c r="M460">
        <f t="shared" si="211"/>
        <v>6.62</v>
      </c>
      <c r="N460" t="str">
        <f t="shared" si="212"/>
        <v>Medium</v>
      </c>
      <c r="O460">
        <f t="shared" si="213"/>
        <v>16.27</v>
      </c>
      <c r="P460" t="str">
        <f t="shared" si="214"/>
        <v>Low</v>
      </c>
    </row>
    <row r="461" spans="1:16" hidden="1" x14ac:dyDescent="0.25">
      <c r="A461">
        <v>300</v>
      </c>
      <c r="B461">
        <v>7.2</v>
      </c>
      <c r="C461" t="s">
        <v>11</v>
      </c>
      <c r="D461" t="s">
        <v>18</v>
      </c>
      <c r="E461">
        <v>300</v>
      </c>
      <c r="F461">
        <v>48.5</v>
      </c>
      <c r="G461">
        <v>17.27</v>
      </c>
      <c r="H461">
        <v>8.07</v>
      </c>
      <c r="I461">
        <v>112.08</v>
      </c>
      <c r="J461">
        <v>20</v>
      </c>
      <c r="K461" t="s">
        <v>16</v>
      </c>
      <c r="L461" t="str">
        <f t="shared" si="210"/>
        <v>INVALID</v>
      </c>
    </row>
    <row r="462" spans="1:16" x14ac:dyDescent="0.25">
      <c r="A462">
        <v>500</v>
      </c>
      <c r="B462">
        <v>9.94</v>
      </c>
      <c r="C462" t="s">
        <v>14</v>
      </c>
      <c r="D462" t="s">
        <v>20</v>
      </c>
      <c r="E462" s="3">
        <v>150</v>
      </c>
      <c r="F462">
        <v>28.1</v>
      </c>
      <c r="G462">
        <v>12.68</v>
      </c>
      <c r="H462">
        <v>1.32</v>
      </c>
      <c r="I462">
        <v>13.28</v>
      </c>
      <c r="J462">
        <v>13</v>
      </c>
      <c r="K462" t="s">
        <v>23</v>
      </c>
      <c r="L462" t="str">
        <f t="shared" si="210"/>
        <v>VALID</v>
      </c>
      <c r="M462">
        <f t="shared" ref="M462" si="215">IF(J462&gt;0,H462/J462," ")</f>
        <v>0.10153846153846155</v>
      </c>
      <c r="N462" t="str">
        <f>IF(ISNUMBER(E462),IF(E462&lt;1000,"Low",IF(E462&lt;3000,"Medium","High")),"Unknown")</f>
        <v>Low</v>
      </c>
      <c r="O462">
        <f>(G462+I462)/2</f>
        <v>12.98</v>
      </c>
      <c r="P462" t="str">
        <f>IF(O462&lt;30,"Low",IF(O462&lt;60,"Medium","High"))</f>
        <v>Low</v>
      </c>
    </row>
    <row r="463" spans="1:16" hidden="1" x14ac:dyDescent="0.25">
      <c r="A463">
        <v>150</v>
      </c>
      <c r="B463">
        <v>6.69</v>
      </c>
      <c r="C463" t="s">
        <v>11</v>
      </c>
      <c r="D463" t="s">
        <v>15</v>
      </c>
      <c r="E463">
        <v>300</v>
      </c>
      <c r="F463">
        <v>66.2</v>
      </c>
      <c r="G463">
        <v>2.1</v>
      </c>
      <c r="H463">
        <v>9.6</v>
      </c>
      <c r="I463">
        <v>143.5</v>
      </c>
      <c r="J463">
        <v>6</v>
      </c>
      <c r="K463" t="s">
        <v>16</v>
      </c>
      <c r="L463" t="str">
        <f t="shared" si="210"/>
        <v>INVALID</v>
      </c>
    </row>
    <row r="464" spans="1:16" hidden="1" x14ac:dyDescent="0.25">
      <c r="A464">
        <v>200</v>
      </c>
      <c r="B464">
        <v>6.76</v>
      </c>
      <c r="C464" t="s">
        <v>21</v>
      </c>
      <c r="D464" t="s">
        <v>20</v>
      </c>
      <c r="E464">
        <v>300</v>
      </c>
      <c r="F464">
        <v>51.1</v>
      </c>
      <c r="G464">
        <v>15.15</v>
      </c>
      <c r="H464">
        <v>9.35</v>
      </c>
      <c r="I464">
        <v>138.31</v>
      </c>
      <c r="J464">
        <v>8</v>
      </c>
      <c r="K464" t="s">
        <v>16</v>
      </c>
      <c r="L464" t="str">
        <f t="shared" si="210"/>
        <v>INVALID</v>
      </c>
    </row>
    <row r="465" spans="1:16" hidden="1" x14ac:dyDescent="0.25">
      <c r="A465">
        <v>200</v>
      </c>
      <c r="B465">
        <v>6.26</v>
      </c>
      <c r="C465" t="s">
        <v>14</v>
      </c>
      <c r="D465" t="s">
        <v>17</v>
      </c>
      <c r="E465">
        <v>2500</v>
      </c>
      <c r="F465">
        <v>74.8</v>
      </c>
      <c r="G465">
        <v>12.94</v>
      </c>
      <c r="H465">
        <v>8.02</v>
      </c>
      <c r="I465">
        <v>128.12</v>
      </c>
      <c r="J465">
        <v>24</v>
      </c>
      <c r="K465" t="s">
        <v>16</v>
      </c>
      <c r="L465" t="str">
        <f t="shared" si="210"/>
        <v>INVALID</v>
      </c>
    </row>
    <row r="466" spans="1:16" x14ac:dyDescent="0.25">
      <c r="A466">
        <v>800</v>
      </c>
      <c r="B466">
        <v>14.7</v>
      </c>
      <c r="C466" t="s">
        <v>19</v>
      </c>
      <c r="D466" t="s">
        <v>17</v>
      </c>
      <c r="E466" s="3">
        <v>1500</v>
      </c>
      <c r="F466">
        <v>43.9</v>
      </c>
      <c r="G466">
        <v>1.44</v>
      </c>
      <c r="H466">
        <v>4.07</v>
      </c>
      <c r="I466">
        <v>27.69</v>
      </c>
      <c r="J466">
        <v>16</v>
      </c>
      <c r="K466" t="s">
        <v>13</v>
      </c>
      <c r="L466" t="str">
        <f t="shared" si="210"/>
        <v>VALID</v>
      </c>
      <c r="M466">
        <f t="shared" ref="M466:M469" si="216">IF(J466&gt;0,H466/J466," ")</f>
        <v>0.25437500000000002</v>
      </c>
      <c r="N466" t="str">
        <f t="shared" ref="N466:N469" si="217">IF(ISNUMBER(E466),IF(E466&lt;1000,"Low",IF(E466&lt;3000,"Medium","High")),"Unknown")</f>
        <v>Medium</v>
      </c>
      <c r="O466">
        <f t="shared" ref="O466:O469" si="218">(G466+I466)/2</f>
        <v>14.565000000000001</v>
      </c>
      <c r="P466" t="str">
        <f t="shared" ref="P466:P469" si="219">IF(O466&lt;30,"Low",IF(O466&lt;60,"Medium","High"))</f>
        <v>Low</v>
      </c>
    </row>
    <row r="467" spans="1:16" x14ac:dyDescent="0.25">
      <c r="A467">
        <v>600</v>
      </c>
      <c r="B467">
        <v>11.17</v>
      </c>
      <c r="C467" t="s">
        <v>19</v>
      </c>
      <c r="D467" t="s">
        <v>12</v>
      </c>
      <c r="E467" s="3">
        <v>1500</v>
      </c>
      <c r="F467">
        <v>115.7</v>
      </c>
      <c r="G467">
        <v>17.93</v>
      </c>
      <c r="H467">
        <v>0.81</v>
      </c>
      <c r="I467">
        <v>7.25</v>
      </c>
      <c r="J467">
        <v>15</v>
      </c>
      <c r="K467" t="s">
        <v>23</v>
      </c>
      <c r="L467" t="str">
        <f t="shared" si="210"/>
        <v>VALID</v>
      </c>
      <c r="M467">
        <f t="shared" si="216"/>
        <v>5.4000000000000006E-2</v>
      </c>
      <c r="N467" t="str">
        <f t="shared" si="217"/>
        <v>Medium</v>
      </c>
      <c r="O467">
        <f t="shared" si="218"/>
        <v>12.59</v>
      </c>
      <c r="P467" t="str">
        <f t="shared" si="219"/>
        <v>Low</v>
      </c>
    </row>
    <row r="468" spans="1:16" x14ac:dyDescent="0.25">
      <c r="A468">
        <v>600</v>
      </c>
      <c r="B468">
        <v>14.15</v>
      </c>
      <c r="C468" t="s">
        <v>14</v>
      </c>
      <c r="D468" t="s">
        <v>18</v>
      </c>
      <c r="E468" s="3">
        <v>150</v>
      </c>
      <c r="F468">
        <v>86.4</v>
      </c>
      <c r="G468">
        <v>9.07</v>
      </c>
      <c r="H468">
        <v>4.49</v>
      </c>
      <c r="I468">
        <v>31.73</v>
      </c>
      <c r="J468">
        <v>18</v>
      </c>
      <c r="K468" t="s">
        <v>13</v>
      </c>
      <c r="L468" t="str">
        <f t="shared" si="210"/>
        <v>VALID</v>
      </c>
      <c r="M468">
        <f t="shared" si="216"/>
        <v>0.24944444444444447</v>
      </c>
      <c r="N468" t="str">
        <f t="shared" si="217"/>
        <v>Low</v>
      </c>
      <c r="O468">
        <f t="shared" si="218"/>
        <v>20.399999999999999</v>
      </c>
      <c r="P468" t="str">
        <f t="shared" si="219"/>
        <v>Low</v>
      </c>
    </row>
    <row r="469" spans="1:16" x14ac:dyDescent="0.25">
      <c r="A469">
        <v>800</v>
      </c>
      <c r="B469">
        <v>17.149999999999999</v>
      </c>
      <c r="C469" t="s">
        <v>19</v>
      </c>
      <c r="D469" t="s">
        <v>20</v>
      </c>
      <c r="E469" s="3">
        <v>150</v>
      </c>
      <c r="F469">
        <v>93.4</v>
      </c>
      <c r="G469">
        <v>0.54</v>
      </c>
      <c r="H469">
        <v>2.54</v>
      </c>
      <c r="I469">
        <v>14.81</v>
      </c>
      <c r="J469">
        <v>7</v>
      </c>
      <c r="K469" t="s">
        <v>13</v>
      </c>
      <c r="L469" t="str">
        <f t="shared" si="210"/>
        <v>VALID</v>
      </c>
      <c r="M469">
        <f t="shared" si="216"/>
        <v>0.36285714285714288</v>
      </c>
      <c r="N469" t="str">
        <f t="shared" si="217"/>
        <v>Low</v>
      </c>
      <c r="O469">
        <f t="shared" si="218"/>
        <v>7.6750000000000007</v>
      </c>
      <c r="P469" t="str">
        <f t="shared" si="219"/>
        <v>Low</v>
      </c>
    </row>
    <row r="470" spans="1:16" hidden="1" x14ac:dyDescent="0.25">
      <c r="A470">
        <v>50</v>
      </c>
      <c r="B470">
        <v>3</v>
      </c>
      <c r="C470" t="s">
        <v>11</v>
      </c>
      <c r="D470" t="s">
        <v>12</v>
      </c>
      <c r="E470">
        <v>150</v>
      </c>
      <c r="F470">
        <v>30.9</v>
      </c>
      <c r="G470">
        <v>9.1999999999999993</v>
      </c>
      <c r="H470">
        <v>4.13</v>
      </c>
      <c r="I470">
        <v>137.66999999999999</v>
      </c>
      <c r="J470">
        <v>17</v>
      </c>
      <c r="K470" t="s">
        <v>13</v>
      </c>
      <c r="L470" t="str">
        <f t="shared" si="210"/>
        <v>INVALID</v>
      </c>
    </row>
    <row r="471" spans="1:16" x14ac:dyDescent="0.25">
      <c r="A471">
        <v>500</v>
      </c>
      <c r="B471">
        <v>21.53</v>
      </c>
      <c r="C471" t="s">
        <v>19</v>
      </c>
      <c r="D471" t="s">
        <v>15</v>
      </c>
      <c r="E471" s="3">
        <v>300</v>
      </c>
      <c r="F471">
        <v>47.7</v>
      </c>
      <c r="G471">
        <v>16.95</v>
      </c>
      <c r="H471">
        <v>3.11</v>
      </c>
      <c r="I471">
        <v>14.44</v>
      </c>
      <c r="J471">
        <v>13</v>
      </c>
      <c r="K471" t="s">
        <v>13</v>
      </c>
      <c r="L471" t="str">
        <f t="shared" si="210"/>
        <v>VALID</v>
      </c>
      <c r="M471">
        <f t="shared" ref="M471:M472" si="220">IF(J471&gt;0,H471/J471," ")</f>
        <v>0.23923076923076922</v>
      </c>
      <c r="N471" t="str">
        <f t="shared" ref="N471:N472" si="221">IF(ISNUMBER(E471),IF(E471&lt;1000,"Low",IF(E471&lt;3000,"Medium","High")),"Unknown")</f>
        <v>Low</v>
      </c>
      <c r="O471">
        <f t="shared" ref="O471:O472" si="222">(G471+I471)/2</f>
        <v>15.695</v>
      </c>
      <c r="P471" t="str">
        <f t="shared" ref="P471:P472" si="223">IF(O471&lt;30,"Low",IF(O471&lt;60,"Medium","High"))</f>
        <v>Low</v>
      </c>
    </row>
    <row r="472" spans="1:16" x14ac:dyDescent="0.25">
      <c r="A472">
        <v>1500</v>
      </c>
      <c r="B472">
        <v>34.19</v>
      </c>
      <c r="C472" t="s">
        <v>21</v>
      </c>
      <c r="D472" t="s">
        <v>20</v>
      </c>
      <c r="E472" s="3">
        <v>1500</v>
      </c>
      <c r="F472">
        <v>81.2</v>
      </c>
      <c r="G472">
        <v>10.4</v>
      </c>
      <c r="H472">
        <v>7.15</v>
      </c>
      <c r="I472">
        <v>20.91</v>
      </c>
      <c r="J472">
        <v>1</v>
      </c>
      <c r="K472" t="s">
        <v>16</v>
      </c>
      <c r="L472" t="str">
        <f t="shared" si="210"/>
        <v>VALID</v>
      </c>
      <c r="M472">
        <f t="shared" si="220"/>
        <v>7.15</v>
      </c>
      <c r="N472" t="str">
        <f t="shared" si="221"/>
        <v>Medium</v>
      </c>
      <c r="O472">
        <f t="shared" si="222"/>
        <v>15.655000000000001</v>
      </c>
      <c r="P472" t="str">
        <f t="shared" si="223"/>
        <v>Low</v>
      </c>
    </row>
    <row r="473" spans="1:16" hidden="1" x14ac:dyDescent="0.25">
      <c r="A473">
        <v>50</v>
      </c>
      <c r="B473">
        <v>5.93</v>
      </c>
      <c r="C473" t="s">
        <v>21</v>
      </c>
      <c r="D473" t="s">
        <v>15</v>
      </c>
      <c r="E473">
        <v>2500</v>
      </c>
      <c r="F473">
        <v>75.099999999999994</v>
      </c>
      <c r="G473">
        <v>19.39</v>
      </c>
      <c r="H473">
        <v>7.2</v>
      </c>
      <c r="I473">
        <v>121.42</v>
      </c>
      <c r="J473">
        <v>15</v>
      </c>
      <c r="K473" t="s">
        <v>16</v>
      </c>
      <c r="L473" t="str">
        <f t="shared" si="210"/>
        <v>INVALID</v>
      </c>
    </row>
    <row r="474" spans="1:16" x14ac:dyDescent="0.25">
      <c r="A474">
        <v>1200</v>
      </c>
      <c r="B474">
        <v>33.06</v>
      </c>
      <c r="C474" t="s">
        <v>11</v>
      </c>
      <c r="D474" t="s">
        <v>15</v>
      </c>
      <c r="E474" s="3">
        <v>900</v>
      </c>
      <c r="F474">
        <v>-9.6</v>
      </c>
      <c r="G474">
        <v>11.89</v>
      </c>
      <c r="H474">
        <v>8.15</v>
      </c>
      <c r="I474">
        <v>24.65</v>
      </c>
      <c r="J474">
        <v>18</v>
      </c>
      <c r="K474" t="s">
        <v>16</v>
      </c>
      <c r="L474" t="str">
        <f t="shared" si="210"/>
        <v>VALID</v>
      </c>
      <c r="M474">
        <f t="shared" ref="M474:M500" si="224">IF(J474&gt;0,H474/J474," ")</f>
        <v>0.45277777777777778</v>
      </c>
      <c r="N474" t="str">
        <f t="shared" ref="N474:N500" si="225">IF(ISNUMBER(E474),IF(E474&lt;1000,"Low",IF(E474&lt;3000,"Medium","High")),"Unknown")</f>
        <v>Low</v>
      </c>
      <c r="O474">
        <f t="shared" ref="O474:O500" si="226">(G474+I474)/2</f>
        <v>18.27</v>
      </c>
      <c r="P474" t="str">
        <f t="shared" ref="P474:P500" si="227">IF(O474&lt;30,"Low",IF(O474&lt;60,"Medium","High"))</f>
        <v>Low</v>
      </c>
    </row>
    <row r="475" spans="1:16" x14ac:dyDescent="0.25">
      <c r="A475">
        <v>100</v>
      </c>
      <c r="B475">
        <v>6.31</v>
      </c>
      <c r="C475" t="s">
        <v>11</v>
      </c>
      <c r="D475" t="s">
        <v>20</v>
      </c>
      <c r="E475" s="3">
        <v>900</v>
      </c>
      <c r="F475">
        <v>30.5</v>
      </c>
      <c r="G475">
        <v>10.66</v>
      </c>
      <c r="H475">
        <v>5.74</v>
      </c>
      <c r="I475">
        <v>90.97</v>
      </c>
      <c r="J475">
        <v>12</v>
      </c>
      <c r="K475" t="s">
        <v>16</v>
      </c>
      <c r="L475" t="str">
        <f t="shared" si="210"/>
        <v>VALID</v>
      </c>
      <c r="M475">
        <f t="shared" si="224"/>
        <v>0.47833333333333333</v>
      </c>
      <c r="N475" t="str">
        <f t="shared" si="225"/>
        <v>Low</v>
      </c>
      <c r="O475">
        <f t="shared" si="226"/>
        <v>50.814999999999998</v>
      </c>
      <c r="P475" t="str">
        <f t="shared" si="227"/>
        <v>Medium</v>
      </c>
    </row>
    <row r="476" spans="1:16" x14ac:dyDescent="0.25">
      <c r="A476">
        <v>100</v>
      </c>
      <c r="B476">
        <v>4.72</v>
      </c>
      <c r="C476" t="s">
        <v>22</v>
      </c>
      <c r="D476" t="s">
        <v>15</v>
      </c>
      <c r="E476" s="3">
        <v>300</v>
      </c>
      <c r="F476">
        <v>55.8</v>
      </c>
      <c r="G476">
        <v>8.56</v>
      </c>
      <c r="H476">
        <v>0.97</v>
      </c>
      <c r="I476">
        <v>20.55</v>
      </c>
      <c r="J476">
        <v>16</v>
      </c>
      <c r="K476" t="s">
        <v>23</v>
      </c>
      <c r="L476" t="str">
        <f t="shared" si="210"/>
        <v>VALID</v>
      </c>
      <c r="M476">
        <f t="shared" si="224"/>
        <v>6.0624999999999998E-2</v>
      </c>
      <c r="N476" t="str">
        <f t="shared" si="225"/>
        <v>Low</v>
      </c>
      <c r="O476">
        <f t="shared" si="226"/>
        <v>14.555</v>
      </c>
      <c r="P476" t="str">
        <f t="shared" si="227"/>
        <v>Low</v>
      </c>
    </row>
    <row r="477" spans="1:16" x14ac:dyDescent="0.25">
      <c r="A477">
        <v>600</v>
      </c>
      <c r="B477">
        <v>22.4</v>
      </c>
      <c r="C477" t="s">
        <v>22</v>
      </c>
      <c r="D477" t="s">
        <v>20</v>
      </c>
      <c r="E477" s="3">
        <v>1500</v>
      </c>
      <c r="F477">
        <v>44.1</v>
      </c>
      <c r="G477">
        <v>1.5</v>
      </c>
      <c r="H477">
        <v>8.01</v>
      </c>
      <c r="I477">
        <v>35.76</v>
      </c>
      <c r="J477">
        <v>12</v>
      </c>
      <c r="K477" t="s">
        <v>16</v>
      </c>
      <c r="L477" t="str">
        <f t="shared" si="210"/>
        <v>VALID</v>
      </c>
      <c r="M477">
        <f t="shared" si="224"/>
        <v>0.66749999999999998</v>
      </c>
      <c r="N477" t="str">
        <f t="shared" si="225"/>
        <v>Medium</v>
      </c>
      <c r="O477">
        <f t="shared" si="226"/>
        <v>18.63</v>
      </c>
      <c r="P477" t="str">
        <f t="shared" si="227"/>
        <v>Low</v>
      </c>
    </row>
    <row r="478" spans="1:16" x14ac:dyDescent="0.25">
      <c r="A478">
        <v>300</v>
      </c>
      <c r="B478">
        <v>17.34</v>
      </c>
      <c r="C478" t="s">
        <v>22</v>
      </c>
      <c r="D478" t="s">
        <v>12</v>
      </c>
      <c r="E478" s="3">
        <v>1500</v>
      </c>
      <c r="F478">
        <v>46.2</v>
      </c>
      <c r="G478">
        <v>14.96</v>
      </c>
      <c r="H478">
        <v>4.8099999999999996</v>
      </c>
      <c r="I478">
        <v>27.74</v>
      </c>
      <c r="J478">
        <v>6</v>
      </c>
      <c r="K478" t="s">
        <v>13</v>
      </c>
      <c r="L478" t="str">
        <f t="shared" si="210"/>
        <v>VALID</v>
      </c>
      <c r="M478">
        <f t="shared" si="224"/>
        <v>0.80166666666666664</v>
      </c>
      <c r="N478" t="str">
        <f t="shared" si="225"/>
        <v>Medium</v>
      </c>
      <c r="O478">
        <f t="shared" si="226"/>
        <v>21.35</v>
      </c>
      <c r="P478" t="str">
        <f t="shared" si="227"/>
        <v>Low</v>
      </c>
    </row>
    <row r="479" spans="1:16" x14ac:dyDescent="0.25">
      <c r="A479">
        <v>400</v>
      </c>
      <c r="B479">
        <v>12.29</v>
      </c>
      <c r="C479" t="s">
        <v>14</v>
      </c>
      <c r="D479" t="s">
        <v>18</v>
      </c>
      <c r="E479" s="3">
        <v>300</v>
      </c>
      <c r="F479">
        <v>-9.6</v>
      </c>
      <c r="G479">
        <v>16</v>
      </c>
      <c r="H479">
        <v>3.22</v>
      </c>
      <c r="I479">
        <v>26.2</v>
      </c>
      <c r="J479">
        <v>8</v>
      </c>
      <c r="K479" t="s">
        <v>13</v>
      </c>
      <c r="L479" t="str">
        <f t="shared" si="210"/>
        <v>VALID</v>
      </c>
      <c r="M479">
        <f t="shared" si="224"/>
        <v>0.40250000000000002</v>
      </c>
      <c r="N479" t="str">
        <f t="shared" si="225"/>
        <v>Low</v>
      </c>
      <c r="O479">
        <f t="shared" si="226"/>
        <v>21.1</v>
      </c>
      <c r="P479" t="str">
        <f t="shared" si="227"/>
        <v>Low</v>
      </c>
    </row>
    <row r="480" spans="1:16" x14ac:dyDescent="0.25">
      <c r="A480">
        <v>1500</v>
      </c>
      <c r="B480">
        <v>29.22</v>
      </c>
      <c r="C480" t="s">
        <v>22</v>
      </c>
      <c r="D480" t="s">
        <v>15</v>
      </c>
      <c r="E480" s="3">
        <v>2500</v>
      </c>
      <c r="F480">
        <v>-10.7</v>
      </c>
      <c r="G480">
        <v>8.17</v>
      </c>
      <c r="H480">
        <v>6.72</v>
      </c>
      <c r="I480">
        <v>23</v>
      </c>
      <c r="J480">
        <v>22</v>
      </c>
      <c r="K480" t="s">
        <v>16</v>
      </c>
      <c r="L480" t="str">
        <f t="shared" si="210"/>
        <v>VALID</v>
      </c>
      <c r="M480">
        <f t="shared" si="224"/>
        <v>0.30545454545454542</v>
      </c>
      <c r="N480" t="str">
        <f t="shared" si="225"/>
        <v>Medium</v>
      </c>
      <c r="O480">
        <f t="shared" si="226"/>
        <v>15.585000000000001</v>
      </c>
      <c r="P480" t="str">
        <f t="shared" si="227"/>
        <v>Low</v>
      </c>
    </row>
    <row r="481" spans="1:16" x14ac:dyDescent="0.25">
      <c r="A481">
        <v>100</v>
      </c>
      <c r="B481">
        <v>5.99</v>
      </c>
      <c r="C481" t="s">
        <v>11</v>
      </c>
      <c r="D481" t="s">
        <v>17</v>
      </c>
      <c r="E481" s="3">
        <v>900</v>
      </c>
      <c r="F481">
        <v>-6.7</v>
      </c>
      <c r="G481">
        <v>8.83</v>
      </c>
      <c r="H481">
        <v>3.77</v>
      </c>
      <c r="I481">
        <v>62.94</v>
      </c>
      <c r="J481">
        <v>14</v>
      </c>
      <c r="K481" t="s">
        <v>13</v>
      </c>
      <c r="L481" t="str">
        <f t="shared" si="210"/>
        <v>VALID</v>
      </c>
      <c r="M481">
        <f t="shared" si="224"/>
        <v>0.26928571428571429</v>
      </c>
      <c r="N481" t="str">
        <f t="shared" si="225"/>
        <v>Low</v>
      </c>
      <c r="O481">
        <f t="shared" si="226"/>
        <v>35.884999999999998</v>
      </c>
      <c r="P481" t="str">
        <f t="shared" si="227"/>
        <v>Medium</v>
      </c>
    </row>
    <row r="482" spans="1:16" x14ac:dyDescent="0.25">
      <c r="A482">
        <v>50</v>
      </c>
      <c r="B482">
        <v>3</v>
      </c>
      <c r="C482" t="s">
        <v>21</v>
      </c>
      <c r="D482" t="s">
        <v>17</v>
      </c>
      <c r="E482" s="3">
        <v>900</v>
      </c>
      <c r="F482">
        <v>22.8</v>
      </c>
      <c r="G482">
        <v>13.87</v>
      </c>
      <c r="H482">
        <v>0.47</v>
      </c>
      <c r="I482">
        <v>15.67</v>
      </c>
      <c r="J482">
        <v>18</v>
      </c>
      <c r="K482" t="s">
        <v>23</v>
      </c>
      <c r="L482" t="str">
        <f t="shared" si="210"/>
        <v>VALID</v>
      </c>
      <c r="M482">
        <f t="shared" si="224"/>
        <v>2.6111111111111109E-2</v>
      </c>
      <c r="N482" t="str">
        <f t="shared" si="225"/>
        <v>Low</v>
      </c>
      <c r="O482">
        <f t="shared" si="226"/>
        <v>14.77</v>
      </c>
      <c r="P482" t="str">
        <f t="shared" si="227"/>
        <v>Low</v>
      </c>
    </row>
    <row r="483" spans="1:16" x14ac:dyDescent="0.25">
      <c r="A483">
        <v>1500</v>
      </c>
      <c r="B483">
        <v>38.340000000000003</v>
      </c>
      <c r="C483" t="s">
        <v>11</v>
      </c>
      <c r="D483" t="s">
        <v>12</v>
      </c>
      <c r="E483" s="3">
        <v>2500</v>
      </c>
      <c r="F483">
        <v>22.3</v>
      </c>
      <c r="G483">
        <v>14.44</v>
      </c>
      <c r="H483">
        <v>5.57</v>
      </c>
      <c r="I483">
        <v>14.53</v>
      </c>
      <c r="J483">
        <v>21</v>
      </c>
      <c r="K483" t="s">
        <v>16</v>
      </c>
      <c r="L483" t="str">
        <f t="shared" si="210"/>
        <v>VALID</v>
      </c>
      <c r="M483">
        <f t="shared" si="224"/>
        <v>0.26523809523809527</v>
      </c>
      <c r="N483" t="str">
        <f t="shared" si="225"/>
        <v>Medium</v>
      </c>
      <c r="O483">
        <f t="shared" si="226"/>
        <v>14.484999999999999</v>
      </c>
      <c r="P483" t="str">
        <f t="shared" si="227"/>
        <v>Low</v>
      </c>
    </row>
    <row r="484" spans="1:16" x14ac:dyDescent="0.25">
      <c r="A484">
        <v>100</v>
      </c>
      <c r="B484">
        <v>7.37</v>
      </c>
      <c r="C484" t="s">
        <v>14</v>
      </c>
      <c r="D484" t="s">
        <v>15</v>
      </c>
      <c r="E484" s="3">
        <v>300</v>
      </c>
      <c r="F484">
        <v>56.5</v>
      </c>
      <c r="G484">
        <v>14.31</v>
      </c>
      <c r="H484">
        <v>2.35</v>
      </c>
      <c r="I484">
        <v>31.89</v>
      </c>
      <c r="J484">
        <v>2</v>
      </c>
      <c r="K484" t="s">
        <v>13</v>
      </c>
      <c r="L484" t="str">
        <f t="shared" si="210"/>
        <v>VALID</v>
      </c>
      <c r="M484">
        <f t="shared" si="224"/>
        <v>1.175</v>
      </c>
      <c r="N484" t="str">
        <f t="shared" si="225"/>
        <v>Low</v>
      </c>
      <c r="O484">
        <f t="shared" si="226"/>
        <v>23.1</v>
      </c>
      <c r="P484" t="str">
        <f t="shared" si="227"/>
        <v>Low</v>
      </c>
    </row>
    <row r="485" spans="1:16" x14ac:dyDescent="0.25">
      <c r="A485">
        <v>800</v>
      </c>
      <c r="B485">
        <v>27.17</v>
      </c>
      <c r="C485" t="s">
        <v>19</v>
      </c>
      <c r="D485" t="s">
        <v>12</v>
      </c>
      <c r="E485" s="3">
        <v>2500</v>
      </c>
      <c r="F485">
        <v>27</v>
      </c>
      <c r="G485">
        <v>16.100000000000001</v>
      </c>
      <c r="H485">
        <v>9.31</v>
      </c>
      <c r="I485">
        <v>34.270000000000003</v>
      </c>
      <c r="J485">
        <v>16</v>
      </c>
      <c r="K485" t="s">
        <v>16</v>
      </c>
      <c r="L485" t="str">
        <f t="shared" si="210"/>
        <v>VALID</v>
      </c>
      <c r="M485">
        <f t="shared" si="224"/>
        <v>0.58187500000000003</v>
      </c>
      <c r="N485" t="str">
        <f t="shared" si="225"/>
        <v>Medium</v>
      </c>
      <c r="O485">
        <f t="shared" si="226"/>
        <v>25.185000000000002</v>
      </c>
      <c r="P485" t="str">
        <f t="shared" si="227"/>
        <v>Low</v>
      </c>
    </row>
    <row r="486" spans="1:16" x14ac:dyDescent="0.25">
      <c r="A486">
        <v>800</v>
      </c>
      <c r="B486">
        <v>12.37</v>
      </c>
      <c r="C486" t="s">
        <v>19</v>
      </c>
      <c r="D486" t="s">
        <v>20</v>
      </c>
      <c r="E486" s="3">
        <v>900</v>
      </c>
      <c r="F486">
        <v>-11.7</v>
      </c>
      <c r="G486">
        <v>16.5</v>
      </c>
      <c r="H486">
        <v>7.51</v>
      </c>
      <c r="I486">
        <v>60.71</v>
      </c>
      <c r="J486">
        <v>23</v>
      </c>
      <c r="K486" t="s">
        <v>16</v>
      </c>
      <c r="L486" t="str">
        <f t="shared" si="210"/>
        <v>VALID</v>
      </c>
      <c r="M486">
        <f t="shared" si="224"/>
        <v>0.32652173913043475</v>
      </c>
      <c r="N486" t="str">
        <f t="shared" si="225"/>
        <v>Low</v>
      </c>
      <c r="O486">
        <f t="shared" si="226"/>
        <v>38.605000000000004</v>
      </c>
      <c r="P486" t="str">
        <f t="shared" si="227"/>
        <v>Medium</v>
      </c>
    </row>
    <row r="487" spans="1:16" x14ac:dyDescent="0.25">
      <c r="A487">
        <v>100</v>
      </c>
      <c r="B487">
        <v>5.58</v>
      </c>
      <c r="C487" t="s">
        <v>21</v>
      </c>
      <c r="D487" t="s">
        <v>18</v>
      </c>
      <c r="E487" s="3">
        <v>300</v>
      </c>
      <c r="F487">
        <v>43.4</v>
      </c>
      <c r="G487">
        <v>12.52</v>
      </c>
      <c r="H487">
        <v>4.45</v>
      </c>
      <c r="I487">
        <v>79.75</v>
      </c>
      <c r="J487">
        <v>21</v>
      </c>
      <c r="K487" t="s">
        <v>13</v>
      </c>
      <c r="L487" t="str">
        <f t="shared" si="210"/>
        <v>VALID</v>
      </c>
      <c r="M487">
        <f t="shared" si="224"/>
        <v>0.2119047619047619</v>
      </c>
      <c r="N487" t="str">
        <f t="shared" si="225"/>
        <v>Low</v>
      </c>
      <c r="O487">
        <f t="shared" si="226"/>
        <v>46.134999999999998</v>
      </c>
      <c r="P487" t="str">
        <f t="shared" si="227"/>
        <v>Medium</v>
      </c>
    </row>
    <row r="488" spans="1:16" x14ac:dyDescent="0.25">
      <c r="A488">
        <v>100</v>
      </c>
      <c r="B488">
        <v>6.08</v>
      </c>
      <c r="C488" t="s">
        <v>11</v>
      </c>
      <c r="D488" t="s">
        <v>18</v>
      </c>
      <c r="E488" s="3">
        <v>150</v>
      </c>
      <c r="F488">
        <v>86.7</v>
      </c>
      <c r="G488">
        <v>10.71</v>
      </c>
      <c r="H488">
        <v>2.81</v>
      </c>
      <c r="I488">
        <v>46.22</v>
      </c>
      <c r="J488">
        <v>21</v>
      </c>
      <c r="K488" t="s">
        <v>13</v>
      </c>
      <c r="L488" t="str">
        <f t="shared" si="210"/>
        <v>VALID</v>
      </c>
      <c r="M488">
        <f t="shared" si="224"/>
        <v>0.13380952380952382</v>
      </c>
      <c r="N488" t="str">
        <f t="shared" si="225"/>
        <v>Low</v>
      </c>
      <c r="O488">
        <f t="shared" si="226"/>
        <v>28.465</v>
      </c>
      <c r="P488" t="str">
        <f t="shared" si="227"/>
        <v>Low</v>
      </c>
    </row>
    <row r="489" spans="1:16" x14ac:dyDescent="0.25">
      <c r="A489">
        <v>1200</v>
      </c>
      <c r="B489">
        <v>23.76</v>
      </c>
      <c r="C489" t="s">
        <v>21</v>
      </c>
      <c r="D489" t="s">
        <v>18</v>
      </c>
      <c r="E489" s="3">
        <v>300</v>
      </c>
      <c r="F489">
        <v>-29.9</v>
      </c>
      <c r="G489">
        <v>1.38</v>
      </c>
      <c r="H489">
        <v>6.01</v>
      </c>
      <c r="I489">
        <v>25.29</v>
      </c>
      <c r="J489">
        <v>16</v>
      </c>
      <c r="K489" t="s">
        <v>16</v>
      </c>
      <c r="L489" t="str">
        <f t="shared" si="210"/>
        <v>VALID</v>
      </c>
      <c r="M489">
        <f t="shared" si="224"/>
        <v>0.37562499999999999</v>
      </c>
      <c r="N489" t="str">
        <f t="shared" si="225"/>
        <v>Low</v>
      </c>
      <c r="O489">
        <f t="shared" si="226"/>
        <v>13.334999999999999</v>
      </c>
      <c r="P489" t="str">
        <f t="shared" si="227"/>
        <v>Low</v>
      </c>
    </row>
    <row r="490" spans="1:16" x14ac:dyDescent="0.25">
      <c r="A490">
        <v>300</v>
      </c>
      <c r="B490">
        <v>9.39</v>
      </c>
      <c r="C490" t="s">
        <v>21</v>
      </c>
      <c r="D490" t="s">
        <v>17</v>
      </c>
      <c r="E490" s="3">
        <v>150</v>
      </c>
      <c r="F490">
        <v>41.2</v>
      </c>
      <c r="G490">
        <v>11.27</v>
      </c>
      <c r="H490">
        <v>4.09</v>
      </c>
      <c r="I490">
        <v>43.56</v>
      </c>
      <c r="J490">
        <v>20</v>
      </c>
      <c r="K490" t="s">
        <v>13</v>
      </c>
      <c r="L490" t="str">
        <f t="shared" si="210"/>
        <v>VALID</v>
      </c>
      <c r="M490">
        <f t="shared" si="224"/>
        <v>0.20449999999999999</v>
      </c>
      <c r="N490" t="str">
        <f t="shared" si="225"/>
        <v>Low</v>
      </c>
      <c r="O490">
        <f t="shared" si="226"/>
        <v>27.414999999999999</v>
      </c>
      <c r="P490" t="str">
        <f t="shared" si="227"/>
        <v>Low</v>
      </c>
    </row>
    <row r="491" spans="1:16" x14ac:dyDescent="0.25">
      <c r="A491">
        <v>300</v>
      </c>
      <c r="B491">
        <v>10.42</v>
      </c>
      <c r="C491" t="s">
        <v>21</v>
      </c>
      <c r="D491" t="s">
        <v>12</v>
      </c>
      <c r="E491" s="3">
        <v>600</v>
      </c>
      <c r="F491">
        <v>32.5</v>
      </c>
      <c r="G491">
        <v>19.329999999999998</v>
      </c>
      <c r="H491">
        <v>4.6399999999999997</v>
      </c>
      <c r="I491">
        <v>44.53</v>
      </c>
      <c r="J491">
        <v>3</v>
      </c>
      <c r="K491" t="s">
        <v>13</v>
      </c>
      <c r="L491" t="str">
        <f t="shared" si="210"/>
        <v>VALID</v>
      </c>
      <c r="M491">
        <f t="shared" si="224"/>
        <v>1.5466666666666666</v>
      </c>
      <c r="N491" t="str">
        <f t="shared" si="225"/>
        <v>Low</v>
      </c>
      <c r="O491">
        <f t="shared" si="226"/>
        <v>31.93</v>
      </c>
      <c r="P491" t="str">
        <f t="shared" si="227"/>
        <v>Medium</v>
      </c>
    </row>
    <row r="492" spans="1:16" x14ac:dyDescent="0.25">
      <c r="A492">
        <v>800</v>
      </c>
      <c r="B492">
        <v>29.29</v>
      </c>
      <c r="C492" t="s">
        <v>19</v>
      </c>
      <c r="D492" t="s">
        <v>18</v>
      </c>
      <c r="E492" s="3">
        <v>150</v>
      </c>
      <c r="F492">
        <v>76.099999999999994</v>
      </c>
      <c r="G492">
        <v>10.210000000000001</v>
      </c>
      <c r="H492">
        <v>7</v>
      </c>
      <c r="I492">
        <v>23.9</v>
      </c>
      <c r="J492">
        <v>3</v>
      </c>
      <c r="K492" t="s">
        <v>16</v>
      </c>
      <c r="L492" t="str">
        <f t="shared" si="210"/>
        <v>VALID</v>
      </c>
      <c r="M492">
        <f t="shared" si="224"/>
        <v>2.3333333333333335</v>
      </c>
      <c r="N492" t="str">
        <f t="shared" si="225"/>
        <v>Low</v>
      </c>
      <c r="O492">
        <f t="shared" si="226"/>
        <v>17.055</v>
      </c>
      <c r="P492" t="str">
        <f t="shared" si="227"/>
        <v>Low</v>
      </c>
    </row>
    <row r="493" spans="1:16" x14ac:dyDescent="0.25">
      <c r="A493">
        <v>1500</v>
      </c>
      <c r="B493">
        <v>32.909999999999997</v>
      </c>
      <c r="C493" t="s">
        <v>11</v>
      </c>
      <c r="D493" t="s">
        <v>20</v>
      </c>
      <c r="E493" s="3">
        <v>150</v>
      </c>
      <c r="F493">
        <v>112.7</v>
      </c>
      <c r="G493">
        <v>9.6199999999999992</v>
      </c>
      <c r="H493">
        <v>6.03</v>
      </c>
      <c r="I493">
        <v>18.32</v>
      </c>
      <c r="J493">
        <v>17</v>
      </c>
      <c r="K493" t="s">
        <v>16</v>
      </c>
      <c r="L493" t="str">
        <f t="shared" si="210"/>
        <v>VALID</v>
      </c>
      <c r="M493">
        <f t="shared" si="224"/>
        <v>0.3547058823529412</v>
      </c>
      <c r="N493" t="str">
        <f t="shared" si="225"/>
        <v>Low</v>
      </c>
      <c r="O493">
        <f t="shared" si="226"/>
        <v>13.969999999999999</v>
      </c>
      <c r="P493" t="str">
        <f t="shared" si="227"/>
        <v>Low</v>
      </c>
    </row>
    <row r="494" spans="1:16" x14ac:dyDescent="0.25">
      <c r="A494">
        <v>200</v>
      </c>
      <c r="B494">
        <v>11.11</v>
      </c>
      <c r="C494" t="s">
        <v>11</v>
      </c>
      <c r="D494" t="s">
        <v>15</v>
      </c>
      <c r="E494" s="3">
        <v>150</v>
      </c>
      <c r="F494">
        <v>6.1</v>
      </c>
      <c r="G494">
        <v>14.49</v>
      </c>
      <c r="H494">
        <v>3.41</v>
      </c>
      <c r="I494">
        <v>30.69</v>
      </c>
      <c r="J494">
        <v>23</v>
      </c>
      <c r="K494" t="s">
        <v>13</v>
      </c>
      <c r="L494" t="str">
        <f t="shared" si="210"/>
        <v>VALID</v>
      </c>
      <c r="M494">
        <f t="shared" si="224"/>
        <v>0.14826086956521739</v>
      </c>
      <c r="N494" t="str">
        <f t="shared" si="225"/>
        <v>Low</v>
      </c>
      <c r="O494">
        <f t="shared" si="226"/>
        <v>22.59</v>
      </c>
      <c r="P494" t="str">
        <f t="shared" si="227"/>
        <v>Low</v>
      </c>
    </row>
    <row r="495" spans="1:16" x14ac:dyDescent="0.25">
      <c r="A495">
        <v>300</v>
      </c>
      <c r="B495">
        <v>13.83</v>
      </c>
      <c r="C495" t="s">
        <v>11</v>
      </c>
      <c r="D495" t="s">
        <v>18</v>
      </c>
      <c r="E495" s="3">
        <v>300</v>
      </c>
      <c r="F495">
        <v>76</v>
      </c>
      <c r="G495">
        <v>11.2</v>
      </c>
      <c r="H495">
        <v>2.95</v>
      </c>
      <c r="I495">
        <v>21.33</v>
      </c>
      <c r="J495">
        <v>3</v>
      </c>
      <c r="K495" t="s">
        <v>13</v>
      </c>
      <c r="L495" t="str">
        <f t="shared" si="210"/>
        <v>VALID</v>
      </c>
      <c r="M495">
        <f t="shared" si="224"/>
        <v>0.98333333333333339</v>
      </c>
      <c r="N495" t="str">
        <f t="shared" si="225"/>
        <v>Low</v>
      </c>
      <c r="O495">
        <f t="shared" si="226"/>
        <v>16.265000000000001</v>
      </c>
      <c r="P495" t="str">
        <f t="shared" si="227"/>
        <v>Low</v>
      </c>
    </row>
    <row r="496" spans="1:16" x14ac:dyDescent="0.25">
      <c r="A496">
        <v>1000</v>
      </c>
      <c r="B496">
        <v>29.05</v>
      </c>
      <c r="C496" t="s">
        <v>14</v>
      </c>
      <c r="D496" t="s">
        <v>15</v>
      </c>
      <c r="E496" s="3">
        <v>1500</v>
      </c>
      <c r="F496">
        <v>29.6</v>
      </c>
      <c r="G496">
        <v>7.47</v>
      </c>
      <c r="H496">
        <v>9.6300000000000008</v>
      </c>
      <c r="I496">
        <v>33.15</v>
      </c>
      <c r="J496">
        <v>14</v>
      </c>
      <c r="K496" t="s">
        <v>16</v>
      </c>
      <c r="L496" t="str">
        <f t="shared" si="210"/>
        <v>VALID</v>
      </c>
      <c r="M496">
        <f t="shared" si="224"/>
        <v>0.68785714285714294</v>
      </c>
      <c r="N496" t="str">
        <f t="shared" si="225"/>
        <v>Medium</v>
      </c>
      <c r="O496">
        <f t="shared" si="226"/>
        <v>20.309999999999999</v>
      </c>
      <c r="P496" t="str">
        <f t="shared" si="227"/>
        <v>Low</v>
      </c>
    </row>
    <row r="497" spans="1:16" x14ac:dyDescent="0.25">
      <c r="A497">
        <v>1500</v>
      </c>
      <c r="B497">
        <v>47.89</v>
      </c>
      <c r="C497" t="s">
        <v>19</v>
      </c>
      <c r="D497" t="s">
        <v>15</v>
      </c>
      <c r="E497" s="3">
        <v>2500</v>
      </c>
      <c r="F497">
        <v>56.1</v>
      </c>
      <c r="G497">
        <v>0.82</v>
      </c>
      <c r="H497">
        <v>9.49</v>
      </c>
      <c r="I497">
        <v>19.82</v>
      </c>
      <c r="J497">
        <v>7</v>
      </c>
      <c r="K497" t="s">
        <v>16</v>
      </c>
      <c r="L497" t="str">
        <f t="shared" si="210"/>
        <v>VALID</v>
      </c>
      <c r="M497">
        <f t="shared" si="224"/>
        <v>1.3557142857142856</v>
      </c>
      <c r="N497" t="str">
        <f t="shared" si="225"/>
        <v>Medium</v>
      </c>
      <c r="O497">
        <f t="shared" si="226"/>
        <v>10.32</v>
      </c>
      <c r="P497" t="str">
        <f t="shared" si="227"/>
        <v>Low</v>
      </c>
    </row>
    <row r="498" spans="1:16" x14ac:dyDescent="0.25">
      <c r="A498">
        <v>50</v>
      </c>
      <c r="B498">
        <v>5.33</v>
      </c>
      <c r="C498" t="s">
        <v>21</v>
      </c>
      <c r="D498" t="s">
        <v>18</v>
      </c>
      <c r="E498" s="3">
        <v>900</v>
      </c>
      <c r="F498">
        <v>95.9</v>
      </c>
      <c r="G498">
        <v>13.51</v>
      </c>
      <c r="H498">
        <v>3.77</v>
      </c>
      <c r="I498">
        <v>70.73</v>
      </c>
      <c r="J498">
        <v>13</v>
      </c>
      <c r="K498" t="s">
        <v>13</v>
      </c>
      <c r="L498" t="str">
        <f t="shared" si="210"/>
        <v>VALID</v>
      </c>
      <c r="M498">
        <f t="shared" si="224"/>
        <v>0.28999999999999998</v>
      </c>
      <c r="N498" t="str">
        <f t="shared" si="225"/>
        <v>Low</v>
      </c>
      <c r="O498">
        <f t="shared" si="226"/>
        <v>42.120000000000005</v>
      </c>
      <c r="P498" t="str">
        <f t="shared" si="227"/>
        <v>Medium</v>
      </c>
    </row>
    <row r="499" spans="1:16" x14ac:dyDescent="0.25">
      <c r="A499">
        <v>1000</v>
      </c>
      <c r="B499">
        <v>33.31</v>
      </c>
      <c r="C499" t="s">
        <v>11</v>
      </c>
      <c r="D499" t="s">
        <v>17</v>
      </c>
      <c r="E499" s="3">
        <v>300</v>
      </c>
      <c r="F499">
        <v>105.7</v>
      </c>
      <c r="G499">
        <v>3.86</v>
      </c>
      <c r="H499">
        <v>8.2899999999999991</v>
      </c>
      <c r="I499">
        <v>24.89</v>
      </c>
      <c r="J499">
        <v>20</v>
      </c>
      <c r="K499" t="s">
        <v>16</v>
      </c>
      <c r="L499" t="str">
        <f t="shared" si="210"/>
        <v>VALID</v>
      </c>
      <c r="M499">
        <f t="shared" si="224"/>
        <v>0.41449999999999998</v>
      </c>
      <c r="N499" t="str">
        <f t="shared" si="225"/>
        <v>Low</v>
      </c>
      <c r="O499">
        <f t="shared" si="226"/>
        <v>14.375</v>
      </c>
      <c r="P499" t="str">
        <f t="shared" si="227"/>
        <v>Low</v>
      </c>
    </row>
    <row r="500" spans="1:16" x14ac:dyDescent="0.25">
      <c r="A500">
        <v>400</v>
      </c>
      <c r="B500">
        <v>18.41</v>
      </c>
      <c r="C500" t="s">
        <v>11</v>
      </c>
      <c r="D500" t="s">
        <v>15</v>
      </c>
      <c r="E500" s="3">
        <v>2500</v>
      </c>
      <c r="F500">
        <v>25.7</v>
      </c>
      <c r="G500">
        <v>5.31</v>
      </c>
      <c r="H500">
        <v>2.71</v>
      </c>
      <c r="I500">
        <v>14.72</v>
      </c>
      <c r="J500">
        <v>16</v>
      </c>
      <c r="K500" t="s">
        <v>13</v>
      </c>
      <c r="L500" t="str">
        <f t="shared" si="210"/>
        <v>VALID</v>
      </c>
      <c r="M500">
        <f t="shared" si="224"/>
        <v>0.169375</v>
      </c>
      <c r="N500" t="str">
        <f t="shared" si="225"/>
        <v>Medium</v>
      </c>
      <c r="O500">
        <f t="shared" si="226"/>
        <v>10.015000000000001</v>
      </c>
      <c r="P500" t="str">
        <f t="shared" si="227"/>
        <v>Low</v>
      </c>
    </row>
    <row r="501" spans="1:16" hidden="1" x14ac:dyDescent="0.25">
      <c r="A501">
        <v>150</v>
      </c>
      <c r="B501">
        <v>5.98</v>
      </c>
      <c r="C501" t="s">
        <v>22</v>
      </c>
      <c r="D501" t="s">
        <v>17</v>
      </c>
      <c r="E501">
        <v>2500</v>
      </c>
      <c r="F501">
        <v>-20.8</v>
      </c>
      <c r="G501">
        <v>6.05</v>
      </c>
      <c r="H501">
        <v>6.14</v>
      </c>
      <c r="I501">
        <v>102.68</v>
      </c>
      <c r="J501">
        <v>20</v>
      </c>
      <c r="K501" t="s">
        <v>16</v>
      </c>
      <c r="L501" t="str">
        <f t="shared" si="210"/>
        <v>INVALID</v>
      </c>
    </row>
    <row r="502" spans="1:16" x14ac:dyDescent="0.25">
      <c r="A502">
        <v>800</v>
      </c>
      <c r="B502">
        <v>29.96</v>
      </c>
      <c r="C502" t="s">
        <v>21</v>
      </c>
      <c r="D502" t="s">
        <v>15</v>
      </c>
      <c r="E502" s="3">
        <v>2500</v>
      </c>
      <c r="F502">
        <v>29</v>
      </c>
      <c r="G502">
        <v>1.98</v>
      </c>
      <c r="H502">
        <v>2.13</v>
      </c>
      <c r="I502">
        <v>7.11</v>
      </c>
      <c r="J502">
        <v>15</v>
      </c>
      <c r="K502" t="s">
        <v>13</v>
      </c>
      <c r="L502" t="str">
        <f t="shared" si="210"/>
        <v>VALID</v>
      </c>
      <c r="M502">
        <f t="shared" ref="M502:M506" si="228">IF(J502&gt;0,H502/J502," ")</f>
        <v>0.14199999999999999</v>
      </c>
      <c r="N502" t="str">
        <f t="shared" ref="N502:N506" si="229">IF(ISNUMBER(E502),IF(E502&lt;1000,"Low",IF(E502&lt;3000,"Medium","High")),"Unknown")</f>
        <v>Medium</v>
      </c>
      <c r="O502">
        <f t="shared" ref="O502:O506" si="230">(G502+I502)/2</f>
        <v>4.5449999999999999</v>
      </c>
      <c r="P502" t="str">
        <f t="shared" ref="P502:P506" si="231">IF(O502&lt;30,"Low",IF(O502&lt;60,"Medium","High"))</f>
        <v>Low</v>
      </c>
    </row>
    <row r="503" spans="1:16" x14ac:dyDescent="0.25">
      <c r="A503">
        <v>300</v>
      </c>
      <c r="B503">
        <v>8.74</v>
      </c>
      <c r="C503" t="s">
        <v>19</v>
      </c>
      <c r="D503" t="s">
        <v>15</v>
      </c>
      <c r="E503" s="3">
        <v>1500</v>
      </c>
      <c r="F503">
        <v>43.5</v>
      </c>
      <c r="G503">
        <v>15.97</v>
      </c>
      <c r="H503">
        <v>8.42</v>
      </c>
      <c r="I503">
        <v>96.34</v>
      </c>
      <c r="J503">
        <v>25</v>
      </c>
      <c r="K503" t="s">
        <v>16</v>
      </c>
      <c r="L503" t="str">
        <f t="shared" si="210"/>
        <v>VALID</v>
      </c>
      <c r="M503">
        <f t="shared" si="228"/>
        <v>0.33679999999999999</v>
      </c>
      <c r="N503" t="str">
        <f t="shared" si="229"/>
        <v>Medium</v>
      </c>
      <c r="O503">
        <f t="shared" si="230"/>
        <v>56.155000000000001</v>
      </c>
      <c r="P503" t="str">
        <f t="shared" si="231"/>
        <v>Medium</v>
      </c>
    </row>
    <row r="504" spans="1:16" x14ac:dyDescent="0.25">
      <c r="A504">
        <v>150</v>
      </c>
      <c r="B504">
        <v>5.21</v>
      </c>
      <c r="C504" t="s">
        <v>22</v>
      </c>
      <c r="D504" t="s">
        <v>20</v>
      </c>
      <c r="E504" s="3">
        <v>150</v>
      </c>
      <c r="F504">
        <v>91.9</v>
      </c>
      <c r="G504">
        <v>5.83</v>
      </c>
      <c r="H504">
        <v>1.33</v>
      </c>
      <c r="I504">
        <v>25.53</v>
      </c>
      <c r="J504">
        <v>24</v>
      </c>
      <c r="K504" t="s">
        <v>23</v>
      </c>
      <c r="L504" t="str">
        <f t="shared" si="210"/>
        <v>VALID</v>
      </c>
      <c r="M504">
        <f t="shared" si="228"/>
        <v>5.541666666666667E-2</v>
      </c>
      <c r="N504" t="str">
        <f t="shared" si="229"/>
        <v>Low</v>
      </c>
      <c r="O504">
        <f t="shared" si="230"/>
        <v>15.68</v>
      </c>
      <c r="P504" t="str">
        <f t="shared" si="231"/>
        <v>Low</v>
      </c>
    </row>
    <row r="505" spans="1:16" x14ac:dyDescent="0.25">
      <c r="A505">
        <v>600</v>
      </c>
      <c r="B505">
        <v>21.1</v>
      </c>
      <c r="C505" t="s">
        <v>11</v>
      </c>
      <c r="D505" t="s">
        <v>17</v>
      </c>
      <c r="E505" s="3">
        <v>1500</v>
      </c>
      <c r="F505">
        <v>12.8</v>
      </c>
      <c r="G505">
        <v>3.44</v>
      </c>
      <c r="H505">
        <v>9.8699999999999992</v>
      </c>
      <c r="I505">
        <v>46.78</v>
      </c>
      <c r="J505">
        <v>15</v>
      </c>
      <c r="K505" t="s">
        <v>16</v>
      </c>
      <c r="L505" t="str">
        <f t="shared" si="210"/>
        <v>VALID</v>
      </c>
      <c r="M505">
        <f t="shared" si="228"/>
        <v>0.65799999999999992</v>
      </c>
      <c r="N505" t="str">
        <f t="shared" si="229"/>
        <v>Medium</v>
      </c>
      <c r="O505">
        <f t="shared" si="230"/>
        <v>25.11</v>
      </c>
      <c r="P505" t="str">
        <f t="shared" si="231"/>
        <v>Low</v>
      </c>
    </row>
    <row r="506" spans="1:16" x14ac:dyDescent="0.25">
      <c r="A506">
        <v>1000</v>
      </c>
      <c r="B506">
        <v>32.07</v>
      </c>
      <c r="C506" t="s">
        <v>22</v>
      </c>
      <c r="D506" t="s">
        <v>17</v>
      </c>
      <c r="E506" s="3">
        <v>150</v>
      </c>
      <c r="F506">
        <v>100.7</v>
      </c>
      <c r="G506">
        <v>0.3</v>
      </c>
      <c r="H506">
        <v>4.46</v>
      </c>
      <c r="I506">
        <v>13.91</v>
      </c>
      <c r="J506">
        <v>22</v>
      </c>
      <c r="K506" t="s">
        <v>13</v>
      </c>
      <c r="L506" t="str">
        <f t="shared" si="210"/>
        <v>VALID</v>
      </c>
      <c r="M506">
        <f t="shared" si="228"/>
        <v>0.20272727272727273</v>
      </c>
      <c r="N506" t="str">
        <f t="shared" si="229"/>
        <v>Low</v>
      </c>
      <c r="O506">
        <f t="shared" si="230"/>
        <v>7.1050000000000004</v>
      </c>
      <c r="P506" t="str">
        <f t="shared" si="231"/>
        <v>Low</v>
      </c>
    </row>
    <row r="507" spans="1:16" hidden="1" x14ac:dyDescent="0.25">
      <c r="A507">
        <v>100</v>
      </c>
      <c r="B507">
        <v>5.72</v>
      </c>
      <c r="C507" t="s">
        <v>22</v>
      </c>
      <c r="D507" t="s">
        <v>15</v>
      </c>
      <c r="E507">
        <v>150</v>
      </c>
      <c r="F507">
        <v>-6.9</v>
      </c>
      <c r="G507">
        <v>9.07</v>
      </c>
      <c r="H507">
        <v>5.8</v>
      </c>
      <c r="I507">
        <v>101.4</v>
      </c>
      <c r="J507">
        <v>17</v>
      </c>
      <c r="K507" t="s">
        <v>16</v>
      </c>
      <c r="L507" t="str">
        <f t="shared" si="210"/>
        <v>INVALID</v>
      </c>
    </row>
    <row r="508" spans="1:16" x14ac:dyDescent="0.25">
      <c r="A508">
        <v>250</v>
      </c>
      <c r="B508">
        <v>13.01</v>
      </c>
      <c r="C508" t="s">
        <v>19</v>
      </c>
      <c r="D508" t="s">
        <v>20</v>
      </c>
      <c r="E508" s="3">
        <v>600</v>
      </c>
      <c r="F508">
        <v>16.8</v>
      </c>
      <c r="G508">
        <v>18.32</v>
      </c>
      <c r="H508">
        <v>4.03</v>
      </c>
      <c r="I508">
        <v>30.98</v>
      </c>
      <c r="J508">
        <v>5</v>
      </c>
      <c r="K508" t="s">
        <v>13</v>
      </c>
      <c r="L508" t="str">
        <f t="shared" si="210"/>
        <v>VALID</v>
      </c>
      <c r="M508">
        <f t="shared" ref="M508:M523" si="232">IF(J508&gt;0,H508/J508," ")</f>
        <v>0.80600000000000005</v>
      </c>
      <c r="N508" t="str">
        <f t="shared" ref="N508:N523" si="233">IF(ISNUMBER(E508),IF(E508&lt;1000,"Low",IF(E508&lt;3000,"Medium","High")),"Unknown")</f>
        <v>Low</v>
      </c>
      <c r="O508">
        <f t="shared" ref="O508:O523" si="234">(G508+I508)/2</f>
        <v>24.65</v>
      </c>
      <c r="P508" t="str">
        <f t="shared" ref="P508:P523" si="235">IF(O508&lt;30,"Low",IF(O508&lt;60,"Medium","High"))</f>
        <v>Low</v>
      </c>
    </row>
    <row r="509" spans="1:16" x14ac:dyDescent="0.25">
      <c r="A509">
        <v>500</v>
      </c>
      <c r="B509">
        <v>21.57</v>
      </c>
      <c r="C509" t="s">
        <v>22</v>
      </c>
      <c r="D509" t="s">
        <v>12</v>
      </c>
      <c r="E509" s="3">
        <v>2500</v>
      </c>
      <c r="F509">
        <v>-24.6</v>
      </c>
      <c r="G509">
        <v>4.97</v>
      </c>
      <c r="H509">
        <v>7.54</v>
      </c>
      <c r="I509">
        <v>34.96</v>
      </c>
      <c r="J509">
        <v>14</v>
      </c>
      <c r="K509" t="s">
        <v>16</v>
      </c>
      <c r="L509" t="str">
        <f t="shared" si="210"/>
        <v>VALID</v>
      </c>
      <c r="M509">
        <f t="shared" si="232"/>
        <v>0.53857142857142859</v>
      </c>
      <c r="N509" t="str">
        <f t="shared" si="233"/>
        <v>Medium</v>
      </c>
      <c r="O509">
        <f t="shared" si="234"/>
        <v>19.965</v>
      </c>
      <c r="P509" t="str">
        <f t="shared" si="235"/>
        <v>Low</v>
      </c>
    </row>
    <row r="510" spans="1:16" x14ac:dyDescent="0.25">
      <c r="A510">
        <v>200</v>
      </c>
      <c r="B510">
        <v>10.76</v>
      </c>
      <c r="C510" t="s">
        <v>21</v>
      </c>
      <c r="D510" t="s">
        <v>18</v>
      </c>
      <c r="E510" s="3">
        <v>1500</v>
      </c>
      <c r="F510">
        <v>4.0999999999999996</v>
      </c>
      <c r="G510">
        <v>14.69</v>
      </c>
      <c r="H510">
        <v>4.04</v>
      </c>
      <c r="I510">
        <v>37.549999999999997</v>
      </c>
      <c r="J510">
        <v>24</v>
      </c>
      <c r="K510" t="s">
        <v>13</v>
      </c>
      <c r="L510" t="str">
        <f t="shared" si="210"/>
        <v>VALID</v>
      </c>
      <c r="M510">
        <f t="shared" si="232"/>
        <v>0.16833333333333333</v>
      </c>
      <c r="N510" t="str">
        <f t="shared" si="233"/>
        <v>Medium</v>
      </c>
      <c r="O510">
        <f t="shared" si="234"/>
        <v>26.119999999999997</v>
      </c>
      <c r="P510" t="str">
        <f t="shared" si="235"/>
        <v>Low</v>
      </c>
    </row>
    <row r="511" spans="1:16" x14ac:dyDescent="0.25">
      <c r="A511">
        <v>400</v>
      </c>
      <c r="B511">
        <v>18.8</v>
      </c>
      <c r="C511" t="s">
        <v>14</v>
      </c>
      <c r="D511" t="s">
        <v>15</v>
      </c>
      <c r="E511" s="3">
        <v>900</v>
      </c>
      <c r="F511">
        <v>28.7</v>
      </c>
      <c r="G511">
        <v>3.18</v>
      </c>
      <c r="H511">
        <v>3.37</v>
      </c>
      <c r="I511">
        <v>17.93</v>
      </c>
      <c r="J511">
        <v>4</v>
      </c>
      <c r="K511" t="s">
        <v>13</v>
      </c>
      <c r="L511" t="str">
        <f t="shared" si="210"/>
        <v>VALID</v>
      </c>
      <c r="M511">
        <f t="shared" si="232"/>
        <v>0.84250000000000003</v>
      </c>
      <c r="N511" t="str">
        <f t="shared" si="233"/>
        <v>Low</v>
      </c>
      <c r="O511">
        <f t="shared" si="234"/>
        <v>10.555</v>
      </c>
      <c r="P511" t="str">
        <f t="shared" si="235"/>
        <v>Low</v>
      </c>
    </row>
    <row r="512" spans="1:16" x14ac:dyDescent="0.25">
      <c r="A512">
        <v>600</v>
      </c>
      <c r="B512">
        <v>24.05</v>
      </c>
      <c r="C512" t="s">
        <v>14</v>
      </c>
      <c r="D512" t="s">
        <v>15</v>
      </c>
      <c r="E512" s="3">
        <v>2500</v>
      </c>
      <c r="F512">
        <v>76.400000000000006</v>
      </c>
      <c r="G512">
        <v>10.18</v>
      </c>
      <c r="H512">
        <v>2.64</v>
      </c>
      <c r="I512">
        <v>10.98</v>
      </c>
      <c r="J512">
        <v>21</v>
      </c>
      <c r="K512" t="s">
        <v>13</v>
      </c>
      <c r="L512" t="str">
        <f t="shared" si="210"/>
        <v>VALID</v>
      </c>
      <c r="M512">
        <f t="shared" si="232"/>
        <v>0.12571428571428572</v>
      </c>
      <c r="N512" t="str">
        <f t="shared" si="233"/>
        <v>Medium</v>
      </c>
      <c r="O512">
        <f t="shared" si="234"/>
        <v>10.58</v>
      </c>
      <c r="P512" t="str">
        <f t="shared" si="235"/>
        <v>Low</v>
      </c>
    </row>
    <row r="513" spans="1:16" x14ac:dyDescent="0.25">
      <c r="A513">
        <v>500</v>
      </c>
      <c r="B513">
        <v>17.53</v>
      </c>
      <c r="C513" t="s">
        <v>14</v>
      </c>
      <c r="D513" t="s">
        <v>15</v>
      </c>
      <c r="E513" s="3">
        <v>600</v>
      </c>
      <c r="F513">
        <v>61.3</v>
      </c>
      <c r="G513">
        <v>11.49</v>
      </c>
      <c r="H513">
        <v>3.24</v>
      </c>
      <c r="I513">
        <v>18.48</v>
      </c>
      <c r="J513">
        <v>18</v>
      </c>
      <c r="K513" t="s">
        <v>13</v>
      </c>
      <c r="L513" t="str">
        <f t="shared" si="210"/>
        <v>VALID</v>
      </c>
      <c r="M513">
        <f t="shared" si="232"/>
        <v>0.18000000000000002</v>
      </c>
      <c r="N513" t="str">
        <f t="shared" si="233"/>
        <v>Low</v>
      </c>
      <c r="O513">
        <f t="shared" si="234"/>
        <v>14.984999999999999</v>
      </c>
      <c r="P513" t="str">
        <f t="shared" si="235"/>
        <v>Low</v>
      </c>
    </row>
    <row r="514" spans="1:16" x14ac:dyDescent="0.25">
      <c r="A514">
        <v>300</v>
      </c>
      <c r="B514">
        <v>7.53</v>
      </c>
      <c r="C514" t="s">
        <v>19</v>
      </c>
      <c r="D514" t="s">
        <v>15</v>
      </c>
      <c r="E514" s="3">
        <v>900</v>
      </c>
      <c r="F514">
        <v>0.5</v>
      </c>
      <c r="G514">
        <v>2.82</v>
      </c>
      <c r="H514">
        <v>1.99</v>
      </c>
      <c r="I514">
        <v>26.43</v>
      </c>
      <c r="J514">
        <v>7</v>
      </c>
      <c r="K514" t="s">
        <v>23</v>
      </c>
      <c r="L514" t="str">
        <f t="shared" si="210"/>
        <v>VALID</v>
      </c>
      <c r="M514">
        <f t="shared" si="232"/>
        <v>0.28428571428571431</v>
      </c>
      <c r="N514" t="str">
        <f t="shared" si="233"/>
        <v>Low</v>
      </c>
      <c r="O514">
        <f t="shared" si="234"/>
        <v>14.625</v>
      </c>
      <c r="P514" t="str">
        <f t="shared" si="235"/>
        <v>Low</v>
      </c>
    </row>
    <row r="515" spans="1:16" x14ac:dyDescent="0.25">
      <c r="A515">
        <v>600</v>
      </c>
      <c r="B515">
        <v>26.89</v>
      </c>
      <c r="C515" t="s">
        <v>19</v>
      </c>
      <c r="D515" t="s">
        <v>17</v>
      </c>
      <c r="E515" s="3">
        <v>600</v>
      </c>
      <c r="F515">
        <v>34.5</v>
      </c>
      <c r="G515">
        <v>19.09</v>
      </c>
      <c r="H515">
        <v>3.55</v>
      </c>
      <c r="I515">
        <v>13.2</v>
      </c>
      <c r="J515">
        <v>5</v>
      </c>
      <c r="K515" t="s">
        <v>13</v>
      </c>
      <c r="L515" t="str">
        <f t="shared" ref="L515:L578" si="236">IF(H515&gt;B515,"INVALID","VALID")</f>
        <v>VALID</v>
      </c>
      <c r="M515">
        <f t="shared" si="232"/>
        <v>0.71</v>
      </c>
      <c r="N515" t="str">
        <f t="shared" si="233"/>
        <v>Low</v>
      </c>
      <c r="O515">
        <f t="shared" si="234"/>
        <v>16.145</v>
      </c>
      <c r="P515" t="str">
        <f t="shared" si="235"/>
        <v>Low</v>
      </c>
    </row>
    <row r="516" spans="1:16" x14ac:dyDescent="0.25">
      <c r="A516">
        <v>250</v>
      </c>
      <c r="B516">
        <v>11.74</v>
      </c>
      <c r="C516" t="s">
        <v>22</v>
      </c>
      <c r="D516" t="s">
        <v>20</v>
      </c>
      <c r="E516" s="3">
        <v>1500</v>
      </c>
      <c r="F516">
        <v>53.8</v>
      </c>
      <c r="G516">
        <v>7.49</v>
      </c>
      <c r="H516">
        <v>8.1300000000000008</v>
      </c>
      <c r="I516">
        <v>69.25</v>
      </c>
      <c r="J516">
        <v>19</v>
      </c>
      <c r="K516" t="s">
        <v>16</v>
      </c>
      <c r="L516" t="str">
        <f t="shared" si="236"/>
        <v>VALID</v>
      </c>
      <c r="M516">
        <f t="shared" si="232"/>
        <v>0.42789473684210533</v>
      </c>
      <c r="N516" t="str">
        <f t="shared" si="233"/>
        <v>Medium</v>
      </c>
      <c r="O516">
        <f t="shared" si="234"/>
        <v>38.369999999999997</v>
      </c>
      <c r="P516" t="str">
        <f t="shared" si="235"/>
        <v>Medium</v>
      </c>
    </row>
    <row r="517" spans="1:16" x14ac:dyDescent="0.25">
      <c r="A517">
        <v>800</v>
      </c>
      <c r="B517">
        <v>14.26</v>
      </c>
      <c r="C517" t="s">
        <v>14</v>
      </c>
      <c r="D517" t="s">
        <v>15</v>
      </c>
      <c r="E517" s="3">
        <v>300</v>
      </c>
      <c r="F517">
        <v>-29.3</v>
      </c>
      <c r="G517">
        <v>11.27</v>
      </c>
      <c r="H517">
        <v>9.19</v>
      </c>
      <c r="I517">
        <v>64.45</v>
      </c>
      <c r="J517">
        <v>22</v>
      </c>
      <c r="K517" t="s">
        <v>16</v>
      </c>
      <c r="L517" t="str">
        <f t="shared" si="236"/>
        <v>VALID</v>
      </c>
      <c r="M517">
        <f t="shared" si="232"/>
        <v>0.41772727272727272</v>
      </c>
      <c r="N517" t="str">
        <f t="shared" si="233"/>
        <v>Low</v>
      </c>
      <c r="O517">
        <f t="shared" si="234"/>
        <v>37.86</v>
      </c>
      <c r="P517" t="str">
        <f t="shared" si="235"/>
        <v>Medium</v>
      </c>
    </row>
    <row r="518" spans="1:16" x14ac:dyDescent="0.25">
      <c r="A518">
        <v>400</v>
      </c>
      <c r="B518">
        <v>18.46</v>
      </c>
      <c r="C518" t="s">
        <v>19</v>
      </c>
      <c r="D518" t="s">
        <v>15</v>
      </c>
      <c r="E518" s="3">
        <v>300</v>
      </c>
      <c r="F518">
        <v>53.1</v>
      </c>
      <c r="G518">
        <v>15.98</v>
      </c>
      <c r="H518">
        <v>3.56</v>
      </c>
      <c r="I518">
        <v>19.28</v>
      </c>
      <c r="J518">
        <v>18</v>
      </c>
      <c r="K518" t="s">
        <v>13</v>
      </c>
      <c r="L518" t="str">
        <f t="shared" si="236"/>
        <v>VALID</v>
      </c>
      <c r="M518">
        <f t="shared" si="232"/>
        <v>0.19777777777777777</v>
      </c>
      <c r="N518" t="str">
        <f t="shared" si="233"/>
        <v>Low</v>
      </c>
      <c r="O518">
        <f t="shared" si="234"/>
        <v>17.630000000000003</v>
      </c>
      <c r="P518" t="str">
        <f t="shared" si="235"/>
        <v>Low</v>
      </c>
    </row>
    <row r="519" spans="1:16" x14ac:dyDescent="0.25">
      <c r="A519">
        <v>1200</v>
      </c>
      <c r="B519">
        <v>33.729999999999997</v>
      </c>
      <c r="C519" t="s">
        <v>14</v>
      </c>
      <c r="D519" t="s">
        <v>20</v>
      </c>
      <c r="E519" s="3">
        <v>150</v>
      </c>
      <c r="F519">
        <v>45.3</v>
      </c>
      <c r="G519">
        <v>10.81</v>
      </c>
      <c r="H519">
        <v>7.41</v>
      </c>
      <c r="I519">
        <v>21.97</v>
      </c>
      <c r="J519">
        <v>20</v>
      </c>
      <c r="K519" t="s">
        <v>16</v>
      </c>
      <c r="L519" t="str">
        <f t="shared" si="236"/>
        <v>VALID</v>
      </c>
      <c r="M519">
        <f t="shared" si="232"/>
        <v>0.3705</v>
      </c>
      <c r="N519" t="str">
        <f t="shared" si="233"/>
        <v>Low</v>
      </c>
      <c r="O519">
        <f t="shared" si="234"/>
        <v>16.39</v>
      </c>
      <c r="P519" t="str">
        <f t="shared" si="235"/>
        <v>Low</v>
      </c>
    </row>
    <row r="520" spans="1:16" x14ac:dyDescent="0.25">
      <c r="A520">
        <v>250</v>
      </c>
      <c r="B520">
        <v>8.5399999999999991</v>
      </c>
      <c r="C520" t="s">
        <v>21</v>
      </c>
      <c r="D520" t="s">
        <v>20</v>
      </c>
      <c r="E520" s="3">
        <v>300</v>
      </c>
      <c r="F520">
        <v>41</v>
      </c>
      <c r="G520">
        <v>12.97</v>
      </c>
      <c r="H520">
        <v>5.54</v>
      </c>
      <c r="I520">
        <v>64.87</v>
      </c>
      <c r="J520">
        <v>4</v>
      </c>
      <c r="K520" t="s">
        <v>16</v>
      </c>
      <c r="L520" t="str">
        <f t="shared" si="236"/>
        <v>VALID</v>
      </c>
      <c r="M520">
        <f t="shared" si="232"/>
        <v>1.385</v>
      </c>
      <c r="N520" t="str">
        <f t="shared" si="233"/>
        <v>Low</v>
      </c>
      <c r="O520">
        <f t="shared" si="234"/>
        <v>38.92</v>
      </c>
      <c r="P520" t="str">
        <f t="shared" si="235"/>
        <v>Medium</v>
      </c>
    </row>
    <row r="521" spans="1:16" x14ac:dyDescent="0.25">
      <c r="A521">
        <v>800</v>
      </c>
      <c r="B521">
        <v>20.75</v>
      </c>
      <c r="C521" t="s">
        <v>19</v>
      </c>
      <c r="D521" t="s">
        <v>15</v>
      </c>
      <c r="E521" s="3">
        <v>150</v>
      </c>
      <c r="F521">
        <v>-0.9</v>
      </c>
      <c r="G521">
        <v>6.09</v>
      </c>
      <c r="H521">
        <v>9.77</v>
      </c>
      <c r="I521">
        <v>47.08</v>
      </c>
      <c r="J521">
        <v>24</v>
      </c>
      <c r="K521" t="s">
        <v>16</v>
      </c>
      <c r="L521" t="str">
        <f t="shared" si="236"/>
        <v>VALID</v>
      </c>
      <c r="M521">
        <f t="shared" si="232"/>
        <v>0.4070833333333333</v>
      </c>
      <c r="N521" t="str">
        <f t="shared" si="233"/>
        <v>Low</v>
      </c>
      <c r="O521">
        <f t="shared" si="234"/>
        <v>26.585000000000001</v>
      </c>
      <c r="P521" t="str">
        <f t="shared" si="235"/>
        <v>Low</v>
      </c>
    </row>
    <row r="522" spans="1:16" x14ac:dyDescent="0.25">
      <c r="A522">
        <v>1000</v>
      </c>
      <c r="B522">
        <v>15.56</v>
      </c>
      <c r="C522" t="s">
        <v>22</v>
      </c>
      <c r="D522" t="s">
        <v>12</v>
      </c>
      <c r="E522" s="3">
        <v>300</v>
      </c>
      <c r="F522">
        <v>74.8</v>
      </c>
      <c r="G522">
        <v>3.19</v>
      </c>
      <c r="H522">
        <v>4.24</v>
      </c>
      <c r="I522">
        <v>27.25</v>
      </c>
      <c r="J522">
        <v>20</v>
      </c>
      <c r="K522" t="s">
        <v>13</v>
      </c>
      <c r="L522" t="str">
        <f t="shared" si="236"/>
        <v>VALID</v>
      </c>
      <c r="M522">
        <f t="shared" si="232"/>
        <v>0.21200000000000002</v>
      </c>
      <c r="N522" t="str">
        <f t="shared" si="233"/>
        <v>Low</v>
      </c>
      <c r="O522">
        <f t="shared" si="234"/>
        <v>15.22</v>
      </c>
      <c r="P522" t="str">
        <f t="shared" si="235"/>
        <v>Low</v>
      </c>
    </row>
    <row r="523" spans="1:16" x14ac:dyDescent="0.25">
      <c r="A523">
        <v>50</v>
      </c>
      <c r="B523">
        <v>4.6900000000000004</v>
      </c>
      <c r="C523" t="s">
        <v>19</v>
      </c>
      <c r="D523" t="s">
        <v>18</v>
      </c>
      <c r="E523" s="3">
        <v>150</v>
      </c>
      <c r="F523">
        <v>13.4</v>
      </c>
      <c r="G523">
        <v>0.67</v>
      </c>
      <c r="H523">
        <v>2.4300000000000002</v>
      </c>
      <c r="I523">
        <v>51.81</v>
      </c>
      <c r="J523">
        <v>18</v>
      </c>
      <c r="K523" t="s">
        <v>13</v>
      </c>
      <c r="L523" t="str">
        <f t="shared" si="236"/>
        <v>VALID</v>
      </c>
      <c r="M523">
        <f t="shared" si="232"/>
        <v>0.13500000000000001</v>
      </c>
      <c r="N523" t="str">
        <f t="shared" si="233"/>
        <v>Low</v>
      </c>
      <c r="O523">
        <f t="shared" si="234"/>
        <v>26.240000000000002</v>
      </c>
      <c r="P523" t="str">
        <f t="shared" si="235"/>
        <v>Low</v>
      </c>
    </row>
    <row r="524" spans="1:16" hidden="1" x14ac:dyDescent="0.25">
      <c r="A524">
        <v>150</v>
      </c>
      <c r="B524">
        <v>7.97</v>
      </c>
      <c r="C524" t="s">
        <v>21</v>
      </c>
      <c r="D524" t="s">
        <v>18</v>
      </c>
      <c r="E524">
        <v>150</v>
      </c>
      <c r="F524">
        <v>81.8</v>
      </c>
      <c r="G524">
        <v>5.16</v>
      </c>
      <c r="H524">
        <v>9.0500000000000007</v>
      </c>
      <c r="I524">
        <v>113.55</v>
      </c>
      <c r="J524">
        <v>20</v>
      </c>
      <c r="K524" t="s">
        <v>16</v>
      </c>
      <c r="L524" t="str">
        <f t="shared" si="236"/>
        <v>INVALID</v>
      </c>
    </row>
    <row r="525" spans="1:16" x14ac:dyDescent="0.25">
      <c r="A525">
        <v>200</v>
      </c>
      <c r="B525">
        <v>8.6199999999999992</v>
      </c>
      <c r="C525" t="s">
        <v>14</v>
      </c>
      <c r="D525" t="s">
        <v>15</v>
      </c>
      <c r="E525" s="3">
        <v>2500</v>
      </c>
      <c r="F525">
        <v>50.6</v>
      </c>
      <c r="G525">
        <v>10.45</v>
      </c>
      <c r="H525">
        <v>5.2</v>
      </c>
      <c r="I525">
        <v>60.32</v>
      </c>
      <c r="J525">
        <v>17</v>
      </c>
      <c r="K525" t="s">
        <v>16</v>
      </c>
      <c r="L525" t="str">
        <f t="shared" si="236"/>
        <v>VALID</v>
      </c>
      <c r="M525">
        <f t="shared" ref="M525" si="237">IF(J525&gt;0,H525/J525," ")</f>
        <v>0.30588235294117649</v>
      </c>
      <c r="N525" t="str">
        <f>IF(ISNUMBER(E525),IF(E525&lt;1000,"Low",IF(E525&lt;3000,"Medium","High")),"Unknown")</f>
        <v>Medium</v>
      </c>
      <c r="O525">
        <f>(G525+I525)/2</f>
        <v>35.384999999999998</v>
      </c>
      <c r="P525" t="str">
        <f>IF(O525&lt;30,"Low",IF(O525&lt;60,"Medium","High"))</f>
        <v>Medium</v>
      </c>
    </row>
    <row r="526" spans="1:16" hidden="1" x14ac:dyDescent="0.25">
      <c r="A526">
        <v>100</v>
      </c>
      <c r="B526">
        <v>4.13</v>
      </c>
      <c r="C526" t="s">
        <v>22</v>
      </c>
      <c r="D526" t="s">
        <v>20</v>
      </c>
      <c r="E526">
        <v>1500</v>
      </c>
      <c r="F526">
        <v>34</v>
      </c>
      <c r="G526">
        <v>13.27</v>
      </c>
      <c r="H526">
        <v>4.9800000000000004</v>
      </c>
      <c r="I526">
        <v>120.58</v>
      </c>
      <c r="J526">
        <v>21</v>
      </c>
      <c r="K526" t="s">
        <v>13</v>
      </c>
      <c r="L526" t="str">
        <f t="shared" si="236"/>
        <v>INVALID</v>
      </c>
    </row>
    <row r="527" spans="1:16" x14ac:dyDescent="0.25">
      <c r="A527">
        <v>1000</v>
      </c>
      <c r="B527">
        <v>21.65</v>
      </c>
      <c r="C527" t="s">
        <v>14</v>
      </c>
      <c r="D527" t="s">
        <v>18</v>
      </c>
      <c r="E527" s="3">
        <v>600</v>
      </c>
      <c r="F527">
        <v>45.9</v>
      </c>
      <c r="G527">
        <v>14.74</v>
      </c>
      <c r="H527">
        <v>0.8</v>
      </c>
      <c r="I527">
        <v>3.7</v>
      </c>
      <c r="J527">
        <v>23</v>
      </c>
      <c r="K527" t="s">
        <v>23</v>
      </c>
      <c r="L527" t="str">
        <f t="shared" si="236"/>
        <v>VALID</v>
      </c>
      <c r="M527">
        <f t="shared" ref="M527:M532" si="238">IF(J527&gt;0,H527/J527," ")</f>
        <v>3.4782608695652174E-2</v>
      </c>
      <c r="N527" t="str">
        <f t="shared" ref="N527:N532" si="239">IF(ISNUMBER(E527),IF(E527&lt;1000,"Low",IF(E527&lt;3000,"Medium","High")),"Unknown")</f>
        <v>Low</v>
      </c>
      <c r="O527">
        <f t="shared" ref="O527:O532" si="240">(G527+I527)/2</f>
        <v>9.2200000000000006</v>
      </c>
      <c r="P527" t="str">
        <f t="shared" ref="P527:P532" si="241">IF(O527&lt;30,"Low",IF(O527&lt;60,"Medium","High"))</f>
        <v>Low</v>
      </c>
    </row>
    <row r="528" spans="1:16" x14ac:dyDescent="0.25">
      <c r="A528">
        <v>1000</v>
      </c>
      <c r="B528">
        <v>21.54</v>
      </c>
      <c r="C528" t="s">
        <v>22</v>
      </c>
      <c r="D528" t="s">
        <v>20</v>
      </c>
      <c r="E528" s="3">
        <v>600</v>
      </c>
      <c r="F528">
        <v>33.299999999999997</v>
      </c>
      <c r="G528">
        <v>1.88</v>
      </c>
      <c r="H528">
        <v>2.09</v>
      </c>
      <c r="I528">
        <v>9.6999999999999993</v>
      </c>
      <c r="J528">
        <v>6</v>
      </c>
      <c r="K528" t="s">
        <v>13</v>
      </c>
      <c r="L528" t="str">
        <f t="shared" si="236"/>
        <v>VALID</v>
      </c>
      <c r="M528">
        <f t="shared" si="238"/>
        <v>0.34833333333333333</v>
      </c>
      <c r="N528" t="str">
        <f t="shared" si="239"/>
        <v>Low</v>
      </c>
      <c r="O528">
        <f t="shared" si="240"/>
        <v>5.7899999999999991</v>
      </c>
      <c r="P528" t="str">
        <f t="shared" si="241"/>
        <v>Low</v>
      </c>
    </row>
    <row r="529" spans="1:16" x14ac:dyDescent="0.25">
      <c r="A529">
        <v>250</v>
      </c>
      <c r="B529">
        <v>9.52</v>
      </c>
      <c r="C529" t="s">
        <v>19</v>
      </c>
      <c r="D529" t="s">
        <v>12</v>
      </c>
      <c r="E529" s="3">
        <v>600</v>
      </c>
      <c r="F529">
        <v>83.7</v>
      </c>
      <c r="G529">
        <v>19.54</v>
      </c>
      <c r="H529">
        <v>9.39</v>
      </c>
      <c r="I529">
        <v>98.63</v>
      </c>
      <c r="J529">
        <v>13</v>
      </c>
      <c r="K529" t="s">
        <v>16</v>
      </c>
      <c r="L529" t="str">
        <f t="shared" si="236"/>
        <v>VALID</v>
      </c>
      <c r="M529">
        <f t="shared" si="238"/>
        <v>0.72230769230769232</v>
      </c>
      <c r="N529" t="str">
        <f t="shared" si="239"/>
        <v>Low</v>
      </c>
      <c r="O529">
        <f t="shared" si="240"/>
        <v>59.084999999999994</v>
      </c>
      <c r="P529" t="str">
        <f t="shared" si="241"/>
        <v>Medium</v>
      </c>
    </row>
    <row r="530" spans="1:16" x14ac:dyDescent="0.25">
      <c r="A530">
        <v>250</v>
      </c>
      <c r="B530">
        <v>8.56</v>
      </c>
      <c r="C530" t="s">
        <v>22</v>
      </c>
      <c r="D530" t="s">
        <v>12</v>
      </c>
      <c r="E530" s="3">
        <v>600</v>
      </c>
      <c r="F530">
        <v>-2.6</v>
      </c>
      <c r="G530">
        <v>8.07</v>
      </c>
      <c r="H530">
        <v>8.43</v>
      </c>
      <c r="I530">
        <v>98.48</v>
      </c>
      <c r="J530">
        <v>7</v>
      </c>
      <c r="K530" t="s">
        <v>16</v>
      </c>
      <c r="L530" t="str">
        <f t="shared" si="236"/>
        <v>VALID</v>
      </c>
      <c r="M530">
        <f t="shared" si="238"/>
        <v>1.2042857142857142</v>
      </c>
      <c r="N530" t="str">
        <f t="shared" si="239"/>
        <v>Low</v>
      </c>
      <c r="O530">
        <f t="shared" si="240"/>
        <v>53.275000000000006</v>
      </c>
      <c r="P530" t="str">
        <f t="shared" si="241"/>
        <v>Medium</v>
      </c>
    </row>
    <row r="531" spans="1:16" x14ac:dyDescent="0.25">
      <c r="A531">
        <v>200</v>
      </c>
      <c r="B531">
        <v>8.86</v>
      </c>
      <c r="C531" t="s">
        <v>19</v>
      </c>
      <c r="D531" t="s">
        <v>15</v>
      </c>
      <c r="E531" s="3">
        <v>300</v>
      </c>
      <c r="F531">
        <v>-40.4</v>
      </c>
      <c r="G531">
        <v>9.44</v>
      </c>
      <c r="H531">
        <v>7.99</v>
      </c>
      <c r="I531">
        <v>90.18</v>
      </c>
      <c r="J531">
        <v>3</v>
      </c>
      <c r="K531" t="s">
        <v>16</v>
      </c>
      <c r="L531" t="str">
        <f t="shared" si="236"/>
        <v>VALID</v>
      </c>
      <c r="M531">
        <f t="shared" si="238"/>
        <v>2.6633333333333336</v>
      </c>
      <c r="N531" t="str">
        <f t="shared" si="239"/>
        <v>Low</v>
      </c>
      <c r="O531">
        <f t="shared" si="240"/>
        <v>49.81</v>
      </c>
      <c r="P531" t="str">
        <f t="shared" si="241"/>
        <v>Medium</v>
      </c>
    </row>
    <row r="532" spans="1:16" x14ac:dyDescent="0.25">
      <c r="A532">
        <v>100</v>
      </c>
      <c r="B532">
        <v>7.89</v>
      </c>
      <c r="C532" t="s">
        <v>22</v>
      </c>
      <c r="D532" t="s">
        <v>15</v>
      </c>
      <c r="E532" s="3">
        <v>600</v>
      </c>
      <c r="F532">
        <v>-32.200000000000003</v>
      </c>
      <c r="G532">
        <v>19.920000000000002</v>
      </c>
      <c r="H532">
        <v>3.05</v>
      </c>
      <c r="I532">
        <v>38.659999999999997</v>
      </c>
      <c r="J532">
        <v>11</v>
      </c>
      <c r="K532" t="s">
        <v>13</v>
      </c>
      <c r="L532" t="str">
        <f t="shared" si="236"/>
        <v>VALID</v>
      </c>
      <c r="M532">
        <f t="shared" si="238"/>
        <v>0.27727272727272728</v>
      </c>
      <c r="N532" t="str">
        <f t="shared" si="239"/>
        <v>Low</v>
      </c>
      <c r="O532">
        <f t="shared" si="240"/>
        <v>29.29</v>
      </c>
      <c r="P532" t="str">
        <f t="shared" si="241"/>
        <v>Low</v>
      </c>
    </row>
    <row r="533" spans="1:16" hidden="1" x14ac:dyDescent="0.25">
      <c r="A533">
        <v>100</v>
      </c>
      <c r="B533">
        <v>5.25</v>
      </c>
      <c r="C533" t="s">
        <v>11</v>
      </c>
      <c r="D533" t="s">
        <v>17</v>
      </c>
      <c r="E533">
        <v>600</v>
      </c>
      <c r="F533">
        <v>-19.8</v>
      </c>
      <c r="G533">
        <v>17.61</v>
      </c>
      <c r="H533">
        <v>9.9600000000000009</v>
      </c>
      <c r="I533">
        <v>189.71</v>
      </c>
      <c r="J533">
        <v>19</v>
      </c>
      <c r="K533" t="s">
        <v>16</v>
      </c>
      <c r="L533" t="str">
        <f t="shared" si="236"/>
        <v>INVALID</v>
      </c>
    </row>
    <row r="534" spans="1:16" hidden="1" x14ac:dyDescent="0.25">
      <c r="A534">
        <v>100</v>
      </c>
      <c r="B534">
        <v>7.07</v>
      </c>
      <c r="C534" t="s">
        <v>11</v>
      </c>
      <c r="D534" t="s">
        <v>18</v>
      </c>
      <c r="E534">
        <v>150</v>
      </c>
      <c r="F534">
        <v>27.4</v>
      </c>
      <c r="G534">
        <v>1.45</v>
      </c>
      <c r="H534">
        <v>7.91</v>
      </c>
      <c r="I534">
        <v>111.88</v>
      </c>
      <c r="J534">
        <v>4</v>
      </c>
      <c r="K534" t="s">
        <v>16</v>
      </c>
      <c r="L534" t="str">
        <f t="shared" si="236"/>
        <v>INVALID</v>
      </c>
    </row>
    <row r="535" spans="1:16" x14ac:dyDescent="0.25">
      <c r="A535">
        <v>200</v>
      </c>
      <c r="B535">
        <v>11.23</v>
      </c>
      <c r="C535" t="s">
        <v>11</v>
      </c>
      <c r="D535" t="s">
        <v>17</v>
      </c>
      <c r="E535" s="3">
        <v>1500</v>
      </c>
      <c r="F535">
        <v>33.4</v>
      </c>
      <c r="G535">
        <v>19.23</v>
      </c>
      <c r="H535">
        <v>8.5500000000000007</v>
      </c>
      <c r="I535">
        <v>76.14</v>
      </c>
      <c r="J535">
        <v>22</v>
      </c>
      <c r="K535" t="s">
        <v>16</v>
      </c>
      <c r="L535" t="str">
        <f t="shared" si="236"/>
        <v>VALID</v>
      </c>
      <c r="M535">
        <f t="shared" ref="M535:M544" si="242">IF(J535&gt;0,H535/J535," ")</f>
        <v>0.38863636363636367</v>
      </c>
      <c r="N535" t="str">
        <f t="shared" ref="N535:N544" si="243">IF(ISNUMBER(E535),IF(E535&lt;1000,"Low",IF(E535&lt;3000,"Medium","High")),"Unknown")</f>
        <v>Medium</v>
      </c>
      <c r="O535">
        <f t="shared" ref="O535:O544" si="244">(G535+I535)/2</f>
        <v>47.685000000000002</v>
      </c>
      <c r="P535" t="str">
        <f t="shared" ref="P535:P544" si="245">IF(O535&lt;30,"Low",IF(O535&lt;60,"Medium","High"))</f>
        <v>Medium</v>
      </c>
    </row>
    <row r="536" spans="1:16" x14ac:dyDescent="0.25">
      <c r="A536">
        <v>250</v>
      </c>
      <c r="B536">
        <v>14.41</v>
      </c>
      <c r="C536" t="s">
        <v>19</v>
      </c>
      <c r="D536" t="s">
        <v>17</v>
      </c>
      <c r="E536" s="3">
        <v>2500</v>
      </c>
      <c r="F536">
        <v>-0.2</v>
      </c>
      <c r="G536">
        <v>2.77</v>
      </c>
      <c r="H536">
        <v>5.32</v>
      </c>
      <c r="I536">
        <v>36.92</v>
      </c>
      <c r="J536">
        <v>24</v>
      </c>
      <c r="K536" t="s">
        <v>16</v>
      </c>
      <c r="L536" t="str">
        <f t="shared" si="236"/>
        <v>VALID</v>
      </c>
      <c r="M536">
        <f t="shared" si="242"/>
        <v>0.22166666666666668</v>
      </c>
      <c r="N536" t="str">
        <f t="shared" si="243"/>
        <v>Medium</v>
      </c>
      <c r="O536">
        <f t="shared" si="244"/>
        <v>19.845000000000002</v>
      </c>
      <c r="P536" t="str">
        <f t="shared" si="245"/>
        <v>Low</v>
      </c>
    </row>
    <row r="537" spans="1:16" x14ac:dyDescent="0.25">
      <c r="A537">
        <v>1000</v>
      </c>
      <c r="B537">
        <v>27.26</v>
      </c>
      <c r="C537" t="s">
        <v>19</v>
      </c>
      <c r="D537" t="s">
        <v>15</v>
      </c>
      <c r="E537" s="3">
        <v>600</v>
      </c>
      <c r="F537">
        <v>54</v>
      </c>
      <c r="G537">
        <v>7.23</v>
      </c>
      <c r="H537">
        <v>2.15</v>
      </c>
      <c r="I537">
        <v>7.89</v>
      </c>
      <c r="J537">
        <v>5</v>
      </c>
      <c r="K537" t="s">
        <v>13</v>
      </c>
      <c r="L537" t="str">
        <f t="shared" si="236"/>
        <v>VALID</v>
      </c>
      <c r="M537">
        <f t="shared" si="242"/>
        <v>0.43</v>
      </c>
      <c r="N537" t="str">
        <f t="shared" si="243"/>
        <v>Low</v>
      </c>
      <c r="O537">
        <f t="shared" si="244"/>
        <v>7.5600000000000005</v>
      </c>
      <c r="P537" t="str">
        <f t="shared" si="245"/>
        <v>Low</v>
      </c>
    </row>
    <row r="538" spans="1:16" x14ac:dyDescent="0.25">
      <c r="A538">
        <v>600</v>
      </c>
      <c r="B538">
        <v>13.68</v>
      </c>
      <c r="C538" t="s">
        <v>11</v>
      </c>
      <c r="D538" t="s">
        <v>12</v>
      </c>
      <c r="E538" s="3">
        <v>300</v>
      </c>
      <c r="F538">
        <v>84.8</v>
      </c>
      <c r="G538">
        <v>2.0499999999999998</v>
      </c>
      <c r="H538">
        <v>7.14</v>
      </c>
      <c r="I538">
        <v>52.19</v>
      </c>
      <c r="J538">
        <v>6</v>
      </c>
      <c r="K538" t="s">
        <v>16</v>
      </c>
      <c r="L538" t="str">
        <f t="shared" si="236"/>
        <v>VALID</v>
      </c>
      <c r="M538">
        <f t="shared" si="242"/>
        <v>1.19</v>
      </c>
      <c r="N538" t="str">
        <f t="shared" si="243"/>
        <v>Low</v>
      </c>
      <c r="O538">
        <f t="shared" si="244"/>
        <v>27.119999999999997</v>
      </c>
      <c r="P538" t="str">
        <f t="shared" si="245"/>
        <v>Low</v>
      </c>
    </row>
    <row r="539" spans="1:16" x14ac:dyDescent="0.25">
      <c r="A539">
        <v>1500</v>
      </c>
      <c r="B539">
        <v>47.8</v>
      </c>
      <c r="C539" t="s">
        <v>22</v>
      </c>
      <c r="D539" t="s">
        <v>12</v>
      </c>
      <c r="E539" s="3">
        <v>300</v>
      </c>
      <c r="F539">
        <v>10.1</v>
      </c>
      <c r="G539">
        <v>15.3</v>
      </c>
      <c r="H539">
        <v>9.43</v>
      </c>
      <c r="I539">
        <v>19.73</v>
      </c>
      <c r="J539">
        <v>6</v>
      </c>
      <c r="K539" t="s">
        <v>16</v>
      </c>
      <c r="L539" t="str">
        <f t="shared" si="236"/>
        <v>VALID</v>
      </c>
      <c r="M539">
        <f t="shared" si="242"/>
        <v>1.5716666666666665</v>
      </c>
      <c r="N539" t="str">
        <f t="shared" si="243"/>
        <v>Low</v>
      </c>
      <c r="O539">
        <f t="shared" si="244"/>
        <v>17.515000000000001</v>
      </c>
      <c r="P539" t="str">
        <f t="shared" si="245"/>
        <v>Low</v>
      </c>
    </row>
    <row r="540" spans="1:16" x14ac:dyDescent="0.25">
      <c r="A540">
        <v>800</v>
      </c>
      <c r="B540">
        <v>29.51</v>
      </c>
      <c r="C540" t="s">
        <v>19</v>
      </c>
      <c r="D540" t="s">
        <v>12</v>
      </c>
      <c r="E540" s="3">
        <v>300</v>
      </c>
      <c r="F540">
        <v>128.80000000000001</v>
      </c>
      <c r="G540">
        <v>3.09</v>
      </c>
      <c r="H540">
        <v>9.75</v>
      </c>
      <c r="I540">
        <v>33.04</v>
      </c>
      <c r="J540">
        <v>1</v>
      </c>
      <c r="K540" t="s">
        <v>16</v>
      </c>
      <c r="L540" t="str">
        <f t="shared" si="236"/>
        <v>VALID</v>
      </c>
      <c r="M540">
        <f t="shared" si="242"/>
        <v>9.75</v>
      </c>
      <c r="N540" t="str">
        <f t="shared" si="243"/>
        <v>Low</v>
      </c>
      <c r="O540">
        <f t="shared" si="244"/>
        <v>18.064999999999998</v>
      </c>
      <c r="P540" t="str">
        <f t="shared" si="245"/>
        <v>Low</v>
      </c>
    </row>
    <row r="541" spans="1:16" x14ac:dyDescent="0.25">
      <c r="A541">
        <v>150</v>
      </c>
      <c r="B541">
        <v>7.48</v>
      </c>
      <c r="C541" t="s">
        <v>22</v>
      </c>
      <c r="D541" t="s">
        <v>20</v>
      </c>
      <c r="E541" s="3">
        <v>900</v>
      </c>
      <c r="F541">
        <v>80.5</v>
      </c>
      <c r="G541">
        <v>8.07</v>
      </c>
      <c r="H541">
        <v>0.18</v>
      </c>
      <c r="I541">
        <v>2.41</v>
      </c>
      <c r="J541">
        <v>11</v>
      </c>
      <c r="K541" t="s">
        <v>23</v>
      </c>
      <c r="L541" t="str">
        <f t="shared" si="236"/>
        <v>VALID</v>
      </c>
      <c r="M541">
        <f t="shared" si="242"/>
        <v>1.6363636363636361E-2</v>
      </c>
      <c r="N541" t="str">
        <f t="shared" si="243"/>
        <v>Low</v>
      </c>
      <c r="O541">
        <f t="shared" si="244"/>
        <v>5.24</v>
      </c>
      <c r="P541" t="str">
        <f t="shared" si="245"/>
        <v>Low</v>
      </c>
    </row>
    <row r="542" spans="1:16" x14ac:dyDescent="0.25">
      <c r="A542">
        <v>600</v>
      </c>
      <c r="B542">
        <v>26.47</v>
      </c>
      <c r="C542" t="s">
        <v>19</v>
      </c>
      <c r="D542" t="s">
        <v>12</v>
      </c>
      <c r="E542" s="3">
        <v>2500</v>
      </c>
      <c r="F542">
        <v>36.200000000000003</v>
      </c>
      <c r="G542">
        <v>7.17</v>
      </c>
      <c r="H542">
        <v>8.48</v>
      </c>
      <c r="I542">
        <v>32.04</v>
      </c>
      <c r="J542">
        <v>18</v>
      </c>
      <c r="K542" t="s">
        <v>16</v>
      </c>
      <c r="L542" t="str">
        <f t="shared" si="236"/>
        <v>VALID</v>
      </c>
      <c r="M542">
        <f t="shared" si="242"/>
        <v>0.47111111111111115</v>
      </c>
      <c r="N542" t="str">
        <f t="shared" si="243"/>
        <v>Medium</v>
      </c>
      <c r="O542">
        <f t="shared" si="244"/>
        <v>19.605</v>
      </c>
      <c r="P542" t="str">
        <f t="shared" si="245"/>
        <v>Low</v>
      </c>
    </row>
    <row r="543" spans="1:16" x14ac:dyDescent="0.25">
      <c r="A543">
        <v>300</v>
      </c>
      <c r="B543">
        <v>13.68</v>
      </c>
      <c r="C543" t="s">
        <v>11</v>
      </c>
      <c r="D543" t="s">
        <v>20</v>
      </c>
      <c r="E543" s="3">
        <v>900</v>
      </c>
      <c r="F543">
        <v>12.3</v>
      </c>
      <c r="G543">
        <v>17.18</v>
      </c>
      <c r="H543">
        <v>4.66</v>
      </c>
      <c r="I543">
        <v>34.06</v>
      </c>
      <c r="J543">
        <v>21</v>
      </c>
      <c r="K543" t="s">
        <v>13</v>
      </c>
      <c r="L543" t="str">
        <f t="shared" si="236"/>
        <v>VALID</v>
      </c>
      <c r="M543">
        <f t="shared" si="242"/>
        <v>0.22190476190476191</v>
      </c>
      <c r="N543" t="str">
        <f t="shared" si="243"/>
        <v>Low</v>
      </c>
      <c r="O543">
        <f t="shared" si="244"/>
        <v>25.62</v>
      </c>
      <c r="P543" t="str">
        <f t="shared" si="245"/>
        <v>Low</v>
      </c>
    </row>
    <row r="544" spans="1:16" x14ac:dyDescent="0.25">
      <c r="A544">
        <v>300</v>
      </c>
      <c r="B544">
        <v>9.59</v>
      </c>
      <c r="C544" t="s">
        <v>11</v>
      </c>
      <c r="D544" t="s">
        <v>15</v>
      </c>
      <c r="E544" s="3">
        <v>1500</v>
      </c>
      <c r="F544">
        <v>73</v>
      </c>
      <c r="G544">
        <v>13.07</v>
      </c>
      <c r="H544">
        <v>0.19</v>
      </c>
      <c r="I544">
        <v>1.98</v>
      </c>
      <c r="J544">
        <v>7</v>
      </c>
      <c r="K544" t="s">
        <v>23</v>
      </c>
      <c r="L544" t="str">
        <f t="shared" si="236"/>
        <v>VALID</v>
      </c>
      <c r="M544">
        <f t="shared" si="242"/>
        <v>2.7142857142857142E-2</v>
      </c>
      <c r="N544" t="str">
        <f t="shared" si="243"/>
        <v>Medium</v>
      </c>
      <c r="O544">
        <f t="shared" si="244"/>
        <v>7.5250000000000004</v>
      </c>
      <c r="P544" t="str">
        <f t="shared" si="245"/>
        <v>Low</v>
      </c>
    </row>
    <row r="545" spans="1:16" hidden="1" x14ac:dyDescent="0.25">
      <c r="A545">
        <v>100</v>
      </c>
      <c r="B545">
        <v>4.28</v>
      </c>
      <c r="C545" t="s">
        <v>22</v>
      </c>
      <c r="D545" t="s">
        <v>12</v>
      </c>
      <c r="E545">
        <v>900</v>
      </c>
      <c r="F545">
        <v>83.1</v>
      </c>
      <c r="G545">
        <v>5.1100000000000003</v>
      </c>
      <c r="H545">
        <v>7.92</v>
      </c>
      <c r="I545">
        <v>185.05</v>
      </c>
      <c r="J545">
        <v>1</v>
      </c>
      <c r="K545" t="s">
        <v>16</v>
      </c>
      <c r="L545" t="str">
        <f t="shared" si="236"/>
        <v>INVALID</v>
      </c>
    </row>
    <row r="546" spans="1:16" x14ac:dyDescent="0.25">
      <c r="A546">
        <v>800</v>
      </c>
      <c r="B546">
        <v>21.96</v>
      </c>
      <c r="C546" t="s">
        <v>21</v>
      </c>
      <c r="D546" t="s">
        <v>18</v>
      </c>
      <c r="E546" s="3">
        <v>600</v>
      </c>
      <c r="F546">
        <v>19</v>
      </c>
      <c r="G546">
        <v>10.82</v>
      </c>
      <c r="H546">
        <v>0.43</v>
      </c>
      <c r="I546">
        <v>1.96</v>
      </c>
      <c r="J546">
        <v>12</v>
      </c>
      <c r="K546" t="s">
        <v>23</v>
      </c>
      <c r="L546" t="str">
        <f t="shared" si="236"/>
        <v>VALID</v>
      </c>
      <c r="M546">
        <f t="shared" ref="M546:M558" si="246">IF(J546&gt;0,H546/J546," ")</f>
        <v>3.5833333333333335E-2</v>
      </c>
      <c r="N546" t="str">
        <f t="shared" ref="N546:N558" si="247">IF(ISNUMBER(E546),IF(E546&lt;1000,"Low",IF(E546&lt;3000,"Medium","High")),"Unknown")</f>
        <v>Low</v>
      </c>
      <c r="O546">
        <f t="shared" ref="O546:O558" si="248">(G546+I546)/2</f>
        <v>6.3900000000000006</v>
      </c>
      <c r="P546" t="str">
        <f t="shared" ref="P546:P558" si="249">IF(O546&lt;30,"Low",IF(O546&lt;60,"Medium","High"))</f>
        <v>Low</v>
      </c>
    </row>
    <row r="547" spans="1:16" x14ac:dyDescent="0.25">
      <c r="A547">
        <v>500</v>
      </c>
      <c r="B547">
        <v>10.210000000000001</v>
      </c>
      <c r="C547" t="s">
        <v>11</v>
      </c>
      <c r="D547" t="s">
        <v>12</v>
      </c>
      <c r="E547" s="3">
        <v>300</v>
      </c>
      <c r="F547">
        <v>68.3</v>
      </c>
      <c r="G547">
        <v>16.88</v>
      </c>
      <c r="H547">
        <v>9.25</v>
      </c>
      <c r="I547">
        <v>90.6</v>
      </c>
      <c r="J547">
        <v>19</v>
      </c>
      <c r="K547" t="s">
        <v>16</v>
      </c>
      <c r="L547" t="str">
        <f t="shared" si="236"/>
        <v>VALID</v>
      </c>
      <c r="M547">
        <f t="shared" si="246"/>
        <v>0.48684210526315791</v>
      </c>
      <c r="N547" t="str">
        <f t="shared" si="247"/>
        <v>Low</v>
      </c>
      <c r="O547">
        <f t="shared" si="248"/>
        <v>53.739999999999995</v>
      </c>
      <c r="P547" t="str">
        <f t="shared" si="249"/>
        <v>Medium</v>
      </c>
    </row>
    <row r="548" spans="1:16" x14ac:dyDescent="0.25">
      <c r="A548">
        <v>500</v>
      </c>
      <c r="B548">
        <v>19.32</v>
      </c>
      <c r="C548" t="s">
        <v>19</v>
      </c>
      <c r="D548" t="s">
        <v>20</v>
      </c>
      <c r="E548" s="3">
        <v>900</v>
      </c>
      <c r="F548">
        <v>90.4</v>
      </c>
      <c r="G548">
        <v>18.760000000000002</v>
      </c>
      <c r="H548">
        <v>4.4000000000000004</v>
      </c>
      <c r="I548">
        <v>22.77</v>
      </c>
      <c r="J548">
        <v>4</v>
      </c>
      <c r="K548" t="s">
        <v>13</v>
      </c>
      <c r="L548" t="str">
        <f t="shared" si="236"/>
        <v>VALID</v>
      </c>
      <c r="M548">
        <f t="shared" si="246"/>
        <v>1.1000000000000001</v>
      </c>
      <c r="N548" t="str">
        <f t="shared" si="247"/>
        <v>Low</v>
      </c>
      <c r="O548">
        <f t="shared" si="248"/>
        <v>20.765000000000001</v>
      </c>
      <c r="P548" t="str">
        <f t="shared" si="249"/>
        <v>Low</v>
      </c>
    </row>
    <row r="549" spans="1:16" x14ac:dyDescent="0.25">
      <c r="A549">
        <v>250</v>
      </c>
      <c r="B549">
        <v>13.65</v>
      </c>
      <c r="C549" t="s">
        <v>21</v>
      </c>
      <c r="D549" t="s">
        <v>20</v>
      </c>
      <c r="E549" s="3">
        <v>150</v>
      </c>
      <c r="F549">
        <v>37.4</v>
      </c>
      <c r="G549">
        <v>6.56</v>
      </c>
      <c r="H549">
        <v>3.7</v>
      </c>
      <c r="I549">
        <v>27.11</v>
      </c>
      <c r="J549">
        <v>18</v>
      </c>
      <c r="K549" t="s">
        <v>13</v>
      </c>
      <c r="L549" t="str">
        <f t="shared" si="236"/>
        <v>VALID</v>
      </c>
      <c r="M549">
        <f t="shared" si="246"/>
        <v>0.20555555555555557</v>
      </c>
      <c r="N549" t="str">
        <f t="shared" si="247"/>
        <v>Low</v>
      </c>
      <c r="O549">
        <f t="shared" si="248"/>
        <v>16.835000000000001</v>
      </c>
      <c r="P549" t="str">
        <f t="shared" si="249"/>
        <v>Low</v>
      </c>
    </row>
    <row r="550" spans="1:16" x14ac:dyDescent="0.25">
      <c r="A550">
        <v>200</v>
      </c>
      <c r="B550">
        <v>10.98</v>
      </c>
      <c r="C550" t="s">
        <v>19</v>
      </c>
      <c r="D550" t="s">
        <v>12</v>
      </c>
      <c r="E550" s="3">
        <v>600</v>
      </c>
      <c r="F550">
        <v>20.6</v>
      </c>
      <c r="G550">
        <v>9.9</v>
      </c>
      <c r="H550">
        <v>6.62</v>
      </c>
      <c r="I550">
        <v>60.29</v>
      </c>
      <c r="J550">
        <v>6</v>
      </c>
      <c r="K550" t="s">
        <v>16</v>
      </c>
      <c r="L550" t="str">
        <f t="shared" si="236"/>
        <v>VALID</v>
      </c>
      <c r="M550">
        <f t="shared" si="246"/>
        <v>1.1033333333333333</v>
      </c>
      <c r="N550" t="str">
        <f t="shared" si="247"/>
        <v>Low</v>
      </c>
      <c r="O550">
        <f t="shared" si="248"/>
        <v>35.094999999999999</v>
      </c>
      <c r="P550" t="str">
        <f t="shared" si="249"/>
        <v>Medium</v>
      </c>
    </row>
    <row r="551" spans="1:16" x14ac:dyDescent="0.25">
      <c r="A551">
        <v>800</v>
      </c>
      <c r="B551">
        <v>31.24</v>
      </c>
      <c r="C551" t="s">
        <v>21</v>
      </c>
      <c r="D551" t="s">
        <v>15</v>
      </c>
      <c r="E551" s="3">
        <v>300</v>
      </c>
      <c r="F551">
        <v>108.5</v>
      </c>
      <c r="G551">
        <v>3.05</v>
      </c>
      <c r="H551">
        <v>9.35</v>
      </c>
      <c r="I551">
        <v>29.93</v>
      </c>
      <c r="J551">
        <v>13</v>
      </c>
      <c r="K551" t="s">
        <v>16</v>
      </c>
      <c r="L551" t="str">
        <f t="shared" si="236"/>
        <v>VALID</v>
      </c>
      <c r="M551">
        <f t="shared" si="246"/>
        <v>0.71923076923076923</v>
      </c>
      <c r="N551" t="str">
        <f t="shared" si="247"/>
        <v>Low</v>
      </c>
      <c r="O551">
        <f t="shared" si="248"/>
        <v>16.489999999999998</v>
      </c>
      <c r="P551" t="str">
        <f t="shared" si="249"/>
        <v>Low</v>
      </c>
    </row>
    <row r="552" spans="1:16" x14ac:dyDescent="0.25">
      <c r="A552">
        <v>500</v>
      </c>
      <c r="B552">
        <v>20.02</v>
      </c>
      <c r="C552" t="s">
        <v>22</v>
      </c>
      <c r="D552" t="s">
        <v>20</v>
      </c>
      <c r="E552" s="3">
        <v>900</v>
      </c>
      <c r="F552">
        <v>17.100000000000001</v>
      </c>
      <c r="G552">
        <v>9.57</v>
      </c>
      <c r="H552">
        <v>1.08</v>
      </c>
      <c r="I552">
        <v>5.39</v>
      </c>
      <c r="J552">
        <v>7</v>
      </c>
      <c r="K552" t="s">
        <v>23</v>
      </c>
      <c r="L552" t="str">
        <f t="shared" si="236"/>
        <v>VALID</v>
      </c>
      <c r="M552">
        <f t="shared" si="246"/>
        <v>0.1542857142857143</v>
      </c>
      <c r="N552" t="str">
        <f t="shared" si="247"/>
        <v>Low</v>
      </c>
      <c r="O552">
        <f t="shared" si="248"/>
        <v>7.48</v>
      </c>
      <c r="P552" t="str">
        <f t="shared" si="249"/>
        <v>Low</v>
      </c>
    </row>
    <row r="553" spans="1:16" x14ac:dyDescent="0.25">
      <c r="A553">
        <v>500</v>
      </c>
      <c r="B553">
        <v>11.35</v>
      </c>
      <c r="C553" t="s">
        <v>22</v>
      </c>
      <c r="D553" t="s">
        <v>20</v>
      </c>
      <c r="E553" s="3">
        <v>600</v>
      </c>
      <c r="F553">
        <v>57.8</v>
      </c>
      <c r="G553">
        <v>18.93</v>
      </c>
      <c r="H553">
        <v>2.5</v>
      </c>
      <c r="I553">
        <v>22.03</v>
      </c>
      <c r="J553">
        <v>17</v>
      </c>
      <c r="K553" t="s">
        <v>13</v>
      </c>
      <c r="L553" t="str">
        <f t="shared" si="236"/>
        <v>VALID</v>
      </c>
      <c r="M553">
        <f t="shared" si="246"/>
        <v>0.14705882352941177</v>
      </c>
      <c r="N553" t="str">
        <f t="shared" si="247"/>
        <v>Low</v>
      </c>
      <c r="O553">
        <f t="shared" si="248"/>
        <v>20.48</v>
      </c>
      <c r="P553" t="str">
        <f t="shared" si="249"/>
        <v>Low</v>
      </c>
    </row>
    <row r="554" spans="1:16" x14ac:dyDescent="0.25">
      <c r="A554">
        <v>600</v>
      </c>
      <c r="B554">
        <v>29.1</v>
      </c>
      <c r="C554" t="s">
        <v>21</v>
      </c>
      <c r="D554" t="s">
        <v>20</v>
      </c>
      <c r="E554" s="3">
        <v>1500</v>
      </c>
      <c r="F554">
        <v>3.4</v>
      </c>
      <c r="G554">
        <v>19.05</v>
      </c>
      <c r="H554">
        <v>8.1999999999999993</v>
      </c>
      <c r="I554">
        <v>28.18</v>
      </c>
      <c r="J554">
        <v>7</v>
      </c>
      <c r="K554" t="s">
        <v>16</v>
      </c>
      <c r="L554" t="str">
        <f t="shared" si="236"/>
        <v>VALID</v>
      </c>
      <c r="M554">
        <f t="shared" si="246"/>
        <v>1.1714285714285713</v>
      </c>
      <c r="N554" t="str">
        <f t="shared" si="247"/>
        <v>Medium</v>
      </c>
      <c r="O554">
        <f t="shared" si="248"/>
        <v>23.615000000000002</v>
      </c>
      <c r="P554" t="str">
        <f t="shared" si="249"/>
        <v>Low</v>
      </c>
    </row>
    <row r="555" spans="1:16" x14ac:dyDescent="0.25">
      <c r="A555">
        <v>600</v>
      </c>
      <c r="B555">
        <v>17.64</v>
      </c>
      <c r="C555" t="s">
        <v>11</v>
      </c>
      <c r="D555" t="s">
        <v>12</v>
      </c>
      <c r="E555" s="3">
        <v>150</v>
      </c>
      <c r="F555">
        <v>44.9</v>
      </c>
      <c r="G555">
        <v>0.62</v>
      </c>
      <c r="H555">
        <v>5.22</v>
      </c>
      <c r="I555">
        <v>29.59</v>
      </c>
      <c r="J555">
        <v>10</v>
      </c>
      <c r="K555" t="s">
        <v>16</v>
      </c>
      <c r="L555" t="str">
        <f t="shared" si="236"/>
        <v>VALID</v>
      </c>
      <c r="M555">
        <f t="shared" si="246"/>
        <v>0.52200000000000002</v>
      </c>
      <c r="N555" t="str">
        <f t="shared" si="247"/>
        <v>Low</v>
      </c>
      <c r="O555">
        <f t="shared" si="248"/>
        <v>15.105</v>
      </c>
      <c r="P555" t="str">
        <f t="shared" si="249"/>
        <v>Low</v>
      </c>
    </row>
    <row r="556" spans="1:16" x14ac:dyDescent="0.25">
      <c r="A556">
        <v>150</v>
      </c>
      <c r="B556">
        <v>8.75</v>
      </c>
      <c r="C556" t="s">
        <v>21</v>
      </c>
      <c r="D556" t="s">
        <v>12</v>
      </c>
      <c r="E556" s="3">
        <v>900</v>
      </c>
      <c r="F556">
        <v>3.7</v>
      </c>
      <c r="G556">
        <v>16.84</v>
      </c>
      <c r="H556">
        <v>3.84</v>
      </c>
      <c r="I556">
        <v>43.89</v>
      </c>
      <c r="J556">
        <v>17</v>
      </c>
      <c r="K556" t="s">
        <v>13</v>
      </c>
      <c r="L556" t="str">
        <f t="shared" si="236"/>
        <v>VALID</v>
      </c>
      <c r="M556">
        <f t="shared" si="246"/>
        <v>0.22588235294117645</v>
      </c>
      <c r="N556" t="str">
        <f t="shared" si="247"/>
        <v>Low</v>
      </c>
      <c r="O556">
        <f t="shared" si="248"/>
        <v>30.365000000000002</v>
      </c>
      <c r="P556" t="str">
        <f t="shared" si="249"/>
        <v>Medium</v>
      </c>
    </row>
    <row r="557" spans="1:16" x14ac:dyDescent="0.25">
      <c r="A557">
        <v>400</v>
      </c>
      <c r="B557">
        <v>11.43</v>
      </c>
      <c r="C557" t="s">
        <v>21</v>
      </c>
      <c r="D557" t="s">
        <v>15</v>
      </c>
      <c r="E557" s="3">
        <v>1500</v>
      </c>
      <c r="F557">
        <v>77.599999999999994</v>
      </c>
      <c r="G557">
        <v>16.88</v>
      </c>
      <c r="H557">
        <v>0.56000000000000005</v>
      </c>
      <c r="I557">
        <v>4.9000000000000004</v>
      </c>
      <c r="J557">
        <v>10</v>
      </c>
      <c r="K557" t="s">
        <v>23</v>
      </c>
      <c r="L557" t="str">
        <f t="shared" si="236"/>
        <v>VALID</v>
      </c>
      <c r="M557">
        <f t="shared" si="246"/>
        <v>5.6000000000000008E-2</v>
      </c>
      <c r="N557" t="str">
        <f t="shared" si="247"/>
        <v>Medium</v>
      </c>
      <c r="O557">
        <f t="shared" si="248"/>
        <v>10.89</v>
      </c>
      <c r="P557" t="str">
        <f t="shared" si="249"/>
        <v>Low</v>
      </c>
    </row>
    <row r="558" spans="1:16" x14ac:dyDescent="0.25">
      <c r="A558">
        <v>500</v>
      </c>
      <c r="B558">
        <v>15.27</v>
      </c>
      <c r="C558" t="s">
        <v>19</v>
      </c>
      <c r="D558" t="s">
        <v>15</v>
      </c>
      <c r="E558" s="3">
        <v>150</v>
      </c>
      <c r="F558">
        <v>43.7</v>
      </c>
      <c r="G558">
        <v>19.41</v>
      </c>
      <c r="H558">
        <v>8.01</v>
      </c>
      <c r="I558">
        <v>52.46</v>
      </c>
      <c r="J558">
        <v>25</v>
      </c>
      <c r="K558" t="s">
        <v>16</v>
      </c>
      <c r="L558" t="str">
        <f t="shared" si="236"/>
        <v>VALID</v>
      </c>
      <c r="M558">
        <f t="shared" si="246"/>
        <v>0.32040000000000002</v>
      </c>
      <c r="N558" t="str">
        <f t="shared" si="247"/>
        <v>Low</v>
      </c>
      <c r="O558">
        <f t="shared" si="248"/>
        <v>35.935000000000002</v>
      </c>
      <c r="P558" t="str">
        <f t="shared" si="249"/>
        <v>Medium</v>
      </c>
    </row>
    <row r="559" spans="1:16" hidden="1" x14ac:dyDescent="0.25">
      <c r="A559">
        <v>100</v>
      </c>
      <c r="B559">
        <v>5.45</v>
      </c>
      <c r="C559" t="s">
        <v>22</v>
      </c>
      <c r="D559" t="s">
        <v>15</v>
      </c>
      <c r="E559">
        <v>600</v>
      </c>
      <c r="F559">
        <v>12.4</v>
      </c>
      <c r="G559">
        <v>14.13</v>
      </c>
      <c r="H559">
        <v>8.86</v>
      </c>
      <c r="I559">
        <v>162.57</v>
      </c>
      <c r="J559">
        <v>11</v>
      </c>
      <c r="K559" t="s">
        <v>16</v>
      </c>
      <c r="L559" t="str">
        <f t="shared" si="236"/>
        <v>INVALID</v>
      </c>
    </row>
    <row r="560" spans="1:16" x14ac:dyDescent="0.25">
      <c r="A560">
        <v>100</v>
      </c>
      <c r="B560">
        <v>5.78</v>
      </c>
      <c r="C560" t="s">
        <v>11</v>
      </c>
      <c r="D560" t="s">
        <v>20</v>
      </c>
      <c r="E560" s="3">
        <v>900</v>
      </c>
      <c r="F560">
        <v>49.4</v>
      </c>
      <c r="G560">
        <v>13.28</v>
      </c>
      <c r="H560">
        <v>7.0000000000000007E-2</v>
      </c>
      <c r="I560">
        <v>1.21</v>
      </c>
      <c r="J560">
        <v>14</v>
      </c>
      <c r="K560" t="s">
        <v>23</v>
      </c>
      <c r="L560" t="str">
        <f t="shared" si="236"/>
        <v>VALID</v>
      </c>
      <c r="M560">
        <f t="shared" ref="M560:M576" si="250">IF(J560&gt;0,H560/J560," ")</f>
        <v>5.0000000000000001E-3</v>
      </c>
      <c r="N560" t="str">
        <f t="shared" ref="N560:N576" si="251">IF(ISNUMBER(E560),IF(E560&lt;1000,"Low",IF(E560&lt;3000,"Medium","High")),"Unknown")</f>
        <v>Low</v>
      </c>
      <c r="O560">
        <f t="shared" ref="O560:O576" si="252">(G560+I560)/2</f>
        <v>7.2449999999999992</v>
      </c>
      <c r="P560" t="str">
        <f t="shared" ref="P560:P576" si="253">IF(O560&lt;30,"Low",IF(O560&lt;60,"Medium","High"))</f>
        <v>Low</v>
      </c>
    </row>
    <row r="561" spans="1:16" x14ac:dyDescent="0.25">
      <c r="A561">
        <v>150</v>
      </c>
      <c r="B561">
        <v>7.52</v>
      </c>
      <c r="C561" t="s">
        <v>22</v>
      </c>
      <c r="D561" t="s">
        <v>20</v>
      </c>
      <c r="E561" s="3">
        <v>600</v>
      </c>
      <c r="F561">
        <v>3.9</v>
      </c>
      <c r="G561">
        <v>6.91</v>
      </c>
      <c r="H561">
        <v>3.12</v>
      </c>
      <c r="I561">
        <v>41.49</v>
      </c>
      <c r="J561">
        <v>16</v>
      </c>
      <c r="K561" t="s">
        <v>13</v>
      </c>
      <c r="L561" t="str">
        <f t="shared" si="236"/>
        <v>VALID</v>
      </c>
      <c r="M561">
        <f t="shared" si="250"/>
        <v>0.19500000000000001</v>
      </c>
      <c r="N561" t="str">
        <f t="shared" si="251"/>
        <v>Low</v>
      </c>
      <c r="O561">
        <f t="shared" si="252"/>
        <v>24.200000000000003</v>
      </c>
      <c r="P561" t="str">
        <f t="shared" si="253"/>
        <v>Low</v>
      </c>
    </row>
    <row r="562" spans="1:16" x14ac:dyDescent="0.25">
      <c r="A562">
        <v>50</v>
      </c>
      <c r="B562">
        <v>4.7300000000000004</v>
      </c>
      <c r="C562" t="s">
        <v>19</v>
      </c>
      <c r="D562" t="s">
        <v>15</v>
      </c>
      <c r="E562" s="3">
        <v>150</v>
      </c>
      <c r="F562">
        <v>-26.1</v>
      </c>
      <c r="G562">
        <v>6.97</v>
      </c>
      <c r="H562">
        <v>1.24</v>
      </c>
      <c r="I562">
        <v>26.22</v>
      </c>
      <c r="J562">
        <v>11</v>
      </c>
      <c r="K562" t="s">
        <v>23</v>
      </c>
      <c r="L562" t="str">
        <f t="shared" si="236"/>
        <v>VALID</v>
      </c>
      <c r="M562">
        <f t="shared" si="250"/>
        <v>0.11272727272727273</v>
      </c>
      <c r="N562" t="str">
        <f t="shared" si="251"/>
        <v>Low</v>
      </c>
      <c r="O562">
        <f t="shared" si="252"/>
        <v>16.594999999999999</v>
      </c>
      <c r="P562" t="str">
        <f t="shared" si="253"/>
        <v>Low</v>
      </c>
    </row>
    <row r="563" spans="1:16" x14ac:dyDescent="0.25">
      <c r="A563">
        <v>150</v>
      </c>
      <c r="B563">
        <v>9.06</v>
      </c>
      <c r="C563" t="s">
        <v>14</v>
      </c>
      <c r="D563" t="s">
        <v>17</v>
      </c>
      <c r="E563" s="3">
        <v>300</v>
      </c>
      <c r="F563">
        <v>41.6</v>
      </c>
      <c r="G563">
        <v>8.06</v>
      </c>
      <c r="H563">
        <v>5.92</v>
      </c>
      <c r="I563">
        <v>65.34</v>
      </c>
      <c r="J563">
        <v>23</v>
      </c>
      <c r="K563" t="s">
        <v>16</v>
      </c>
      <c r="L563" t="str">
        <f t="shared" si="236"/>
        <v>VALID</v>
      </c>
      <c r="M563">
        <f t="shared" si="250"/>
        <v>0.25739130434782609</v>
      </c>
      <c r="N563" t="str">
        <f t="shared" si="251"/>
        <v>Low</v>
      </c>
      <c r="O563">
        <f t="shared" si="252"/>
        <v>36.700000000000003</v>
      </c>
      <c r="P563" t="str">
        <f t="shared" si="253"/>
        <v>Medium</v>
      </c>
    </row>
    <row r="564" spans="1:16" x14ac:dyDescent="0.25">
      <c r="A564">
        <v>250</v>
      </c>
      <c r="B564">
        <v>11.12</v>
      </c>
      <c r="C564" t="s">
        <v>14</v>
      </c>
      <c r="D564" t="s">
        <v>17</v>
      </c>
      <c r="E564" s="3">
        <v>150</v>
      </c>
      <c r="F564">
        <v>50.1</v>
      </c>
      <c r="G564">
        <v>10.85</v>
      </c>
      <c r="H564">
        <v>0.34</v>
      </c>
      <c r="I564">
        <v>3.06</v>
      </c>
      <c r="J564">
        <v>21</v>
      </c>
      <c r="K564" t="s">
        <v>23</v>
      </c>
      <c r="L564" t="str">
        <f t="shared" si="236"/>
        <v>VALID</v>
      </c>
      <c r="M564">
        <f t="shared" si="250"/>
        <v>1.6190476190476193E-2</v>
      </c>
      <c r="N564" t="str">
        <f t="shared" si="251"/>
        <v>Low</v>
      </c>
      <c r="O564">
        <f t="shared" si="252"/>
        <v>6.9550000000000001</v>
      </c>
      <c r="P564" t="str">
        <f t="shared" si="253"/>
        <v>Low</v>
      </c>
    </row>
    <row r="565" spans="1:16" x14ac:dyDescent="0.25">
      <c r="A565">
        <v>200</v>
      </c>
      <c r="B565">
        <v>7.76</v>
      </c>
      <c r="C565" t="s">
        <v>14</v>
      </c>
      <c r="D565" t="s">
        <v>15</v>
      </c>
      <c r="E565" s="3">
        <v>600</v>
      </c>
      <c r="F565">
        <v>73.900000000000006</v>
      </c>
      <c r="G565">
        <v>6.25</v>
      </c>
      <c r="H565">
        <v>0.82</v>
      </c>
      <c r="I565">
        <v>10.57</v>
      </c>
      <c r="J565">
        <v>10</v>
      </c>
      <c r="K565" t="s">
        <v>23</v>
      </c>
      <c r="L565" t="str">
        <f t="shared" si="236"/>
        <v>VALID</v>
      </c>
      <c r="M565">
        <f t="shared" si="250"/>
        <v>8.199999999999999E-2</v>
      </c>
      <c r="N565" t="str">
        <f t="shared" si="251"/>
        <v>Low</v>
      </c>
      <c r="O565">
        <f t="shared" si="252"/>
        <v>8.41</v>
      </c>
      <c r="P565" t="str">
        <f t="shared" si="253"/>
        <v>Low</v>
      </c>
    </row>
    <row r="566" spans="1:16" x14ac:dyDescent="0.25">
      <c r="A566">
        <v>1000</v>
      </c>
      <c r="B566">
        <v>28.91</v>
      </c>
      <c r="C566" t="s">
        <v>21</v>
      </c>
      <c r="D566" t="s">
        <v>17</v>
      </c>
      <c r="E566" s="3">
        <v>600</v>
      </c>
      <c r="F566">
        <v>69.599999999999994</v>
      </c>
      <c r="G566">
        <v>16.07</v>
      </c>
      <c r="H566">
        <v>6.87</v>
      </c>
      <c r="I566">
        <v>23.76</v>
      </c>
      <c r="J566">
        <v>22</v>
      </c>
      <c r="K566" t="s">
        <v>16</v>
      </c>
      <c r="L566" t="str">
        <f t="shared" si="236"/>
        <v>VALID</v>
      </c>
      <c r="M566">
        <f t="shared" si="250"/>
        <v>0.31227272727272726</v>
      </c>
      <c r="N566" t="str">
        <f t="shared" si="251"/>
        <v>Low</v>
      </c>
      <c r="O566">
        <f t="shared" si="252"/>
        <v>19.914999999999999</v>
      </c>
      <c r="P566" t="str">
        <f t="shared" si="253"/>
        <v>Low</v>
      </c>
    </row>
    <row r="567" spans="1:16" x14ac:dyDescent="0.25">
      <c r="A567">
        <v>200</v>
      </c>
      <c r="B567">
        <v>11.71</v>
      </c>
      <c r="C567" t="s">
        <v>22</v>
      </c>
      <c r="D567" t="s">
        <v>15</v>
      </c>
      <c r="E567" s="3">
        <v>300</v>
      </c>
      <c r="F567">
        <v>104.8</v>
      </c>
      <c r="G567">
        <v>0.59</v>
      </c>
      <c r="H567">
        <v>8.2899999999999991</v>
      </c>
      <c r="I567">
        <v>70.790000000000006</v>
      </c>
      <c r="J567">
        <v>21</v>
      </c>
      <c r="K567" t="s">
        <v>16</v>
      </c>
      <c r="L567" t="str">
        <f t="shared" si="236"/>
        <v>VALID</v>
      </c>
      <c r="M567">
        <f t="shared" si="250"/>
        <v>0.3947619047619047</v>
      </c>
      <c r="N567" t="str">
        <f t="shared" si="251"/>
        <v>Low</v>
      </c>
      <c r="O567">
        <f t="shared" si="252"/>
        <v>35.690000000000005</v>
      </c>
      <c r="P567" t="str">
        <f t="shared" si="253"/>
        <v>Medium</v>
      </c>
    </row>
    <row r="568" spans="1:16" x14ac:dyDescent="0.25">
      <c r="A568">
        <v>150</v>
      </c>
      <c r="B568">
        <v>9.6199999999999992</v>
      </c>
      <c r="C568" t="s">
        <v>21</v>
      </c>
      <c r="D568" t="s">
        <v>15</v>
      </c>
      <c r="E568" s="3">
        <v>150</v>
      </c>
      <c r="F568">
        <v>126</v>
      </c>
      <c r="G568">
        <v>8.4700000000000006</v>
      </c>
      <c r="H568">
        <v>3.19</v>
      </c>
      <c r="I568">
        <v>33.159999999999997</v>
      </c>
      <c r="J568">
        <v>10</v>
      </c>
      <c r="K568" t="s">
        <v>13</v>
      </c>
      <c r="L568" t="str">
        <f t="shared" si="236"/>
        <v>VALID</v>
      </c>
      <c r="M568">
        <f t="shared" si="250"/>
        <v>0.31900000000000001</v>
      </c>
      <c r="N568" t="str">
        <f t="shared" si="251"/>
        <v>Low</v>
      </c>
      <c r="O568">
        <f t="shared" si="252"/>
        <v>20.814999999999998</v>
      </c>
      <c r="P568" t="str">
        <f t="shared" si="253"/>
        <v>Low</v>
      </c>
    </row>
    <row r="569" spans="1:16" x14ac:dyDescent="0.25">
      <c r="A569">
        <v>150</v>
      </c>
      <c r="B569">
        <v>5.71</v>
      </c>
      <c r="C569" t="s">
        <v>19</v>
      </c>
      <c r="D569" t="s">
        <v>12</v>
      </c>
      <c r="E569" s="3">
        <v>600</v>
      </c>
      <c r="F569">
        <v>50.1</v>
      </c>
      <c r="G569">
        <v>2.81</v>
      </c>
      <c r="H569">
        <v>5.52</v>
      </c>
      <c r="I569">
        <v>96.67</v>
      </c>
      <c r="J569">
        <v>16</v>
      </c>
      <c r="K569" t="s">
        <v>16</v>
      </c>
      <c r="L569" t="str">
        <f t="shared" si="236"/>
        <v>VALID</v>
      </c>
      <c r="M569">
        <f t="shared" si="250"/>
        <v>0.34499999999999997</v>
      </c>
      <c r="N569" t="str">
        <f t="shared" si="251"/>
        <v>Low</v>
      </c>
      <c r="O569">
        <f t="shared" si="252"/>
        <v>49.74</v>
      </c>
      <c r="P569" t="str">
        <f t="shared" si="253"/>
        <v>Medium</v>
      </c>
    </row>
    <row r="570" spans="1:16" x14ac:dyDescent="0.25">
      <c r="A570">
        <v>250</v>
      </c>
      <c r="B570">
        <v>8.98</v>
      </c>
      <c r="C570" t="s">
        <v>19</v>
      </c>
      <c r="D570" t="s">
        <v>18</v>
      </c>
      <c r="E570" s="3">
        <v>2500</v>
      </c>
      <c r="F570">
        <v>3</v>
      </c>
      <c r="G570">
        <v>15.03</v>
      </c>
      <c r="H570">
        <v>2.72</v>
      </c>
      <c r="I570">
        <v>30.29</v>
      </c>
      <c r="J570">
        <v>25</v>
      </c>
      <c r="K570" t="s">
        <v>13</v>
      </c>
      <c r="L570" t="str">
        <f t="shared" si="236"/>
        <v>VALID</v>
      </c>
      <c r="M570">
        <f t="shared" si="250"/>
        <v>0.10880000000000001</v>
      </c>
      <c r="N570" t="str">
        <f t="shared" si="251"/>
        <v>Medium</v>
      </c>
      <c r="O570">
        <f t="shared" si="252"/>
        <v>22.66</v>
      </c>
      <c r="P570" t="str">
        <f t="shared" si="253"/>
        <v>Low</v>
      </c>
    </row>
    <row r="571" spans="1:16" x14ac:dyDescent="0.25">
      <c r="A571">
        <v>200</v>
      </c>
      <c r="B571">
        <v>9.26</v>
      </c>
      <c r="C571" t="s">
        <v>19</v>
      </c>
      <c r="D571" t="s">
        <v>12</v>
      </c>
      <c r="E571" s="3">
        <v>300</v>
      </c>
      <c r="F571">
        <v>95.9</v>
      </c>
      <c r="G571">
        <v>15.17</v>
      </c>
      <c r="H571">
        <v>0.39</v>
      </c>
      <c r="I571">
        <v>4.21</v>
      </c>
      <c r="J571">
        <v>11</v>
      </c>
      <c r="K571" t="s">
        <v>23</v>
      </c>
      <c r="L571" t="str">
        <f t="shared" si="236"/>
        <v>VALID</v>
      </c>
      <c r="M571">
        <f t="shared" si="250"/>
        <v>3.5454545454545454E-2</v>
      </c>
      <c r="N571" t="str">
        <f t="shared" si="251"/>
        <v>Low</v>
      </c>
      <c r="O571">
        <f t="shared" si="252"/>
        <v>9.69</v>
      </c>
      <c r="P571" t="str">
        <f t="shared" si="253"/>
        <v>Low</v>
      </c>
    </row>
    <row r="572" spans="1:16" x14ac:dyDescent="0.25">
      <c r="A572">
        <v>50</v>
      </c>
      <c r="B572">
        <v>4.88</v>
      </c>
      <c r="C572" t="s">
        <v>11</v>
      </c>
      <c r="D572" t="s">
        <v>18</v>
      </c>
      <c r="E572" s="3">
        <v>600</v>
      </c>
      <c r="F572">
        <v>23.9</v>
      </c>
      <c r="G572">
        <v>12.19</v>
      </c>
      <c r="H572">
        <v>1.94</v>
      </c>
      <c r="I572">
        <v>39.75</v>
      </c>
      <c r="J572">
        <v>2</v>
      </c>
      <c r="K572" t="s">
        <v>23</v>
      </c>
      <c r="L572" t="str">
        <f t="shared" si="236"/>
        <v>VALID</v>
      </c>
      <c r="M572">
        <f t="shared" si="250"/>
        <v>0.97</v>
      </c>
      <c r="N572" t="str">
        <f t="shared" si="251"/>
        <v>Low</v>
      </c>
      <c r="O572">
        <f t="shared" si="252"/>
        <v>25.97</v>
      </c>
      <c r="P572" t="str">
        <f t="shared" si="253"/>
        <v>Low</v>
      </c>
    </row>
    <row r="573" spans="1:16" x14ac:dyDescent="0.25">
      <c r="A573">
        <v>800</v>
      </c>
      <c r="B573">
        <v>26.68</v>
      </c>
      <c r="C573" t="s">
        <v>22</v>
      </c>
      <c r="D573" t="s">
        <v>15</v>
      </c>
      <c r="E573" s="3">
        <v>150</v>
      </c>
      <c r="F573">
        <v>77.3</v>
      </c>
      <c r="G573">
        <v>1.72</v>
      </c>
      <c r="H573">
        <v>1.7</v>
      </c>
      <c r="I573">
        <v>6.37</v>
      </c>
      <c r="J573">
        <v>2</v>
      </c>
      <c r="K573" t="s">
        <v>23</v>
      </c>
      <c r="L573" t="str">
        <f t="shared" si="236"/>
        <v>VALID</v>
      </c>
      <c r="M573">
        <f t="shared" si="250"/>
        <v>0.85</v>
      </c>
      <c r="N573" t="str">
        <f t="shared" si="251"/>
        <v>Low</v>
      </c>
      <c r="O573">
        <f t="shared" si="252"/>
        <v>4.0449999999999999</v>
      </c>
      <c r="P573" t="str">
        <f t="shared" si="253"/>
        <v>Low</v>
      </c>
    </row>
    <row r="574" spans="1:16" x14ac:dyDescent="0.25">
      <c r="A574">
        <v>800</v>
      </c>
      <c r="B574">
        <v>28.91</v>
      </c>
      <c r="C574" t="s">
        <v>19</v>
      </c>
      <c r="D574" t="s">
        <v>17</v>
      </c>
      <c r="E574" s="3">
        <v>2500</v>
      </c>
      <c r="F574">
        <v>113.9</v>
      </c>
      <c r="G574">
        <v>7.13</v>
      </c>
      <c r="H574">
        <v>6.97</v>
      </c>
      <c r="I574">
        <v>24.11</v>
      </c>
      <c r="J574">
        <v>11</v>
      </c>
      <c r="K574" t="s">
        <v>16</v>
      </c>
      <c r="L574" t="str">
        <f t="shared" si="236"/>
        <v>VALID</v>
      </c>
      <c r="M574">
        <f t="shared" si="250"/>
        <v>0.63363636363636366</v>
      </c>
      <c r="N574" t="str">
        <f t="shared" si="251"/>
        <v>Medium</v>
      </c>
      <c r="O574">
        <f t="shared" si="252"/>
        <v>15.62</v>
      </c>
      <c r="P574" t="str">
        <f t="shared" si="253"/>
        <v>Low</v>
      </c>
    </row>
    <row r="575" spans="1:16" x14ac:dyDescent="0.25">
      <c r="A575">
        <v>1200</v>
      </c>
      <c r="B575">
        <v>19.059999999999999</v>
      </c>
      <c r="C575" t="s">
        <v>11</v>
      </c>
      <c r="D575" t="s">
        <v>12</v>
      </c>
      <c r="E575" s="3">
        <v>600</v>
      </c>
      <c r="F575">
        <v>10</v>
      </c>
      <c r="G575">
        <v>18.3</v>
      </c>
      <c r="H575">
        <v>0.64</v>
      </c>
      <c r="I575">
        <v>3.36</v>
      </c>
      <c r="J575">
        <v>24</v>
      </c>
      <c r="K575" t="s">
        <v>23</v>
      </c>
      <c r="L575" t="str">
        <f t="shared" si="236"/>
        <v>VALID</v>
      </c>
      <c r="M575">
        <f t="shared" si="250"/>
        <v>2.6666666666666668E-2</v>
      </c>
      <c r="N575" t="str">
        <f t="shared" si="251"/>
        <v>Low</v>
      </c>
      <c r="O575">
        <f t="shared" si="252"/>
        <v>10.83</v>
      </c>
      <c r="P575" t="str">
        <f t="shared" si="253"/>
        <v>Low</v>
      </c>
    </row>
    <row r="576" spans="1:16" x14ac:dyDescent="0.25">
      <c r="A576">
        <v>600</v>
      </c>
      <c r="B576">
        <v>17.16</v>
      </c>
      <c r="C576" t="s">
        <v>19</v>
      </c>
      <c r="D576" t="s">
        <v>17</v>
      </c>
      <c r="E576" s="3">
        <v>150</v>
      </c>
      <c r="F576">
        <v>47</v>
      </c>
      <c r="G576">
        <v>4.92</v>
      </c>
      <c r="H576">
        <v>7.12</v>
      </c>
      <c r="I576">
        <v>41.49</v>
      </c>
      <c r="J576">
        <v>2</v>
      </c>
      <c r="K576" t="s">
        <v>16</v>
      </c>
      <c r="L576" t="str">
        <f t="shared" si="236"/>
        <v>VALID</v>
      </c>
      <c r="M576">
        <f t="shared" si="250"/>
        <v>3.56</v>
      </c>
      <c r="N576" t="str">
        <f t="shared" si="251"/>
        <v>Low</v>
      </c>
      <c r="O576">
        <f t="shared" si="252"/>
        <v>23.205000000000002</v>
      </c>
      <c r="P576" t="str">
        <f t="shared" si="253"/>
        <v>Low</v>
      </c>
    </row>
    <row r="577" spans="1:16" hidden="1" x14ac:dyDescent="0.25">
      <c r="A577">
        <v>150</v>
      </c>
      <c r="B577">
        <v>5.41</v>
      </c>
      <c r="C577" t="s">
        <v>21</v>
      </c>
      <c r="D577" t="s">
        <v>12</v>
      </c>
      <c r="E577">
        <v>1500</v>
      </c>
      <c r="F577">
        <v>44.1</v>
      </c>
      <c r="G577">
        <v>9.25</v>
      </c>
      <c r="H577">
        <v>8.4</v>
      </c>
      <c r="I577">
        <v>155.27000000000001</v>
      </c>
      <c r="J577">
        <v>8</v>
      </c>
      <c r="K577" t="s">
        <v>16</v>
      </c>
      <c r="L577" t="str">
        <f t="shared" si="236"/>
        <v>INVALID</v>
      </c>
    </row>
    <row r="578" spans="1:16" x14ac:dyDescent="0.25">
      <c r="A578">
        <v>300</v>
      </c>
      <c r="B578">
        <v>17.739999999999998</v>
      </c>
      <c r="C578" t="s">
        <v>19</v>
      </c>
      <c r="D578" t="s">
        <v>18</v>
      </c>
      <c r="E578" s="3">
        <v>2500</v>
      </c>
      <c r="F578">
        <v>28.4</v>
      </c>
      <c r="G578">
        <v>1.77</v>
      </c>
      <c r="H578">
        <v>0.85</v>
      </c>
      <c r="I578">
        <v>4.79</v>
      </c>
      <c r="J578">
        <v>15</v>
      </c>
      <c r="K578" t="s">
        <v>23</v>
      </c>
      <c r="L578" t="str">
        <f t="shared" si="236"/>
        <v>VALID</v>
      </c>
      <c r="M578">
        <f t="shared" ref="M578:M583" si="254">IF(J578&gt;0,H578/J578," ")</f>
        <v>5.6666666666666664E-2</v>
      </c>
      <c r="N578" t="str">
        <f t="shared" ref="N578:N583" si="255">IF(ISNUMBER(E578),IF(E578&lt;1000,"Low",IF(E578&lt;3000,"Medium","High")),"Unknown")</f>
        <v>Medium</v>
      </c>
      <c r="O578">
        <f t="shared" ref="O578:O583" si="256">(G578+I578)/2</f>
        <v>3.2800000000000002</v>
      </c>
      <c r="P578" t="str">
        <f t="shared" ref="P578:P583" si="257">IF(O578&lt;30,"Low",IF(O578&lt;60,"Medium","High"))</f>
        <v>Low</v>
      </c>
    </row>
    <row r="579" spans="1:16" x14ac:dyDescent="0.25">
      <c r="A579">
        <v>1200</v>
      </c>
      <c r="B579">
        <v>35.19</v>
      </c>
      <c r="C579" t="s">
        <v>19</v>
      </c>
      <c r="D579" t="s">
        <v>12</v>
      </c>
      <c r="E579" s="3">
        <v>600</v>
      </c>
      <c r="F579">
        <v>45.8</v>
      </c>
      <c r="G579">
        <v>7.81</v>
      </c>
      <c r="H579">
        <v>3.15</v>
      </c>
      <c r="I579">
        <v>8.9499999999999993</v>
      </c>
      <c r="J579">
        <v>22</v>
      </c>
      <c r="K579" t="s">
        <v>13</v>
      </c>
      <c r="L579" t="str">
        <f t="shared" ref="L579:L642" si="258">IF(H579&gt;B579,"INVALID","VALID")</f>
        <v>VALID</v>
      </c>
      <c r="M579">
        <f t="shared" si="254"/>
        <v>0.14318181818181819</v>
      </c>
      <c r="N579" t="str">
        <f t="shared" si="255"/>
        <v>Low</v>
      </c>
      <c r="O579">
        <f t="shared" si="256"/>
        <v>8.379999999999999</v>
      </c>
      <c r="P579" t="str">
        <f t="shared" si="257"/>
        <v>Low</v>
      </c>
    </row>
    <row r="580" spans="1:16" x14ac:dyDescent="0.25">
      <c r="A580">
        <v>300</v>
      </c>
      <c r="B580">
        <v>13.22</v>
      </c>
      <c r="C580" t="s">
        <v>11</v>
      </c>
      <c r="D580" t="s">
        <v>20</v>
      </c>
      <c r="E580" s="3">
        <v>300</v>
      </c>
      <c r="F580">
        <v>-25</v>
      </c>
      <c r="G580">
        <v>17.489999999999998</v>
      </c>
      <c r="H580">
        <v>1.06</v>
      </c>
      <c r="I580">
        <v>8.02</v>
      </c>
      <c r="J580">
        <v>12</v>
      </c>
      <c r="K580" t="s">
        <v>23</v>
      </c>
      <c r="L580" t="str">
        <f t="shared" si="258"/>
        <v>VALID</v>
      </c>
      <c r="M580">
        <f t="shared" si="254"/>
        <v>8.8333333333333333E-2</v>
      </c>
      <c r="N580" t="str">
        <f t="shared" si="255"/>
        <v>Low</v>
      </c>
      <c r="O580">
        <f t="shared" si="256"/>
        <v>12.754999999999999</v>
      </c>
      <c r="P580" t="str">
        <f t="shared" si="257"/>
        <v>Low</v>
      </c>
    </row>
    <row r="581" spans="1:16" x14ac:dyDescent="0.25">
      <c r="A581">
        <v>1500</v>
      </c>
      <c r="B581">
        <v>42.02</v>
      </c>
      <c r="C581" t="s">
        <v>14</v>
      </c>
      <c r="D581" t="s">
        <v>17</v>
      </c>
      <c r="E581" s="3">
        <v>900</v>
      </c>
      <c r="F581">
        <v>21.2</v>
      </c>
      <c r="G581">
        <v>9.66</v>
      </c>
      <c r="H581">
        <v>7.87</v>
      </c>
      <c r="I581">
        <v>18.73</v>
      </c>
      <c r="J581">
        <v>10</v>
      </c>
      <c r="K581" t="s">
        <v>16</v>
      </c>
      <c r="L581" t="str">
        <f t="shared" si="258"/>
        <v>VALID</v>
      </c>
      <c r="M581">
        <f t="shared" si="254"/>
        <v>0.78700000000000003</v>
      </c>
      <c r="N581" t="str">
        <f t="shared" si="255"/>
        <v>Low</v>
      </c>
      <c r="O581">
        <f t="shared" si="256"/>
        <v>14.195</v>
      </c>
      <c r="P581" t="str">
        <f t="shared" si="257"/>
        <v>Low</v>
      </c>
    </row>
    <row r="582" spans="1:16" x14ac:dyDescent="0.25">
      <c r="A582">
        <v>250</v>
      </c>
      <c r="B582">
        <v>12.72</v>
      </c>
      <c r="C582" t="s">
        <v>19</v>
      </c>
      <c r="D582" t="s">
        <v>12</v>
      </c>
      <c r="E582" s="3">
        <v>150</v>
      </c>
      <c r="F582">
        <v>49</v>
      </c>
      <c r="G582">
        <v>8.1199999999999992</v>
      </c>
      <c r="H582">
        <v>2.68</v>
      </c>
      <c r="I582">
        <v>21.07</v>
      </c>
      <c r="J582">
        <v>13</v>
      </c>
      <c r="K582" t="s">
        <v>13</v>
      </c>
      <c r="L582" t="str">
        <f t="shared" si="258"/>
        <v>VALID</v>
      </c>
      <c r="M582">
        <f t="shared" si="254"/>
        <v>0.20615384615384616</v>
      </c>
      <c r="N582" t="str">
        <f t="shared" si="255"/>
        <v>Low</v>
      </c>
      <c r="O582">
        <f t="shared" si="256"/>
        <v>14.594999999999999</v>
      </c>
      <c r="P582" t="str">
        <f t="shared" si="257"/>
        <v>Low</v>
      </c>
    </row>
    <row r="583" spans="1:16" x14ac:dyDescent="0.25">
      <c r="A583">
        <v>500</v>
      </c>
      <c r="B583">
        <v>21.07</v>
      </c>
      <c r="C583" t="s">
        <v>19</v>
      </c>
      <c r="D583" t="s">
        <v>12</v>
      </c>
      <c r="E583" s="3">
        <v>600</v>
      </c>
      <c r="F583">
        <v>83.4</v>
      </c>
      <c r="G583">
        <v>9.5399999999999991</v>
      </c>
      <c r="H583">
        <v>1.1599999999999999</v>
      </c>
      <c r="I583">
        <v>5.51</v>
      </c>
      <c r="J583">
        <v>1</v>
      </c>
      <c r="K583" t="s">
        <v>23</v>
      </c>
      <c r="L583" t="str">
        <f t="shared" si="258"/>
        <v>VALID</v>
      </c>
      <c r="M583">
        <f t="shared" si="254"/>
        <v>1.1599999999999999</v>
      </c>
      <c r="N583" t="str">
        <f t="shared" si="255"/>
        <v>Low</v>
      </c>
      <c r="O583">
        <f t="shared" si="256"/>
        <v>7.5249999999999995</v>
      </c>
      <c r="P583" t="str">
        <f t="shared" si="257"/>
        <v>Low</v>
      </c>
    </row>
    <row r="584" spans="1:16" hidden="1" x14ac:dyDescent="0.25">
      <c r="A584">
        <v>100</v>
      </c>
      <c r="B584">
        <v>4.5199999999999996</v>
      </c>
      <c r="C584" t="s">
        <v>22</v>
      </c>
      <c r="D584" t="s">
        <v>18</v>
      </c>
      <c r="E584">
        <v>300</v>
      </c>
      <c r="F584">
        <v>-25.5</v>
      </c>
      <c r="G584">
        <v>0.61</v>
      </c>
      <c r="H584">
        <v>7.73</v>
      </c>
      <c r="I584">
        <v>171.02</v>
      </c>
      <c r="J584">
        <v>21</v>
      </c>
      <c r="K584" t="s">
        <v>16</v>
      </c>
      <c r="L584" t="str">
        <f t="shared" si="258"/>
        <v>INVALID</v>
      </c>
    </row>
    <row r="585" spans="1:16" x14ac:dyDescent="0.25">
      <c r="A585">
        <v>600</v>
      </c>
      <c r="B585">
        <v>12.67</v>
      </c>
      <c r="C585" t="s">
        <v>11</v>
      </c>
      <c r="D585" t="s">
        <v>17</v>
      </c>
      <c r="E585" s="3">
        <v>600</v>
      </c>
      <c r="F585">
        <v>60</v>
      </c>
      <c r="G585">
        <v>0.91</v>
      </c>
      <c r="H585">
        <v>8.3000000000000007</v>
      </c>
      <c r="I585">
        <v>65.510000000000005</v>
      </c>
      <c r="J585">
        <v>20</v>
      </c>
      <c r="K585" t="s">
        <v>16</v>
      </c>
      <c r="L585" t="str">
        <f t="shared" si="258"/>
        <v>VALID</v>
      </c>
      <c r="M585">
        <f t="shared" ref="M585:M598" si="259">IF(J585&gt;0,H585/J585," ")</f>
        <v>0.41500000000000004</v>
      </c>
      <c r="N585" t="str">
        <f t="shared" ref="N585:N598" si="260">IF(ISNUMBER(E585),IF(E585&lt;1000,"Low",IF(E585&lt;3000,"Medium","High")),"Unknown")</f>
        <v>Low</v>
      </c>
      <c r="O585">
        <f t="shared" ref="O585:O598" si="261">(G585+I585)/2</f>
        <v>33.21</v>
      </c>
      <c r="P585" t="str">
        <f t="shared" ref="P585:P598" si="262">IF(O585&lt;30,"Low",IF(O585&lt;60,"Medium","High"))</f>
        <v>Medium</v>
      </c>
    </row>
    <row r="586" spans="1:16" x14ac:dyDescent="0.25">
      <c r="A586">
        <v>400</v>
      </c>
      <c r="B586">
        <v>15.28</v>
      </c>
      <c r="C586" t="s">
        <v>11</v>
      </c>
      <c r="D586" t="s">
        <v>17</v>
      </c>
      <c r="E586" s="3">
        <v>600</v>
      </c>
      <c r="F586">
        <v>13.1</v>
      </c>
      <c r="G586">
        <v>4.66</v>
      </c>
      <c r="H586">
        <v>0.1</v>
      </c>
      <c r="I586">
        <v>0.65</v>
      </c>
      <c r="J586">
        <v>22</v>
      </c>
      <c r="K586" t="s">
        <v>23</v>
      </c>
      <c r="L586" t="str">
        <f t="shared" si="258"/>
        <v>VALID</v>
      </c>
      <c r="M586">
        <f t="shared" si="259"/>
        <v>4.5454545454545461E-3</v>
      </c>
      <c r="N586" t="str">
        <f t="shared" si="260"/>
        <v>Low</v>
      </c>
      <c r="O586">
        <f t="shared" si="261"/>
        <v>2.6550000000000002</v>
      </c>
      <c r="P586" t="str">
        <f t="shared" si="262"/>
        <v>Low</v>
      </c>
    </row>
    <row r="587" spans="1:16" x14ac:dyDescent="0.25">
      <c r="A587">
        <v>1000</v>
      </c>
      <c r="B587">
        <v>26.76</v>
      </c>
      <c r="C587" t="s">
        <v>21</v>
      </c>
      <c r="D587" t="s">
        <v>18</v>
      </c>
      <c r="E587" s="3">
        <v>2500</v>
      </c>
      <c r="F587">
        <v>44.5</v>
      </c>
      <c r="G587">
        <v>19.02</v>
      </c>
      <c r="H587">
        <v>3.99</v>
      </c>
      <c r="I587">
        <v>14.91</v>
      </c>
      <c r="J587">
        <v>2</v>
      </c>
      <c r="K587" t="s">
        <v>13</v>
      </c>
      <c r="L587" t="str">
        <f t="shared" si="258"/>
        <v>VALID</v>
      </c>
      <c r="M587">
        <f t="shared" si="259"/>
        <v>1.9950000000000001</v>
      </c>
      <c r="N587" t="str">
        <f t="shared" si="260"/>
        <v>Medium</v>
      </c>
      <c r="O587">
        <f t="shared" si="261"/>
        <v>16.965</v>
      </c>
      <c r="P587" t="str">
        <f t="shared" si="262"/>
        <v>Low</v>
      </c>
    </row>
    <row r="588" spans="1:16" x14ac:dyDescent="0.25">
      <c r="A588">
        <v>1200</v>
      </c>
      <c r="B588">
        <v>31.17</v>
      </c>
      <c r="C588" t="s">
        <v>11</v>
      </c>
      <c r="D588" t="s">
        <v>12</v>
      </c>
      <c r="E588" s="3">
        <v>150</v>
      </c>
      <c r="F588">
        <v>6.4</v>
      </c>
      <c r="G588">
        <v>17.64</v>
      </c>
      <c r="H588">
        <v>0.37</v>
      </c>
      <c r="I588">
        <v>1.19</v>
      </c>
      <c r="J588">
        <v>10</v>
      </c>
      <c r="K588" t="s">
        <v>23</v>
      </c>
      <c r="L588" t="str">
        <f t="shared" si="258"/>
        <v>VALID</v>
      </c>
      <c r="M588">
        <f t="shared" si="259"/>
        <v>3.6999999999999998E-2</v>
      </c>
      <c r="N588" t="str">
        <f t="shared" si="260"/>
        <v>Low</v>
      </c>
      <c r="O588">
        <f t="shared" si="261"/>
        <v>9.4150000000000009</v>
      </c>
      <c r="P588" t="str">
        <f t="shared" si="262"/>
        <v>Low</v>
      </c>
    </row>
    <row r="589" spans="1:16" x14ac:dyDescent="0.25">
      <c r="A589">
        <v>250</v>
      </c>
      <c r="B589">
        <v>8.39</v>
      </c>
      <c r="C589" t="s">
        <v>19</v>
      </c>
      <c r="D589" t="s">
        <v>18</v>
      </c>
      <c r="E589" s="3">
        <v>900</v>
      </c>
      <c r="F589">
        <v>-18</v>
      </c>
      <c r="G589">
        <v>19.43</v>
      </c>
      <c r="H589">
        <v>4.67</v>
      </c>
      <c r="I589">
        <v>55.66</v>
      </c>
      <c r="J589">
        <v>14</v>
      </c>
      <c r="K589" t="s">
        <v>13</v>
      </c>
      <c r="L589" t="str">
        <f t="shared" si="258"/>
        <v>VALID</v>
      </c>
      <c r="M589">
        <f t="shared" si="259"/>
        <v>0.33357142857142857</v>
      </c>
      <c r="N589" t="str">
        <f t="shared" si="260"/>
        <v>Low</v>
      </c>
      <c r="O589">
        <f t="shared" si="261"/>
        <v>37.545000000000002</v>
      </c>
      <c r="P589" t="str">
        <f t="shared" si="262"/>
        <v>Medium</v>
      </c>
    </row>
    <row r="590" spans="1:16" x14ac:dyDescent="0.25">
      <c r="A590">
        <v>1200</v>
      </c>
      <c r="B590">
        <v>27.97</v>
      </c>
      <c r="C590" t="s">
        <v>22</v>
      </c>
      <c r="D590" t="s">
        <v>15</v>
      </c>
      <c r="E590" s="3">
        <v>150</v>
      </c>
      <c r="F590">
        <v>22.8</v>
      </c>
      <c r="G590">
        <v>8.2799999999999994</v>
      </c>
      <c r="H590">
        <v>5.33</v>
      </c>
      <c r="I590">
        <v>19.059999999999999</v>
      </c>
      <c r="J590">
        <v>18</v>
      </c>
      <c r="K590" t="s">
        <v>16</v>
      </c>
      <c r="L590" t="str">
        <f t="shared" si="258"/>
        <v>VALID</v>
      </c>
      <c r="M590">
        <f t="shared" si="259"/>
        <v>0.2961111111111111</v>
      </c>
      <c r="N590" t="str">
        <f t="shared" si="260"/>
        <v>Low</v>
      </c>
      <c r="O590">
        <f t="shared" si="261"/>
        <v>13.669999999999998</v>
      </c>
      <c r="P590" t="str">
        <f t="shared" si="262"/>
        <v>Low</v>
      </c>
    </row>
    <row r="591" spans="1:16" x14ac:dyDescent="0.25">
      <c r="A591">
        <v>300</v>
      </c>
      <c r="B591">
        <v>14.98</v>
      </c>
      <c r="C591" t="s">
        <v>14</v>
      </c>
      <c r="D591" t="s">
        <v>20</v>
      </c>
      <c r="E591" s="3">
        <v>150</v>
      </c>
      <c r="F591">
        <v>-36.299999999999997</v>
      </c>
      <c r="G591">
        <v>8.76</v>
      </c>
      <c r="H591">
        <v>9.4499999999999993</v>
      </c>
      <c r="I591">
        <v>63.08</v>
      </c>
      <c r="J591">
        <v>13</v>
      </c>
      <c r="K591" t="s">
        <v>16</v>
      </c>
      <c r="L591" t="str">
        <f t="shared" si="258"/>
        <v>VALID</v>
      </c>
      <c r="M591">
        <f t="shared" si="259"/>
        <v>0.72692307692307689</v>
      </c>
      <c r="N591" t="str">
        <f t="shared" si="260"/>
        <v>Low</v>
      </c>
      <c r="O591">
        <f t="shared" si="261"/>
        <v>35.92</v>
      </c>
      <c r="P591" t="str">
        <f t="shared" si="262"/>
        <v>Medium</v>
      </c>
    </row>
    <row r="592" spans="1:16" x14ac:dyDescent="0.25">
      <c r="A592">
        <v>1000</v>
      </c>
      <c r="B592">
        <v>19.34</v>
      </c>
      <c r="C592" t="s">
        <v>14</v>
      </c>
      <c r="D592" t="s">
        <v>15</v>
      </c>
      <c r="E592" s="3">
        <v>300</v>
      </c>
      <c r="F592">
        <v>33.5</v>
      </c>
      <c r="G592">
        <v>5.84</v>
      </c>
      <c r="H592">
        <v>8.8699999999999992</v>
      </c>
      <c r="I592">
        <v>45.86</v>
      </c>
      <c r="J592">
        <v>23</v>
      </c>
      <c r="K592" t="s">
        <v>16</v>
      </c>
      <c r="L592" t="str">
        <f t="shared" si="258"/>
        <v>VALID</v>
      </c>
      <c r="M592">
        <f t="shared" si="259"/>
        <v>0.38565217391304346</v>
      </c>
      <c r="N592" t="str">
        <f t="shared" si="260"/>
        <v>Low</v>
      </c>
      <c r="O592">
        <f t="shared" si="261"/>
        <v>25.85</v>
      </c>
      <c r="P592" t="str">
        <f t="shared" si="262"/>
        <v>Low</v>
      </c>
    </row>
    <row r="593" spans="1:16" x14ac:dyDescent="0.25">
      <c r="A593">
        <v>500</v>
      </c>
      <c r="B593">
        <v>21.07</v>
      </c>
      <c r="C593" t="s">
        <v>22</v>
      </c>
      <c r="D593" t="s">
        <v>12</v>
      </c>
      <c r="E593" s="3">
        <v>900</v>
      </c>
      <c r="F593">
        <v>121.1</v>
      </c>
      <c r="G593">
        <v>19.73</v>
      </c>
      <c r="H593">
        <v>6.19</v>
      </c>
      <c r="I593">
        <v>29.38</v>
      </c>
      <c r="J593">
        <v>9</v>
      </c>
      <c r="K593" t="s">
        <v>16</v>
      </c>
      <c r="L593" t="str">
        <f t="shared" si="258"/>
        <v>VALID</v>
      </c>
      <c r="M593">
        <f t="shared" si="259"/>
        <v>0.68777777777777782</v>
      </c>
      <c r="N593" t="str">
        <f t="shared" si="260"/>
        <v>Low</v>
      </c>
      <c r="O593">
        <f t="shared" si="261"/>
        <v>24.555</v>
      </c>
      <c r="P593" t="str">
        <f t="shared" si="262"/>
        <v>Low</v>
      </c>
    </row>
    <row r="594" spans="1:16" x14ac:dyDescent="0.25">
      <c r="A594">
        <v>400</v>
      </c>
      <c r="B594">
        <v>17.350000000000001</v>
      </c>
      <c r="C594" t="s">
        <v>11</v>
      </c>
      <c r="D594" t="s">
        <v>12</v>
      </c>
      <c r="E594" s="3">
        <v>900</v>
      </c>
      <c r="F594">
        <v>9.6</v>
      </c>
      <c r="G594">
        <v>13.27</v>
      </c>
      <c r="H594">
        <v>7.76</v>
      </c>
      <c r="I594">
        <v>44.73</v>
      </c>
      <c r="J594">
        <v>20</v>
      </c>
      <c r="K594" t="s">
        <v>16</v>
      </c>
      <c r="L594" t="str">
        <f t="shared" si="258"/>
        <v>VALID</v>
      </c>
      <c r="M594">
        <f t="shared" si="259"/>
        <v>0.38800000000000001</v>
      </c>
      <c r="N594" t="str">
        <f t="shared" si="260"/>
        <v>Low</v>
      </c>
      <c r="O594">
        <f t="shared" si="261"/>
        <v>29</v>
      </c>
      <c r="P594" t="str">
        <f t="shared" si="262"/>
        <v>Low</v>
      </c>
    </row>
    <row r="595" spans="1:16" x14ac:dyDescent="0.25">
      <c r="A595">
        <v>1500</v>
      </c>
      <c r="B595">
        <v>32.520000000000003</v>
      </c>
      <c r="C595" t="s">
        <v>22</v>
      </c>
      <c r="D595" t="s">
        <v>18</v>
      </c>
      <c r="E595" s="3">
        <v>300</v>
      </c>
      <c r="F595">
        <v>50.3</v>
      </c>
      <c r="G595">
        <v>16.559999999999999</v>
      </c>
      <c r="H595">
        <v>1.61</v>
      </c>
      <c r="I595">
        <v>4.95</v>
      </c>
      <c r="J595">
        <v>4</v>
      </c>
      <c r="K595" t="s">
        <v>23</v>
      </c>
      <c r="L595" t="str">
        <f t="shared" si="258"/>
        <v>VALID</v>
      </c>
      <c r="M595">
        <f t="shared" si="259"/>
        <v>0.40250000000000002</v>
      </c>
      <c r="N595" t="str">
        <f t="shared" si="260"/>
        <v>Low</v>
      </c>
      <c r="O595">
        <f t="shared" si="261"/>
        <v>10.754999999999999</v>
      </c>
      <c r="P595" t="str">
        <f t="shared" si="262"/>
        <v>Low</v>
      </c>
    </row>
    <row r="596" spans="1:16" x14ac:dyDescent="0.25">
      <c r="A596">
        <v>150</v>
      </c>
      <c r="B596">
        <v>5.67</v>
      </c>
      <c r="C596" t="s">
        <v>22</v>
      </c>
      <c r="D596" t="s">
        <v>17</v>
      </c>
      <c r="E596" s="3">
        <v>300</v>
      </c>
      <c r="F596">
        <v>21.1</v>
      </c>
      <c r="G596">
        <v>14.81</v>
      </c>
      <c r="H596">
        <v>2.16</v>
      </c>
      <c r="I596">
        <v>38.1</v>
      </c>
      <c r="J596">
        <v>2</v>
      </c>
      <c r="K596" t="s">
        <v>13</v>
      </c>
      <c r="L596" t="str">
        <f t="shared" si="258"/>
        <v>VALID</v>
      </c>
      <c r="M596">
        <f t="shared" si="259"/>
        <v>1.08</v>
      </c>
      <c r="N596" t="str">
        <f t="shared" si="260"/>
        <v>Low</v>
      </c>
      <c r="O596">
        <f t="shared" si="261"/>
        <v>26.455000000000002</v>
      </c>
      <c r="P596" t="str">
        <f t="shared" si="262"/>
        <v>Low</v>
      </c>
    </row>
    <row r="597" spans="1:16" x14ac:dyDescent="0.25">
      <c r="A597">
        <v>50</v>
      </c>
      <c r="B597">
        <v>5.84</v>
      </c>
      <c r="C597" t="s">
        <v>14</v>
      </c>
      <c r="D597" t="s">
        <v>12</v>
      </c>
      <c r="E597" s="3">
        <v>1500</v>
      </c>
      <c r="F597">
        <v>63.9</v>
      </c>
      <c r="G597">
        <v>19.37</v>
      </c>
      <c r="H597">
        <v>4.08</v>
      </c>
      <c r="I597">
        <v>69.86</v>
      </c>
      <c r="J597">
        <v>18</v>
      </c>
      <c r="K597" t="s">
        <v>13</v>
      </c>
      <c r="L597" t="str">
        <f t="shared" si="258"/>
        <v>VALID</v>
      </c>
      <c r="M597">
        <f t="shared" si="259"/>
        <v>0.22666666666666668</v>
      </c>
      <c r="N597" t="str">
        <f t="shared" si="260"/>
        <v>Medium</v>
      </c>
      <c r="O597">
        <f t="shared" si="261"/>
        <v>44.615000000000002</v>
      </c>
      <c r="P597" t="str">
        <f t="shared" si="262"/>
        <v>Medium</v>
      </c>
    </row>
    <row r="598" spans="1:16" x14ac:dyDescent="0.25">
      <c r="A598">
        <v>250</v>
      </c>
      <c r="B598">
        <v>7.48</v>
      </c>
      <c r="C598" t="s">
        <v>22</v>
      </c>
      <c r="D598" t="s">
        <v>12</v>
      </c>
      <c r="E598" s="3">
        <v>2500</v>
      </c>
      <c r="F598">
        <v>22.4</v>
      </c>
      <c r="G598">
        <v>16.239999999999998</v>
      </c>
      <c r="H598">
        <v>1.07</v>
      </c>
      <c r="I598">
        <v>14.3</v>
      </c>
      <c r="J598">
        <v>8</v>
      </c>
      <c r="K598" t="s">
        <v>23</v>
      </c>
      <c r="L598" t="str">
        <f t="shared" si="258"/>
        <v>VALID</v>
      </c>
      <c r="M598">
        <f t="shared" si="259"/>
        <v>0.13375000000000001</v>
      </c>
      <c r="N598" t="str">
        <f t="shared" si="260"/>
        <v>Medium</v>
      </c>
      <c r="O598">
        <f t="shared" si="261"/>
        <v>15.27</v>
      </c>
      <c r="P598" t="str">
        <f t="shared" si="262"/>
        <v>Low</v>
      </c>
    </row>
    <row r="599" spans="1:16" hidden="1" x14ac:dyDescent="0.25">
      <c r="A599">
        <v>50</v>
      </c>
      <c r="B599">
        <v>5.0999999999999996</v>
      </c>
      <c r="C599" t="s">
        <v>11</v>
      </c>
      <c r="D599" t="s">
        <v>18</v>
      </c>
      <c r="E599">
        <v>1500</v>
      </c>
      <c r="F599">
        <v>123.1</v>
      </c>
      <c r="G599">
        <v>16.93</v>
      </c>
      <c r="H599">
        <v>5.24</v>
      </c>
      <c r="I599">
        <v>102.75</v>
      </c>
      <c r="J599">
        <v>21</v>
      </c>
      <c r="K599" t="s">
        <v>16</v>
      </c>
      <c r="L599" t="str">
        <f t="shared" si="258"/>
        <v>INVALID</v>
      </c>
    </row>
    <row r="600" spans="1:16" x14ac:dyDescent="0.25">
      <c r="A600">
        <v>600</v>
      </c>
      <c r="B600">
        <v>26.1</v>
      </c>
      <c r="C600" t="s">
        <v>11</v>
      </c>
      <c r="D600" t="s">
        <v>12</v>
      </c>
      <c r="E600" s="3">
        <v>900</v>
      </c>
      <c r="F600">
        <v>-34</v>
      </c>
      <c r="G600">
        <v>7.16</v>
      </c>
      <c r="H600">
        <v>7</v>
      </c>
      <c r="I600">
        <v>26.82</v>
      </c>
      <c r="J600">
        <v>3</v>
      </c>
      <c r="K600" t="s">
        <v>16</v>
      </c>
      <c r="L600" t="str">
        <f t="shared" si="258"/>
        <v>VALID</v>
      </c>
      <c r="M600">
        <f t="shared" ref="M600:M618" si="263">IF(J600&gt;0,H600/J600," ")</f>
        <v>2.3333333333333335</v>
      </c>
      <c r="N600" t="str">
        <f t="shared" ref="N600:N618" si="264">IF(ISNUMBER(E600),IF(E600&lt;1000,"Low",IF(E600&lt;3000,"Medium","High")),"Unknown")</f>
        <v>Low</v>
      </c>
      <c r="O600">
        <f t="shared" ref="O600:O618" si="265">(G600+I600)/2</f>
        <v>16.990000000000002</v>
      </c>
      <c r="P600" t="str">
        <f t="shared" ref="P600:P618" si="266">IF(O600&lt;30,"Low",IF(O600&lt;60,"Medium","High"))</f>
        <v>Low</v>
      </c>
    </row>
    <row r="601" spans="1:16" x14ac:dyDescent="0.25">
      <c r="A601">
        <v>800</v>
      </c>
      <c r="B601">
        <v>17.68</v>
      </c>
      <c r="C601" t="s">
        <v>11</v>
      </c>
      <c r="D601" t="s">
        <v>17</v>
      </c>
      <c r="E601" s="3">
        <v>600</v>
      </c>
      <c r="F601">
        <v>-8.1</v>
      </c>
      <c r="G601">
        <v>11.35</v>
      </c>
      <c r="H601">
        <v>9.76</v>
      </c>
      <c r="I601">
        <v>55.2</v>
      </c>
      <c r="J601">
        <v>15</v>
      </c>
      <c r="K601" t="s">
        <v>16</v>
      </c>
      <c r="L601" t="str">
        <f t="shared" si="258"/>
        <v>VALID</v>
      </c>
      <c r="M601">
        <f t="shared" si="263"/>
        <v>0.65066666666666662</v>
      </c>
      <c r="N601" t="str">
        <f t="shared" si="264"/>
        <v>Low</v>
      </c>
      <c r="O601">
        <f t="shared" si="265"/>
        <v>33.274999999999999</v>
      </c>
      <c r="P601" t="str">
        <f t="shared" si="266"/>
        <v>Medium</v>
      </c>
    </row>
    <row r="602" spans="1:16" x14ac:dyDescent="0.25">
      <c r="A602">
        <v>150</v>
      </c>
      <c r="B602">
        <v>8.14</v>
      </c>
      <c r="C602" t="s">
        <v>19</v>
      </c>
      <c r="D602" t="s">
        <v>18</v>
      </c>
      <c r="E602" s="3">
        <v>600</v>
      </c>
      <c r="F602">
        <v>80.5</v>
      </c>
      <c r="G602">
        <v>0.6</v>
      </c>
      <c r="H602">
        <v>3.07</v>
      </c>
      <c r="I602">
        <v>37.71</v>
      </c>
      <c r="J602">
        <v>20</v>
      </c>
      <c r="K602" t="s">
        <v>13</v>
      </c>
      <c r="L602" t="str">
        <f t="shared" si="258"/>
        <v>VALID</v>
      </c>
      <c r="M602">
        <f t="shared" si="263"/>
        <v>0.1535</v>
      </c>
      <c r="N602" t="str">
        <f t="shared" si="264"/>
        <v>Low</v>
      </c>
      <c r="O602">
        <f t="shared" si="265"/>
        <v>19.155000000000001</v>
      </c>
      <c r="P602" t="str">
        <f t="shared" si="266"/>
        <v>Low</v>
      </c>
    </row>
    <row r="603" spans="1:16" x14ac:dyDescent="0.25">
      <c r="A603">
        <v>300</v>
      </c>
      <c r="B603">
        <v>8.61</v>
      </c>
      <c r="C603" t="s">
        <v>22</v>
      </c>
      <c r="D603" t="s">
        <v>15</v>
      </c>
      <c r="E603" s="3">
        <v>600</v>
      </c>
      <c r="F603">
        <v>89.5</v>
      </c>
      <c r="G603">
        <v>6.63</v>
      </c>
      <c r="H603">
        <v>0.01</v>
      </c>
      <c r="I603">
        <v>0.12</v>
      </c>
      <c r="J603">
        <v>21</v>
      </c>
      <c r="K603" t="s">
        <v>23</v>
      </c>
      <c r="L603" t="str">
        <f t="shared" si="258"/>
        <v>VALID</v>
      </c>
      <c r="M603">
        <f t="shared" si="263"/>
        <v>4.7619047619047619E-4</v>
      </c>
      <c r="N603" t="str">
        <f t="shared" si="264"/>
        <v>Low</v>
      </c>
      <c r="O603">
        <f t="shared" si="265"/>
        <v>3.375</v>
      </c>
      <c r="P603" t="str">
        <f t="shared" si="266"/>
        <v>Low</v>
      </c>
    </row>
    <row r="604" spans="1:16" x14ac:dyDescent="0.25">
      <c r="A604">
        <v>1200</v>
      </c>
      <c r="B604">
        <v>29.77</v>
      </c>
      <c r="C604" t="s">
        <v>11</v>
      </c>
      <c r="D604" t="s">
        <v>18</v>
      </c>
      <c r="E604" s="3">
        <v>150</v>
      </c>
      <c r="F604">
        <v>124.8</v>
      </c>
      <c r="G604">
        <v>6.59</v>
      </c>
      <c r="H604">
        <v>7.7</v>
      </c>
      <c r="I604">
        <v>25.86</v>
      </c>
      <c r="J604">
        <v>17</v>
      </c>
      <c r="K604" t="s">
        <v>16</v>
      </c>
      <c r="L604" t="str">
        <f t="shared" si="258"/>
        <v>VALID</v>
      </c>
      <c r="M604">
        <f t="shared" si="263"/>
        <v>0.45294117647058824</v>
      </c>
      <c r="N604" t="str">
        <f t="shared" si="264"/>
        <v>Low</v>
      </c>
      <c r="O604">
        <f t="shared" si="265"/>
        <v>16.225000000000001</v>
      </c>
      <c r="P604" t="str">
        <f t="shared" si="266"/>
        <v>Low</v>
      </c>
    </row>
    <row r="605" spans="1:16" x14ac:dyDescent="0.25">
      <c r="A605">
        <v>1500</v>
      </c>
      <c r="B605">
        <v>33.67</v>
      </c>
      <c r="C605" t="s">
        <v>11</v>
      </c>
      <c r="D605" t="s">
        <v>20</v>
      </c>
      <c r="E605" s="3">
        <v>900</v>
      </c>
      <c r="F605">
        <v>63</v>
      </c>
      <c r="G605">
        <v>18.34</v>
      </c>
      <c r="H605">
        <v>3.72</v>
      </c>
      <c r="I605">
        <v>11.05</v>
      </c>
      <c r="J605">
        <v>8</v>
      </c>
      <c r="K605" t="s">
        <v>13</v>
      </c>
      <c r="L605" t="str">
        <f t="shared" si="258"/>
        <v>VALID</v>
      </c>
      <c r="M605">
        <f t="shared" si="263"/>
        <v>0.46500000000000002</v>
      </c>
      <c r="N605" t="str">
        <f t="shared" si="264"/>
        <v>Low</v>
      </c>
      <c r="O605">
        <f t="shared" si="265"/>
        <v>14.695</v>
      </c>
      <c r="P605" t="str">
        <f t="shared" si="266"/>
        <v>Low</v>
      </c>
    </row>
    <row r="606" spans="1:16" x14ac:dyDescent="0.25">
      <c r="A606">
        <v>1200</v>
      </c>
      <c r="B606">
        <v>34.1</v>
      </c>
      <c r="C606" t="s">
        <v>14</v>
      </c>
      <c r="D606" t="s">
        <v>20</v>
      </c>
      <c r="E606" s="3">
        <v>150</v>
      </c>
      <c r="F606">
        <v>75.2</v>
      </c>
      <c r="G606">
        <v>13.57</v>
      </c>
      <c r="H606">
        <v>0.53</v>
      </c>
      <c r="I606">
        <v>1.55</v>
      </c>
      <c r="J606">
        <v>10</v>
      </c>
      <c r="K606" t="s">
        <v>23</v>
      </c>
      <c r="L606" t="str">
        <f t="shared" si="258"/>
        <v>VALID</v>
      </c>
      <c r="M606">
        <f t="shared" si="263"/>
        <v>5.3000000000000005E-2</v>
      </c>
      <c r="N606" t="str">
        <f t="shared" si="264"/>
        <v>Low</v>
      </c>
      <c r="O606">
        <f t="shared" si="265"/>
        <v>7.5600000000000005</v>
      </c>
      <c r="P606" t="str">
        <f t="shared" si="266"/>
        <v>Low</v>
      </c>
    </row>
    <row r="607" spans="1:16" x14ac:dyDescent="0.25">
      <c r="A607">
        <v>250</v>
      </c>
      <c r="B607">
        <v>14.04</v>
      </c>
      <c r="C607" t="s">
        <v>11</v>
      </c>
      <c r="D607" t="s">
        <v>15</v>
      </c>
      <c r="E607" s="3">
        <v>900</v>
      </c>
      <c r="F607">
        <v>14.2</v>
      </c>
      <c r="G607">
        <v>18.329999999999998</v>
      </c>
      <c r="H607">
        <v>5</v>
      </c>
      <c r="I607">
        <v>35.61</v>
      </c>
      <c r="J607">
        <v>5</v>
      </c>
      <c r="K607" t="s">
        <v>13</v>
      </c>
      <c r="L607" t="str">
        <f t="shared" si="258"/>
        <v>VALID</v>
      </c>
      <c r="M607">
        <f t="shared" si="263"/>
        <v>1</v>
      </c>
      <c r="N607" t="str">
        <f t="shared" si="264"/>
        <v>Low</v>
      </c>
      <c r="O607">
        <f t="shared" si="265"/>
        <v>26.97</v>
      </c>
      <c r="P607" t="str">
        <f t="shared" si="266"/>
        <v>Low</v>
      </c>
    </row>
    <row r="608" spans="1:16" x14ac:dyDescent="0.25">
      <c r="A608">
        <v>500</v>
      </c>
      <c r="B608">
        <v>11.64</v>
      </c>
      <c r="C608" t="s">
        <v>14</v>
      </c>
      <c r="D608" t="s">
        <v>15</v>
      </c>
      <c r="E608" s="3">
        <v>300</v>
      </c>
      <c r="F608">
        <v>25</v>
      </c>
      <c r="G608">
        <v>10.3</v>
      </c>
      <c r="H608">
        <v>7.78</v>
      </c>
      <c r="I608">
        <v>66.84</v>
      </c>
      <c r="J608">
        <v>24</v>
      </c>
      <c r="K608" t="s">
        <v>16</v>
      </c>
      <c r="L608" t="str">
        <f t="shared" si="258"/>
        <v>VALID</v>
      </c>
      <c r="M608">
        <f t="shared" si="263"/>
        <v>0.32416666666666666</v>
      </c>
      <c r="N608" t="str">
        <f t="shared" si="264"/>
        <v>Low</v>
      </c>
      <c r="O608">
        <f t="shared" si="265"/>
        <v>38.57</v>
      </c>
      <c r="P608" t="str">
        <f t="shared" si="266"/>
        <v>Medium</v>
      </c>
    </row>
    <row r="609" spans="1:16" x14ac:dyDescent="0.25">
      <c r="A609">
        <v>150</v>
      </c>
      <c r="B609">
        <v>7.88</v>
      </c>
      <c r="C609" t="s">
        <v>22</v>
      </c>
      <c r="D609" t="s">
        <v>20</v>
      </c>
      <c r="E609" s="3">
        <v>600</v>
      </c>
      <c r="F609">
        <v>25.2</v>
      </c>
      <c r="G609">
        <v>2.58</v>
      </c>
      <c r="H609">
        <v>1.79</v>
      </c>
      <c r="I609">
        <v>22.72</v>
      </c>
      <c r="J609">
        <v>2</v>
      </c>
      <c r="K609" t="s">
        <v>23</v>
      </c>
      <c r="L609" t="str">
        <f t="shared" si="258"/>
        <v>VALID</v>
      </c>
      <c r="M609">
        <f t="shared" si="263"/>
        <v>0.89500000000000002</v>
      </c>
      <c r="N609" t="str">
        <f t="shared" si="264"/>
        <v>Low</v>
      </c>
      <c r="O609">
        <f t="shared" si="265"/>
        <v>12.649999999999999</v>
      </c>
      <c r="P609" t="str">
        <f t="shared" si="266"/>
        <v>Low</v>
      </c>
    </row>
    <row r="610" spans="1:16" x14ac:dyDescent="0.25">
      <c r="A610">
        <v>600</v>
      </c>
      <c r="B610">
        <v>15.66</v>
      </c>
      <c r="C610" t="s">
        <v>22</v>
      </c>
      <c r="D610" t="s">
        <v>12</v>
      </c>
      <c r="E610" s="3">
        <v>900</v>
      </c>
      <c r="F610">
        <v>37.799999999999997</v>
      </c>
      <c r="G610">
        <v>6.92</v>
      </c>
      <c r="H610">
        <v>0.44</v>
      </c>
      <c r="I610">
        <v>2.81</v>
      </c>
      <c r="J610">
        <v>5</v>
      </c>
      <c r="K610" t="s">
        <v>23</v>
      </c>
      <c r="L610" t="str">
        <f t="shared" si="258"/>
        <v>VALID</v>
      </c>
      <c r="M610">
        <f t="shared" si="263"/>
        <v>8.7999999999999995E-2</v>
      </c>
      <c r="N610" t="str">
        <f t="shared" si="264"/>
        <v>Low</v>
      </c>
      <c r="O610">
        <f t="shared" si="265"/>
        <v>4.8650000000000002</v>
      </c>
      <c r="P610" t="str">
        <f t="shared" si="266"/>
        <v>Low</v>
      </c>
    </row>
    <row r="611" spans="1:16" x14ac:dyDescent="0.25">
      <c r="A611">
        <v>400</v>
      </c>
      <c r="B611">
        <v>18.59</v>
      </c>
      <c r="C611" t="s">
        <v>19</v>
      </c>
      <c r="D611" t="s">
        <v>17</v>
      </c>
      <c r="E611" s="3">
        <v>150</v>
      </c>
      <c r="F611">
        <v>45.5</v>
      </c>
      <c r="G611">
        <v>7.49</v>
      </c>
      <c r="H611">
        <v>8.65</v>
      </c>
      <c r="I611">
        <v>46.53</v>
      </c>
      <c r="J611">
        <v>11</v>
      </c>
      <c r="K611" t="s">
        <v>16</v>
      </c>
      <c r="L611" t="str">
        <f t="shared" si="258"/>
        <v>VALID</v>
      </c>
      <c r="M611">
        <f t="shared" si="263"/>
        <v>0.78636363636363638</v>
      </c>
      <c r="N611" t="str">
        <f t="shared" si="264"/>
        <v>Low</v>
      </c>
      <c r="O611">
        <f t="shared" si="265"/>
        <v>27.01</v>
      </c>
      <c r="P611" t="str">
        <f t="shared" si="266"/>
        <v>Low</v>
      </c>
    </row>
    <row r="612" spans="1:16" x14ac:dyDescent="0.25">
      <c r="A612">
        <v>300</v>
      </c>
      <c r="B612">
        <v>13.55</v>
      </c>
      <c r="C612" t="s">
        <v>19</v>
      </c>
      <c r="D612" t="s">
        <v>18</v>
      </c>
      <c r="E612" s="3">
        <v>1500</v>
      </c>
      <c r="F612">
        <v>29</v>
      </c>
      <c r="G612">
        <v>7.94</v>
      </c>
      <c r="H612">
        <v>4.79</v>
      </c>
      <c r="I612">
        <v>35.35</v>
      </c>
      <c r="J612">
        <v>7</v>
      </c>
      <c r="K612" t="s">
        <v>13</v>
      </c>
      <c r="L612" t="str">
        <f t="shared" si="258"/>
        <v>VALID</v>
      </c>
      <c r="M612">
        <f t="shared" si="263"/>
        <v>0.68428571428571427</v>
      </c>
      <c r="N612" t="str">
        <f t="shared" si="264"/>
        <v>Medium</v>
      </c>
      <c r="O612">
        <f t="shared" si="265"/>
        <v>21.645</v>
      </c>
      <c r="P612" t="str">
        <f t="shared" si="266"/>
        <v>Low</v>
      </c>
    </row>
    <row r="613" spans="1:16" x14ac:dyDescent="0.25">
      <c r="A613">
        <v>250</v>
      </c>
      <c r="B613">
        <v>9.01</v>
      </c>
      <c r="C613" t="s">
        <v>19</v>
      </c>
      <c r="D613" t="s">
        <v>20</v>
      </c>
      <c r="E613" s="3">
        <v>1500</v>
      </c>
      <c r="F613">
        <v>8.1</v>
      </c>
      <c r="G613">
        <v>14.67</v>
      </c>
      <c r="H613">
        <v>7.8</v>
      </c>
      <c r="I613">
        <v>86.57</v>
      </c>
      <c r="J613">
        <v>16</v>
      </c>
      <c r="K613" t="s">
        <v>16</v>
      </c>
      <c r="L613" t="str">
        <f t="shared" si="258"/>
        <v>VALID</v>
      </c>
      <c r="M613">
        <f t="shared" si="263"/>
        <v>0.48749999999999999</v>
      </c>
      <c r="N613" t="str">
        <f t="shared" si="264"/>
        <v>Medium</v>
      </c>
      <c r="O613">
        <f t="shared" si="265"/>
        <v>50.62</v>
      </c>
      <c r="P613" t="str">
        <f t="shared" si="266"/>
        <v>Medium</v>
      </c>
    </row>
    <row r="614" spans="1:16" x14ac:dyDescent="0.25">
      <c r="A614">
        <v>400</v>
      </c>
      <c r="B614">
        <v>12.1</v>
      </c>
      <c r="C614" t="s">
        <v>19</v>
      </c>
      <c r="D614" t="s">
        <v>17</v>
      </c>
      <c r="E614" s="3">
        <v>2500</v>
      </c>
      <c r="F614">
        <v>51.2</v>
      </c>
      <c r="G614">
        <v>3.4</v>
      </c>
      <c r="H614">
        <v>4.5199999999999996</v>
      </c>
      <c r="I614">
        <v>37.36</v>
      </c>
      <c r="J614">
        <v>16</v>
      </c>
      <c r="K614" t="s">
        <v>13</v>
      </c>
      <c r="L614" t="str">
        <f t="shared" si="258"/>
        <v>VALID</v>
      </c>
      <c r="M614">
        <f t="shared" si="263"/>
        <v>0.28249999999999997</v>
      </c>
      <c r="N614" t="str">
        <f t="shared" si="264"/>
        <v>Medium</v>
      </c>
      <c r="O614">
        <f t="shared" si="265"/>
        <v>20.38</v>
      </c>
      <c r="P614" t="str">
        <f t="shared" si="266"/>
        <v>Low</v>
      </c>
    </row>
    <row r="615" spans="1:16" x14ac:dyDescent="0.25">
      <c r="A615">
        <v>600</v>
      </c>
      <c r="B615">
        <v>22.48</v>
      </c>
      <c r="C615" t="s">
        <v>21</v>
      </c>
      <c r="D615" t="s">
        <v>12</v>
      </c>
      <c r="E615" s="3">
        <v>600</v>
      </c>
      <c r="F615">
        <v>73.3</v>
      </c>
      <c r="G615">
        <v>14.86</v>
      </c>
      <c r="H615">
        <v>5.51</v>
      </c>
      <c r="I615">
        <v>24.51</v>
      </c>
      <c r="J615">
        <v>12</v>
      </c>
      <c r="K615" t="s">
        <v>16</v>
      </c>
      <c r="L615" t="str">
        <f t="shared" si="258"/>
        <v>VALID</v>
      </c>
      <c r="M615">
        <f t="shared" si="263"/>
        <v>0.45916666666666667</v>
      </c>
      <c r="N615" t="str">
        <f t="shared" si="264"/>
        <v>Low</v>
      </c>
      <c r="O615">
        <f t="shared" si="265"/>
        <v>19.685000000000002</v>
      </c>
      <c r="P615" t="str">
        <f t="shared" si="266"/>
        <v>Low</v>
      </c>
    </row>
    <row r="616" spans="1:16" x14ac:dyDescent="0.25">
      <c r="A616">
        <v>300</v>
      </c>
      <c r="B616">
        <v>10.32</v>
      </c>
      <c r="C616" t="s">
        <v>11</v>
      </c>
      <c r="D616" t="s">
        <v>15</v>
      </c>
      <c r="E616" s="3">
        <v>150</v>
      </c>
      <c r="F616">
        <v>10</v>
      </c>
      <c r="G616">
        <v>13.16</v>
      </c>
      <c r="H616">
        <v>5.12</v>
      </c>
      <c r="I616">
        <v>49.61</v>
      </c>
      <c r="J616">
        <v>19</v>
      </c>
      <c r="K616" t="s">
        <v>16</v>
      </c>
      <c r="L616" t="str">
        <f t="shared" si="258"/>
        <v>VALID</v>
      </c>
      <c r="M616">
        <f t="shared" si="263"/>
        <v>0.26947368421052631</v>
      </c>
      <c r="N616" t="str">
        <f t="shared" si="264"/>
        <v>Low</v>
      </c>
      <c r="O616">
        <f t="shared" si="265"/>
        <v>31.384999999999998</v>
      </c>
      <c r="P616" t="str">
        <f t="shared" si="266"/>
        <v>Medium</v>
      </c>
    </row>
    <row r="617" spans="1:16" x14ac:dyDescent="0.25">
      <c r="A617">
        <v>500</v>
      </c>
      <c r="B617">
        <v>14.46</v>
      </c>
      <c r="C617" t="s">
        <v>14</v>
      </c>
      <c r="D617" t="s">
        <v>15</v>
      </c>
      <c r="E617" s="3">
        <v>600</v>
      </c>
      <c r="F617">
        <v>-15.3</v>
      </c>
      <c r="G617">
        <v>15.12</v>
      </c>
      <c r="H617">
        <v>2.94</v>
      </c>
      <c r="I617">
        <v>20.329999999999998</v>
      </c>
      <c r="J617">
        <v>23</v>
      </c>
      <c r="K617" t="s">
        <v>13</v>
      </c>
      <c r="L617" t="str">
        <f t="shared" si="258"/>
        <v>VALID</v>
      </c>
      <c r="M617">
        <f t="shared" si="263"/>
        <v>0.12782608695652173</v>
      </c>
      <c r="N617" t="str">
        <f t="shared" si="264"/>
        <v>Low</v>
      </c>
      <c r="O617">
        <f t="shared" si="265"/>
        <v>17.724999999999998</v>
      </c>
      <c r="P617" t="str">
        <f t="shared" si="266"/>
        <v>Low</v>
      </c>
    </row>
    <row r="618" spans="1:16" x14ac:dyDescent="0.25">
      <c r="A618">
        <v>1200</v>
      </c>
      <c r="B618">
        <v>21.53</v>
      </c>
      <c r="C618" t="s">
        <v>19</v>
      </c>
      <c r="D618" t="s">
        <v>17</v>
      </c>
      <c r="E618" s="3">
        <v>900</v>
      </c>
      <c r="F618">
        <v>17.2</v>
      </c>
      <c r="G618">
        <v>19.61</v>
      </c>
      <c r="H618">
        <v>6.89</v>
      </c>
      <c r="I618">
        <v>32</v>
      </c>
      <c r="J618">
        <v>24</v>
      </c>
      <c r="K618" t="s">
        <v>16</v>
      </c>
      <c r="L618" t="str">
        <f t="shared" si="258"/>
        <v>VALID</v>
      </c>
      <c r="M618">
        <f t="shared" si="263"/>
        <v>0.2870833333333333</v>
      </c>
      <c r="N618" t="str">
        <f t="shared" si="264"/>
        <v>Low</v>
      </c>
      <c r="O618">
        <f t="shared" si="265"/>
        <v>25.805</v>
      </c>
      <c r="P618" t="str">
        <f t="shared" si="266"/>
        <v>Low</v>
      </c>
    </row>
    <row r="619" spans="1:16" hidden="1" x14ac:dyDescent="0.25">
      <c r="A619">
        <v>100</v>
      </c>
      <c r="B619">
        <v>4.0999999999999996</v>
      </c>
      <c r="C619" t="s">
        <v>19</v>
      </c>
      <c r="D619" t="s">
        <v>15</v>
      </c>
      <c r="E619">
        <v>900</v>
      </c>
      <c r="F619">
        <v>-36.6</v>
      </c>
      <c r="G619">
        <v>9.98</v>
      </c>
      <c r="H619">
        <v>5.68</v>
      </c>
      <c r="I619">
        <v>138.54</v>
      </c>
      <c r="J619">
        <v>19</v>
      </c>
      <c r="K619" t="s">
        <v>16</v>
      </c>
      <c r="L619" t="str">
        <f t="shared" si="258"/>
        <v>INVALID</v>
      </c>
    </row>
    <row r="620" spans="1:16" x14ac:dyDescent="0.25">
      <c r="A620">
        <v>1500</v>
      </c>
      <c r="B620">
        <v>40.479999999999997</v>
      </c>
      <c r="C620" t="s">
        <v>14</v>
      </c>
      <c r="D620" t="s">
        <v>20</v>
      </c>
      <c r="E620" s="3">
        <v>1500</v>
      </c>
      <c r="F620">
        <v>98.3</v>
      </c>
      <c r="G620">
        <v>9.9499999999999993</v>
      </c>
      <c r="H620">
        <v>4.6100000000000003</v>
      </c>
      <c r="I620">
        <v>11.39</v>
      </c>
      <c r="J620">
        <v>18</v>
      </c>
      <c r="K620" t="s">
        <v>13</v>
      </c>
      <c r="L620" t="str">
        <f t="shared" si="258"/>
        <v>VALID</v>
      </c>
      <c r="M620">
        <f t="shared" ref="M620" si="267">IF(J620&gt;0,H620/J620," ")</f>
        <v>0.25611111111111112</v>
      </c>
      <c r="N620" t="str">
        <f>IF(ISNUMBER(E620),IF(E620&lt;1000,"Low",IF(E620&lt;3000,"Medium","High")),"Unknown")</f>
        <v>Medium</v>
      </c>
      <c r="O620">
        <f>(G620+I620)/2</f>
        <v>10.67</v>
      </c>
      <c r="P620" t="str">
        <f>IF(O620&lt;30,"Low",IF(O620&lt;60,"Medium","High"))</f>
        <v>Low</v>
      </c>
    </row>
    <row r="621" spans="1:16" hidden="1" x14ac:dyDescent="0.25">
      <c r="A621">
        <v>150</v>
      </c>
      <c r="B621">
        <v>6.56</v>
      </c>
      <c r="C621" t="s">
        <v>22</v>
      </c>
      <c r="D621" t="s">
        <v>12</v>
      </c>
      <c r="E621">
        <v>150</v>
      </c>
      <c r="F621">
        <v>76.900000000000006</v>
      </c>
      <c r="G621">
        <v>9.65</v>
      </c>
      <c r="H621">
        <v>6.62</v>
      </c>
      <c r="I621">
        <v>100.91</v>
      </c>
      <c r="J621">
        <v>18</v>
      </c>
      <c r="K621" t="s">
        <v>16</v>
      </c>
      <c r="L621" t="str">
        <f t="shared" si="258"/>
        <v>INVALID</v>
      </c>
    </row>
    <row r="622" spans="1:16" x14ac:dyDescent="0.25">
      <c r="A622">
        <v>1200</v>
      </c>
      <c r="B622">
        <v>33.44</v>
      </c>
      <c r="C622" t="s">
        <v>21</v>
      </c>
      <c r="D622" t="s">
        <v>20</v>
      </c>
      <c r="E622" s="3">
        <v>300</v>
      </c>
      <c r="F622">
        <v>69.900000000000006</v>
      </c>
      <c r="G622">
        <v>8.39</v>
      </c>
      <c r="H622">
        <v>7.09</v>
      </c>
      <c r="I622">
        <v>21.2</v>
      </c>
      <c r="J622">
        <v>5</v>
      </c>
      <c r="K622" t="s">
        <v>16</v>
      </c>
      <c r="L622" t="str">
        <f t="shared" si="258"/>
        <v>VALID</v>
      </c>
      <c r="M622">
        <f t="shared" ref="M622:M628" si="268">IF(J622&gt;0,H622/J622," ")</f>
        <v>1.4179999999999999</v>
      </c>
      <c r="N622" t="str">
        <f t="shared" ref="N622:N628" si="269">IF(ISNUMBER(E622),IF(E622&lt;1000,"Low",IF(E622&lt;3000,"Medium","High")),"Unknown")</f>
        <v>Low</v>
      </c>
      <c r="O622">
        <f t="shared" ref="O622:O628" si="270">(G622+I622)/2</f>
        <v>14.795</v>
      </c>
      <c r="P622" t="str">
        <f t="shared" ref="P622:P628" si="271">IF(O622&lt;30,"Low",IF(O622&lt;60,"Medium","High"))</f>
        <v>Low</v>
      </c>
    </row>
    <row r="623" spans="1:16" x14ac:dyDescent="0.25">
      <c r="A623">
        <v>250</v>
      </c>
      <c r="B623">
        <v>14.39</v>
      </c>
      <c r="C623" t="s">
        <v>22</v>
      </c>
      <c r="D623" t="s">
        <v>17</v>
      </c>
      <c r="E623" s="3">
        <v>1500</v>
      </c>
      <c r="F623">
        <v>53.2</v>
      </c>
      <c r="G623">
        <v>17.670000000000002</v>
      </c>
      <c r="H623">
        <v>9.08</v>
      </c>
      <c r="I623">
        <v>63.1</v>
      </c>
      <c r="J623">
        <v>10</v>
      </c>
      <c r="K623" t="s">
        <v>16</v>
      </c>
      <c r="L623" t="str">
        <f t="shared" si="258"/>
        <v>VALID</v>
      </c>
      <c r="M623">
        <f t="shared" si="268"/>
        <v>0.90800000000000003</v>
      </c>
      <c r="N623" t="str">
        <f t="shared" si="269"/>
        <v>Medium</v>
      </c>
      <c r="O623">
        <f t="shared" si="270"/>
        <v>40.385000000000005</v>
      </c>
      <c r="P623" t="str">
        <f t="shared" si="271"/>
        <v>Medium</v>
      </c>
    </row>
    <row r="624" spans="1:16" x14ac:dyDescent="0.25">
      <c r="A624">
        <v>800</v>
      </c>
      <c r="B624">
        <v>19.010000000000002</v>
      </c>
      <c r="C624" t="s">
        <v>22</v>
      </c>
      <c r="D624" t="s">
        <v>15</v>
      </c>
      <c r="E624" s="3">
        <v>150</v>
      </c>
      <c r="F624">
        <v>67.599999999999994</v>
      </c>
      <c r="G624">
        <v>16.13</v>
      </c>
      <c r="H624">
        <v>7.98</v>
      </c>
      <c r="I624">
        <v>41.98</v>
      </c>
      <c r="J624">
        <v>5</v>
      </c>
      <c r="K624" t="s">
        <v>16</v>
      </c>
      <c r="L624" t="str">
        <f t="shared" si="258"/>
        <v>VALID</v>
      </c>
      <c r="M624">
        <f t="shared" si="268"/>
        <v>1.5960000000000001</v>
      </c>
      <c r="N624" t="str">
        <f t="shared" si="269"/>
        <v>Low</v>
      </c>
      <c r="O624">
        <f t="shared" si="270"/>
        <v>29.055</v>
      </c>
      <c r="P624" t="str">
        <f t="shared" si="271"/>
        <v>Low</v>
      </c>
    </row>
    <row r="625" spans="1:16" x14ac:dyDescent="0.25">
      <c r="A625">
        <v>400</v>
      </c>
      <c r="B625">
        <v>15.24</v>
      </c>
      <c r="C625" t="s">
        <v>11</v>
      </c>
      <c r="D625" t="s">
        <v>17</v>
      </c>
      <c r="E625" s="3">
        <v>150</v>
      </c>
      <c r="F625">
        <v>38.5</v>
      </c>
      <c r="G625">
        <v>7.57</v>
      </c>
      <c r="H625">
        <v>1.6</v>
      </c>
      <c r="I625">
        <v>10.5</v>
      </c>
      <c r="J625">
        <v>13</v>
      </c>
      <c r="K625" t="s">
        <v>23</v>
      </c>
      <c r="L625" t="str">
        <f t="shared" si="258"/>
        <v>VALID</v>
      </c>
      <c r="M625">
        <f t="shared" si="268"/>
        <v>0.12307692307692308</v>
      </c>
      <c r="N625" t="str">
        <f t="shared" si="269"/>
        <v>Low</v>
      </c>
      <c r="O625">
        <f t="shared" si="270"/>
        <v>9.0350000000000001</v>
      </c>
      <c r="P625" t="str">
        <f t="shared" si="271"/>
        <v>Low</v>
      </c>
    </row>
    <row r="626" spans="1:16" x14ac:dyDescent="0.25">
      <c r="A626">
        <v>50</v>
      </c>
      <c r="B626">
        <v>3.27</v>
      </c>
      <c r="C626" t="s">
        <v>22</v>
      </c>
      <c r="D626" t="s">
        <v>18</v>
      </c>
      <c r="E626" s="3">
        <v>300</v>
      </c>
      <c r="F626">
        <v>41</v>
      </c>
      <c r="G626">
        <v>0.64</v>
      </c>
      <c r="H626">
        <v>3.03</v>
      </c>
      <c r="I626">
        <v>92.66</v>
      </c>
      <c r="J626">
        <v>9</v>
      </c>
      <c r="K626" t="s">
        <v>13</v>
      </c>
      <c r="L626" t="str">
        <f t="shared" si="258"/>
        <v>VALID</v>
      </c>
      <c r="M626">
        <f t="shared" si="268"/>
        <v>0.33666666666666667</v>
      </c>
      <c r="N626" t="str">
        <f t="shared" si="269"/>
        <v>Low</v>
      </c>
      <c r="O626">
        <f t="shared" si="270"/>
        <v>46.65</v>
      </c>
      <c r="P626" t="str">
        <f t="shared" si="271"/>
        <v>Medium</v>
      </c>
    </row>
    <row r="627" spans="1:16" x14ac:dyDescent="0.25">
      <c r="A627">
        <v>300</v>
      </c>
      <c r="B627">
        <v>7.91</v>
      </c>
      <c r="C627" t="s">
        <v>19</v>
      </c>
      <c r="D627" t="s">
        <v>18</v>
      </c>
      <c r="E627" s="3">
        <v>1500</v>
      </c>
      <c r="F627">
        <v>20.7</v>
      </c>
      <c r="G627">
        <v>10.81</v>
      </c>
      <c r="H627">
        <v>2.29</v>
      </c>
      <c r="I627">
        <v>28.95</v>
      </c>
      <c r="J627">
        <v>12</v>
      </c>
      <c r="K627" t="s">
        <v>13</v>
      </c>
      <c r="L627" t="str">
        <f t="shared" si="258"/>
        <v>VALID</v>
      </c>
      <c r="M627">
        <f t="shared" si="268"/>
        <v>0.19083333333333333</v>
      </c>
      <c r="N627" t="str">
        <f t="shared" si="269"/>
        <v>Medium</v>
      </c>
      <c r="O627">
        <f t="shared" si="270"/>
        <v>19.88</v>
      </c>
      <c r="P627" t="str">
        <f t="shared" si="271"/>
        <v>Low</v>
      </c>
    </row>
    <row r="628" spans="1:16" x14ac:dyDescent="0.25">
      <c r="A628">
        <v>400</v>
      </c>
      <c r="B628">
        <v>19.86</v>
      </c>
      <c r="C628" t="s">
        <v>11</v>
      </c>
      <c r="D628" t="s">
        <v>12</v>
      </c>
      <c r="E628" s="3">
        <v>2500</v>
      </c>
      <c r="F628">
        <v>43.1</v>
      </c>
      <c r="G628">
        <v>2.27</v>
      </c>
      <c r="H628">
        <v>2.1800000000000002</v>
      </c>
      <c r="I628">
        <v>10.98</v>
      </c>
      <c r="J628">
        <v>1</v>
      </c>
      <c r="K628" t="s">
        <v>13</v>
      </c>
      <c r="L628" t="str">
        <f t="shared" si="258"/>
        <v>VALID</v>
      </c>
      <c r="M628">
        <f t="shared" si="268"/>
        <v>2.1800000000000002</v>
      </c>
      <c r="N628" t="str">
        <f t="shared" si="269"/>
        <v>Medium</v>
      </c>
      <c r="O628">
        <f t="shared" si="270"/>
        <v>6.625</v>
      </c>
      <c r="P628" t="str">
        <f t="shared" si="271"/>
        <v>Low</v>
      </c>
    </row>
    <row r="629" spans="1:16" hidden="1" x14ac:dyDescent="0.25">
      <c r="A629">
        <v>50</v>
      </c>
      <c r="B629">
        <v>4.4400000000000004</v>
      </c>
      <c r="C629" t="s">
        <v>11</v>
      </c>
      <c r="D629" t="s">
        <v>20</v>
      </c>
      <c r="E629">
        <v>900</v>
      </c>
      <c r="F629">
        <v>79.400000000000006</v>
      </c>
      <c r="G629">
        <v>6.13</v>
      </c>
      <c r="H629">
        <v>6.24</v>
      </c>
      <c r="I629">
        <v>140.54</v>
      </c>
      <c r="J629">
        <v>24</v>
      </c>
      <c r="K629" t="s">
        <v>16</v>
      </c>
      <c r="L629" t="str">
        <f t="shared" si="258"/>
        <v>INVALID</v>
      </c>
    </row>
    <row r="630" spans="1:16" x14ac:dyDescent="0.25">
      <c r="A630">
        <v>800</v>
      </c>
      <c r="B630">
        <v>19.04</v>
      </c>
      <c r="C630" t="s">
        <v>14</v>
      </c>
      <c r="D630" t="s">
        <v>20</v>
      </c>
      <c r="E630" s="3">
        <v>150</v>
      </c>
      <c r="F630">
        <v>111</v>
      </c>
      <c r="G630">
        <v>0.01</v>
      </c>
      <c r="H630">
        <v>5.01</v>
      </c>
      <c r="I630">
        <v>26.31</v>
      </c>
      <c r="J630">
        <v>6</v>
      </c>
      <c r="K630" t="s">
        <v>16</v>
      </c>
      <c r="L630" t="str">
        <f t="shared" si="258"/>
        <v>VALID</v>
      </c>
      <c r="M630">
        <f t="shared" ref="M630:M641" si="272">IF(J630&gt;0,H630/J630," ")</f>
        <v>0.83499999999999996</v>
      </c>
      <c r="N630" t="str">
        <f t="shared" ref="N630:N641" si="273">IF(ISNUMBER(E630),IF(E630&lt;1000,"Low",IF(E630&lt;3000,"Medium","High")),"Unknown")</f>
        <v>Low</v>
      </c>
      <c r="O630">
        <f t="shared" ref="O630:O641" si="274">(G630+I630)/2</f>
        <v>13.16</v>
      </c>
      <c r="P630" t="str">
        <f t="shared" ref="P630:P641" si="275">IF(O630&lt;30,"Low",IF(O630&lt;60,"Medium","High"))</f>
        <v>Low</v>
      </c>
    </row>
    <row r="631" spans="1:16" x14ac:dyDescent="0.25">
      <c r="A631">
        <v>250</v>
      </c>
      <c r="B631">
        <v>9.98</v>
      </c>
      <c r="C631" t="s">
        <v>19</v>
      </c>
      <c r="D631" t="s">
        <v>17</v>
      </c>
      <c r="E631" s="3">
        <v>900</v>
      </c>
      <c r="F631">
        <v>53.2</v>
      </c>
      <c r="G631">
        <v>3.57</v>
      </c>
      <c r="H631">
        <v>3.4</v>
      </c>
      <c r="I631">
        <v>34.07</v>
      </c>
      <c r="J631">
        <v>11</v>
      </c>
      <c r="K631" t="s">
        <v>13</v>
      </c>
      <c r="L631" t="str">
        <f t="shared" si="258"/>
        <v>VALID</v>
      </c>
      <c r="M631">
        <f t="shared" si="272"/>
        <v>0.30909090909090908</v>
      </c>
      <c r="N631" t="str">
        <f t="shared" si="273"/>
        <v>Low</v>
      </c>
      <c r="O631">
        <f t="shared" si="274"/>
        <v>18.82</v>
      </c>
      <c r="P631" t="str">
        <f t="shared" si="275"/>
        <v>Low</v>
      </c>
    </row>
    <row r="632" spans="1:16" x14ac:dyDescent="0.25">
      <c r="A632">
        <v>100</v>
      </c>
      <c r="B632">
        <v>4.34</v>
      </c>
      <c r="C632" t="s">
        <v>21</v>
      </c>
      <c r="D632" t="s">
        <v>12</v>
      </c>
      <c r="E632" s="3">
        <v>1500</v>
      </c>
      <c r="F632">
        <v>22.6</v>
      </c>
      <c r="G632">
        <v>7.12</v>
      </c>
      <c r="H632">
        <v>1.62</v>
      </c>
      <c r="I632">
        <v>37.33</v>
      </c>
      <c r="J632">
        <v>3</v>
      </c>
      <c r="K632" t="s">
        <v>23</v>
      </c>
      <c r="L632" t="str">
        <f t="shared" si="258"/>
        <v>VALID</v>
      </c>
      <c r="M632">
        <f t="shared" si="272"/>
        <v>0.54</v>
      </c>
      <c r="N632" t="str">
        <f t="shared" si="273"/>
        <v>Medium</v>
      </c>
      <c r="O632">
        <f t="shared" si="274"/>
        <v>22.224999999999998</v>
      </c>
      <c r="P632" t="str">
        <f t="shared" si="275"/>
        <v>Low</v>
      </c>
    </row>
    <row r="633" spans="1:16" x14ac:dyDescent="0.25">
      <c r="A633">
        <v>150</v>
      </c>
      <c r="B633">
        <v>9.3800000000000008</v>
      </c>
      <c r="C633" t="s">
        <v>22</v>
      </c>
      <c r="D633" t="s">
        <v>17</v>
      </c>
      <c r="E633" s="3">
        <v>1500</v>
      </c>
      <c r="F633">
        <v>29.5</v>
      </c>
      <c r="G633">
        <v>10.11</v>
      </c>
      <c r="H633">
        <v>2.41</v>
      </c>
      <c r="I633">
        <v>25.69</v>
      </c>
      <c r="J633">
        <v>1</v>
      </c>
      <c r="K633" t="s">
        <v>13</v>
      </c>
      <c r="L633" t="str">
        <f t="shared" si="258"/>
        <v>VALID</v>
      </c>
      <c r="M633">
        <f t="shared" si="272"/>
        <v>2.41</v>
      </c>
      <c r="N633" t="str">
        <f t="shared" si="273"/>
        <v>Medium</v>
      </c>
      <c r="O633">
        <f t="shared" si="274"/>
        <v>17.899999999999999</v>
      </c>
      <c r="P633" t="str">
        <f t="shared" si="275"/>
        <v>Low</v>
      </c>
    </row>
    <row r="634" spans="1:16" x14ac:dyDescent="0.25">
      <c r="A634">
        <v>400</v>
      </c>
      <c r="B634">
        <v>15.39</v>
      </c>
      <c r="C634" t="s">
        <v>21</v>
      </c>
      <c r="D634" t="s">
        <v>12</v>
      </c>
      <c r="E634" s="3">
        <v>150</v>
      </c>
      <c r="F634">
        <v>119.6</v>
      </c>
      <c r="G634">
        <v>16.37</v>
      </c>
      <c r="H634">
        <v>8</v>
      </c>
      <c r="I634">
        <v>51.98</v>
      </c>
      <c r="J634">
        <v>14</v>
      </c>
      <c r="K634" t="s">
        <v>16</v>
      </c>
      <c r="L634" t="str">
        <f t="shared" si="258"/>
        <v>VALID</v>
      </c>
      <c r="M634">
        <f t="shared" si="272"/>
        <v>0.5714285714285714</v>
      </c>
      <c r="N634" t="str">
        <f t="shared" si="273"/>
        <v>Low</v>
      </c>
      <c r="O634">
        <f t="shared" si="274"/>
        <v>34.174999999999997</v>
      </c>
      <c r="P634" t="str">
        <f t="shared" si="275"/>
        <v>Medium</v>
      </c>
    </row>
    <row r="635" spans="1:16" x14ac:dyDescent="0.25">
      <c r="A635">
        <v>1500</v>
      </c>
      <c r="B635">
        <v>37.590000000000003</v>
      </c>
      <c r="C635" t="s">
        <v>22</v>
      </c>
      <c r="D635" t="s">
        <v>18</v>
      </c>
      <c r="E635" s="3">
        <v>900</v>
      </c>
      <c r="F635">
        <v>69.7</v>
      </c>
      <c r="G635">
        <v>11.87</v>
      </c>
      <c r="H635">
        <v>1.39</v>
      </c>
      <c r="I635">
        <v>3.7</v>
      </c>
      <c r="J635">
        <v>7</v>
      </c>
      <c r="K635" t="s">
        <v>23</v>
      </c>
      <c r="L635" t="str">
        <f t="shared" si="258"/>
        <v>VALID</v>
      </c>
      <c r="M635">
        <f t="shared" si="272"/>
        <v>0.19857142857142857</v>
      </c>
      <c r="N635" t="str">
        <f t="shared" si="273"/>
        <v>Low</v>
      </c>
      <c r="O635">
        <f t="shared" si="274"/>
        <v>7.7850000000000001</v>
      </c>
      <c r="P635" t="str">
        <f t="shared" si="275"/>
        <v>Low</v>
      </c>
    </row>
    <row r="636" spans="1:16" x14ac:dyDescent="0.25">
      <c r="A636">
        <v>1500</v>
      </c>
      <c r="B636">
        <v>30.85</v>
      </c>
      <c r="C636" t="s">
        <v>11</v>
      </c>
      <c r="D636" t="s">
        <v>15</v>
      </c>
      <c r="E636" s="3">
        <v>900</v>
      </c>
      <c r="F636">
        <v>18.5</v>
      </c>
      <c r="G636">
        <v>12.39</v>
      </c>
      <c r="H636">
        <v>8.3699999999999992</v>
      </c>
      <c r="I636">
        <v>27.13</v>
      </c>
      <c r="J636">
        <v>24</v>
      </c>
      <c r="K636" t="s">
        <v>16</v>
      </c>
      <c r="L636" t="str">
        <f t="shared" si="258"/>
        <v>VALID</v>
      </c>
      <c r="M636">
        <f t="shared" si="272"/>
        <v>0.34874999999999995</v>
      </c>
      <c r="N636" t="str">
        <f t="shared" si="273"/>
        <v>Low</v>
      </c>
      <c r="O636">
        <f t="shared" si="274"/>
        <v>19.759999999999998</v>
      </c>
      <c r="P636" t="str">
        <f t="shared" si="275"/>
        <v>Low</v>
      </c>
    </row>
    <row r="637" spans="1:16" x14ac:dyDescent="0.25">
      <c r="A637">
        <v>1200</v>
      </c>
      <c r="B637">
        <v>36.08</v>
      </c>
      <c r="C637" t="s">
        <v>11</v>
      </c>
      <c r="D637" t="s">
        <v>17</v>
      </c>
      <c r="E637" s="3">
        <v>1500</v>
      </c>
      <c r="F637">
        <v>17.7</v>
      </c>
      <c r="G637">
        <v>10.34</v>
      </c>
      <c r="H637">
        <v>4.6100000000000003</v>
      </c>
      <c r="I637">
        <v>12.78</v>
      </c>
      <c r="J637">
        <v>14</v>
      </c>
      <c r="K637" t="s">
        <v>13</v>
      </c>
      <c r="L637" t="str">
        <f t="shared" si="258"/>
        <v>VALID</v>
      </c>
      <c r="M637">
        <f t="shared" si="272"/>
        <v>0.32928571428571429</v>
      </c>
      <c r="N637" t="str">
        <f t="shared" si="273"/>
        <v>Medium</v>
      </c>
      <c r="O637">
        <f t="shared" si="274"/>
        <v>11.559999999999999</v>
      </c>
      <c r="P637" t="str">
        <f t="shared" si="275"/>
        <v>Low</v>
      </c>
    </row>
    <row r="638" spans="1:16" x14ac:dyDescent="0.25">
      <c r="A638">
        <v>1500</v>
      </c>
      <c r="B638">
        <v>40.659999999999997</v>
      </c>
      <c r="C638" t="s">
        <v>22</v>
      </c>
      <c r="D638" t="s">
        <v>18</v>
      </c>
      <c r="E638" s="3">
        <v>1500</v>
      </c>
      <c r="F638">
        <v>90.8</v>
      </c>
      <c r="G638">
        <v>8.74</v>
      </c>
      <c r="H638">
        <v>0.53</v>
      </c>
      <c r="I638">
        <v>1.3</v>
      </c>
      <c r="J638">
        <v>17</v>
      </c>
      <c r="K638" t="s">
        <v>23</v>
      </c>
      <c r="L638" t="str">
        <f t="shared" si="258"/>
        <v>VALID</v>
      </c>
      <c r="M638">
        <f t="shared" si="272"/>
        <v>3.1176470588235295E-2</v>
      </c>
      <c r="N638" t="str">
        <f t="shared" si="273"/>
        <v>Medium</v>
      </c>
      <c r="O638">
        <f t="shared" si="274"/>
        <v>5.0200000000000005</v>
      </c>
      <c r="P638" t="str">
        <f t="shared" si="275"/>
        <v>Low</v>
      </c>
    </row>
    <row r="639" spans="1:16" x14ac:dyDescent="0.25">
      <c r="A639">
        <v>200</v>
      </c>
      <c r="B639">
        <v>7.73</v>
      </c>
      <c r="C639" t="s">
        <v>22</v>
      </c>
      <c r="D639" t="s">
        <v>12</v>
      </c>
      <c r="E639" s="3">
        <v>150</v>
      </c>
      <c r="F639">
        <v>51.4</v>
      </c>
      <c r="G639">
        <v>17</v>
      </c>
      <c r="H639">
        <v>0.49</v>
      </c>
      <c r="I639">
        <v>6.34</v>
      </c>
      <c r="J639">
        <v>4</v>
      </c>
      <c r="K639" t="s">
        <v>23</v>
      </c>
      <c r="L639" t="str">
        <f t="shared" si="258"/>
        <v>VALID</v>
      </c>
      <c r="M639">
        <f t="shared" si="272"/>
        <v>0.1225</v>
      </c>
      <c r="N639" t="str">
        <f t="shared" si="273"/>
        <v>Low</v>
      </c>
      <c r="O639">
        <f t="shared" si="274"/>
        <v>11.67</v>
      </c>
      <c r="P639" t="str">
        <f t="shared" si="275"/>
        <v>Low</v>
      </c>
    </row>
    <row r="640" spans="1:16" x14ac:dyDescent="0.25">
      <c r="A640">
        <v>250</v>
      </c>
      <c r="B640">
        <v>10.72</v>
      </c>
      <c r="C640" t="s">
        <v>19</v>
      </c>
      <c r="D640" t="s">
        <v>12</v>
      </c>
      <c r="E640" s="3">
        <v>900</v>
      </c>
      <c r="F640">
        <v>-8.5</v>
      </c>
      <c r="G640">
        <v>5.3</v>
      </c>
      <c r="H640">
        <v>5.51</v>
      </c>
      <c r="I640">
        <v>51.4</v>
      </c>
      <c r="J640">
        <v>13</v>
      </c>
      <c r="K640" t="s">
        <v>16</v>
      </c>
      <c r="L640" t="str">
        <f t="shared" si="258"/>
        <v>VALID</v>
      </c>
      <c r="M640">
        <f t="shared" si="272"/>
        <v>0.42384615384615382</v>
      </c>
      <c r="N640" t="str">
        <f t="shared" si="273"/>
        <v>Low</v>
      </c>
      <c r="O640">
        <f t="shared" si="274"/>
        <v>28.349999999999998</v>
      </c>
      <c r="P640" t="str">
        <f t="shared" si="275"/>
        <v>Low</v>
      </c>
    </row>
    <row r="641" spans="1:16" x14ac:dyDescent="0.25">
      <c r="A641">
        <v>250</v>
      </c>
      <c r="B641">
        <v>9.25</v>
      </c>
      <c r="C641" t="s">
        <v>14</v>
      </c>
      <c r="D641" t="s">
        <v>20</v>
      </c>
      <c r="E641" s="3">
        <v>150</v>
      </c>
      <c r="F641">
        <v>28.1</v>
      </c>
      <c r="G641">
        <v>9.1999999999999993</v>
      </c>
      <c r="H641">
        <v>4.5599999999999996</v>
      </c>
      <c r="I641">
        <v>49.3</v>
      </c>
      <c r="J641">
        <v>18</v>
      </c>
      <c r="K641" t="s">
        <v>13</v>
      </c>
      <c r="L641" t="str">
        <f t="shared" si="258"/>
        <v>VALID</v>
      </c>
      <c r="M641">
        <f t="shared" si="272"/>
        <v>0.2533333333333333</v>
      </c>
      <c r="N641" t="str">
        <f t="shared" si="273"/>
        <v>Low</v>
      </c>
      <c r="O641">
        <f t="shared" si="274"/>
        <v>29.25</v>
      </c>
      <c r="P641" t="str">
        <f t="shared" si="275"/>
        <v>Low</v>
      </c>
    </row>
    <row r="642" spans="1:16" hidden="1" x14ac:dyDescent="0.25">
      <c r="A642">
        <v>50</v>
      </c>
      <c r="B642">
        <v>5.61</v>
      </c>
      <c r="C642" t="s">
        <v>21</v>
      </c>
      <c r="D642" t="s">
        <v>12</v>
      </c>
      <c r="E642">
        <v>2500</v>
      </c>
      <c r="F642">
        <v>1.3</v>
      </c>
      <c r="G642">
        <v>3.5</v>
      </c>
      <c r="H642">
        <v>9.5299999999999994</v>
      </c>
      <c r="I642">
        <v>169.88</v>
      </c>
      <c r="J642">
        <v>8</v>
      </c>
      <c r="K642" t="s">
        <v>16</v>
      </c>
      <c r="L642" t="str">
        <f t="shared" si="258"/>
        <v>INVALID</v>
      </c>
    </row>
    <row r="643" spans="1:16" x14ac:dyDescent="0.25">
      <c r="A643">
        <v>150</v>
      </c>
      <c r="B643">
        <v>9.7100000000000009</v>
      </c>
      <c r="C643" t="s">
        <v>19</v>
      </c>
      <c r="D643" t="s">
        <v>20</v>
      </c>
      <c r="E643" s="3">
        <v>900</v>
      </c>
      <c r="F643">
        <v>11.6</v>
      </c>
      <c r="G643">
        <v>3.38</v>
      </c>
      <c r="H643">
        <v>2.72</v>
      </c>
      <c r="I643">
        <v>28.01</v>
      </c>
      <c r="J643">
        <v>24</v>
      </c>
      <c r="K643" t="s">
        <v>13</v>
      </c>
      <c r="L643" t="str">
        <f t="shared" ref="L643:L706" si="276">IF(H643&gt;B643,"INVALID","VALID")</f>
        <v>VALID</v>
      </c>
      <c r="M643">
        <f t="shared" ref="M643:M665" si="277">IF(J643&gt;0,H643/J643," ")</f>
        <v>0.11333333333333334</v>
      </c>
      <c r="N643" t="str">
        <f t="shared" ref="N643:N665" si="278">IF(ISNUMBER(E643),IF(E643&lt;1000,"Low",IF(E643&lt;3000,"Medium","High")),"Unknown")</f>
        <v>Low</v>
      </c>
      <c r="O643">
        <f t="shared" ref="O643:O665" si="279">(G643+I643)/2</f>
        <v>15.695</v>
      </c>
      <c r="P643" t="str">
        <f t="shared" ref="P643:P665" si="280">IF(O643&lt;30,"Low",IF(O643&lt;60,"Medium","High"))</f>
        <v>Low</v>
      </c>
    </row>
    <row r="644" spans="1:16" x14ac:dyDescent="0.25">
      <c r="A644">
        <v>100</v>
      </c>
      <c r="B644">
        <v>6.21</v>
      </c>
      <c r="C644" t="s">
        <v>14</v>
      </c>
      <c r="D644" t="s">
        <v>17</v>
      </c>
      <c r="E644" s="3">
        <v>1500</v>
      </c>
      <c r="F644">
        <v>50.5</v>
      </c>
      <c r="G644">
        <v>19.940000000000001</v>
      </c>
      <c r="H644">
        <v>4.78</v>
      </c>
      <c r="I644">
        <v>76.97</v>
      </c>
      <c r="J644">
        <v>4</v>
      </c>
      <c r="K644" t="s">
        <v>13</v>
      </c>
      <c r="L644" t="str">
        <f t="shared" si="276"/>
        <v>VALID</v>
      </c>
      <c r="M644">
        <f t="shared" si="277"/>
        <v>1.1950000000000001</v>
      </c>
      <c r="N644" t="str">
        <f t="shared" si="278"/>
        <v>Medium</v>
      </c>
      <c r="O644">
        <f t="shared" si="279"/>
        <v>48.454999999999998</v>
      </c>
      <c r="P644" t="str">
        <f t="shared" si="280"/>
        <v>Medium</v>
      </c>
    </row>
    <row r="645" spans="1:16" x14ac:dyDescent="0.25">
      <c r="A645">
        <v>1500</v>
      </c>
      <c r="B645">
        <v>22.39</v>
      </c>
      <c r="C645" t="s">
        <v>19</v>
      </c>
      <c r="D645" t="s">
        <v>17</v>
      </c>
      <c r="E645" s="3">
        <v>1500</v>
      </c>
      <c r="F645">
        <v>57.9</v>
      </c>
      <c r="G645">
        <v>12.28</v>
      </c>
      <c r="H645">
        <v>2.8</v>
      </c>
      <c r="I645">
        <v>12.51</v>
      </c>
      <c r="J645">
        <v>20</v>
      </c>
      <c r="K645" t="s">
        <v>13</v>
      </c>
      <c r="L645" t="str">
        <f t="shared" si="276"/>
        <v>VALID</v>
      </c>
      <c r="M645">
        <f t="shared" si="277"/>
        <v>0.13999999999999999</v>
      </c>
      <c r="N645" t="str">
        <f t="shared" si="278"/>
        <v>Medium</v>
      </c>
      <c r="O645">
        <f t="shared" si="279"/>
        <v>12.395</v>
      </c>
      <c r="P645" t="str">
        <f t="shared" si="280"/>
        <v>Low</v>
      </c>
    </row>
    <row r="646" spans="1:16" x14ac:dyDescent="0.25">
      <c r="A646">
        <v>1500</v>
      </c>
      <c r="B646">
        <v>45.28</v>
      </c>
      <c r="C646" t="s">
        <v>11</v>
      </c>
      <c r="D646" t="s">
        <v>17</v>
      </c>
      <c r="E646" s="3">
        <v>900</v>
      </c>
      <c r="F646">
        <v>9.1999999999999993</v>
      </c>
      <c r="G646">
        <v>17.55</v>
      </c>
      <c r="H646">
        <v>1.1299999999999999</v>
      </c>
      <c r="I646">
        <v>2.5</v>
      </c>
      <c r="J646">
        <v>6</v>
      </c>
      <c r="K646" t="s">
        <v>23</v>
      </c>
      <c r="L646" t="str">
        <f t="shared" si="276"/>
        <v>VALID</v>
      </c>
      <c r="M646">
        <f t="shared" si="277"/>
        <v>0.18833333333333332</v>
      </c>
      <c r="N646" t="str">
        <f t="shared" si="278"/>
        <v>Low</v>
      </c>
      <c r="O646">
        <f t="shared" si="279"/>
        <v>10.025</v>
      </c>
      <c r="P646" t="str">
        <f t="shared" si="280"/>
        <v>Low</v>
      </c>
    </row>
    <row r="647" spans="1:16" x14ac:dyDescent="0.25">
      <c r="A647">
        <v>1000</v>
      </c>
      <c r="B647">
        <v>22.05</v>
      </c>
      <c r="C647" t="s">
        <v>22</v>
      </c>
      <c r="D647" t="s">
        <v>17</v>
      </c>
      <c r="E647" s="3">
        <v>1500</v>
      </c>
      <c r="F647">
        <v>29.4</v>
      </c>
      <c r="G647">
        <v>0.25</v>
      </c>
      <c r="H647">
        <v>7.56</v>
      </c>
      <c r="I647">
        <v>34.29</v>
      </c>
      <c r="J647">
        <v>4</v>
      </c>
      <c r="K647" t="s">
        <v>16</v>
      </c>
      <c r="L647" t="str">
        <f t="shared" si="276"/>
        <v>VALID</v>
      </c>
      <c r="M647">
        <f t="shared" si="277"/>
        <v>1.89</v>
      </c>
      <c r="N647" t="str">
        <f t="shared" si="278"/>
        <v>Medium</v>
      </c>
      <c r="O647">
        <f t="shared" si="279"/>
        <v>17.27</v>
      </c>
      <c r="P647" t="str">
        <f t="shared" si="280"/>
        <v>Low</v>
      </c>
    </row>
    <row r="648" spans="1:16" x14ac:dyDescent="0.25">
      <c r="A648">
        <v>250</v>
      </c>
      <c r="B648">
        <v>11.53</v>
      </c>
      <c r="C648" t="s">
        <v>21</v>
      </c>
      <c r="D648" t="s">
        <v>15</v>
      </c>
      <c r="E648" s="3">
        <v>300</v>
      </c>
      <c r="F648">
        <v>-9</v>
      </c>
      <c r="G648">
        <v>9.6</v>
      </c>
      <c r="H648">
        <v>1.84</v>
      </c>
      <c r="I648">
        <v>15.96</v>
      </c>
      <c r="J648">
        <v>22</v>
      </c>
      <c r="K648" t="s">
        <v>23</v>
      </c>
      <c r="L648" t="str">
        <f t="shared" si="276"/>
        <v>VALID</v>
      </c>
      <c r="M648">
        <f t="shared" si="277"/>
        <v>8.3636363636363634E-2</v>
      </c>
      <c r="N648" t="str">
        <f t="shared" si="278"/>
        <v>Low</v>
      </c>
      <c r="O648">
        <f t="shared" si="279"/>
        <v>12.780000000000001</v>
      </c>
      <c r="P648" t="str">
        <f t="shared" si="280"/>
        <v>Low</v>
      </c>
    </row>
    <row r="649" spans="1:16" x14ac:dyDescent="0.25">
      <c r="A649">
        <v>50</v>
      </c>
      <c r="B649">
        <v>5.28</v>
      </c>
      <c r="C649" t="s">
        <v>11</v>
      </c>
      <c r="D649" t="s">
        <v>15</v>
      </c>
      <c r="E649" s="3">
        <v>900</v>
      </c>
      <c r="F649">
        <v>53.5</v>
      </c>
      <c r="G649">
        <v>19.260000000000002</v>
      </c>
      <c r="H649">
        <v>0.86</v>
      </c>
      <c r="I649">
        <v>16.29</v>
      </c>
      <c r="J649">
        <v>17</v>
      </c>
      <c r="K649" t="s">
        <v>23</v>
      </c>
      <c r="L649" t="str">
        <f t="shared" si="276"/>
        <v>VALID</v>
      </c>
      <c r="M649">
        <f t="shared" si="277"/>
        <v>5.0588235294117649E-2</v>
      </c>
      <c r="N649" t="str">
        <f t="shared" si="278"/>
        <v>Low</v>
      </c>
      <c r="O649">
        <f t="shared" si="279"/>
        <v>17.774999999999999</v>
      </c>
      <c r="P649" t="str">
        <f t="shared" si="280"/>
        <v>Low</v>
      </c>
    </row>
    <row r="650" spans="1:16" x14ac:dyDescent="0.25">
      <c r="A650">
        <v>1200</v>
      </c>
      <c r="B650">
        <v>30.85</v>
      </c>
      <c r="C650" t="s">
        <v>22</v>
      </c>
      <c r="D650" t="s">
        <v>12</v>
      </c>
      <c r="E650" s="3">
        <v>2500</v>
      </c>
      <c r="F650">
        <v>67.599999999999994</v>
      </c>
      <c r="G650">
        <v>7.07</v>
      </c>
      <c r="H650">
        <v>8.9</v>
      </c>
      <c r="I650">
        <v>28.85</v>
      </c>
      <c r="J650">
        <v>19</v>
      </c>
      <c r="K650" t="s">
        <v>16</v>
      </c>
      <c r="L650" t="str">
        <f t="shared" si="276"/>
        <v>VALID</v>
      </c>
      <c r="M650">
        <f t="shared" si="277"/>
        <v>0.46842105263157896</v>
      </c>
      <c r="N650" t="str">
        <f t="shared" si="278"/>
        <v>Medium</v>
      </c>
      <c r="O650">
        <f t="shared" si="279"/>
        <v>17.96</v>
      </c>
      <c r="P650" t="str">
        <f t="shared" si="280"/>
        <v>Low</v>
      </c>
    </row>
    <row r="651" spans="1:16" x14ac:dyDescent="0.25">
      <c r="A651">
        <v>1200</v>
      </c>
      <c r="B651">
        <v>38.85</v>
      </c>
      <c r="C651" t="s">
        <v>14</v>
      </c>
      <c r="D651" t="s">
        <v>15</v>
      </c>
      <c r="E651" s="3">
        <v>900</v>
      </c>
      <c r="F651">
        <v>77.400000000000006</v>
      </c>
      <c r="G651">
        <v>11.5</v>
      </c>
      <c r="H651">
        <v>0.03</v>
      </c>
      <c r="I651">
        <v>0.08</v>
      </c>
      <c r="J651">
        <v>18</v>
      </c>
      <c r="K651" t="s">
        <v>23</v>
      </c>
      <c r="L651" t="str">
        <f t="shared" si="276"/>
        <v>VALID</v>
      </c>
      <c r="M651">
        <f t="shared" si="277"/>
        <v>1.6666666666666666E-3</v>
      </c>
      <c r="N651" t="str">
        <f t="shared" si="278"/>
        <v>Low</v>
      </c>
      <c r="O651">
        <f t="shared" si="279"/>
        <v>5.79</v>
      </c>
      <c r="P651" t="str">
        <f t="shared" si="280"/>
        <v>Low</v>
      </c>
    </row>
    <row r="652" spans="1:16" x14ac:dyDescent="0.25">
      <c r="A652">
        <v>1000</v>
      </c>
      <c r="B652">
        <v>31.79</v>
      </c>
      <c r="C652" t="s">
        <v>19</v>
      </c>
      <c r="D652" t="s">
        <v>12</v>
      </c>
      <c r="E652" s="3">
        <v>2500</v>
      </c>
      <c r="F652">
        <v>19.899999999999999</v>
      </c>
      <c r="G652">
        <v>7.87</v>
      </c>
      <c r="H652">
        <v>8.4499999999999993</v>
      </c>
      <c r="I652">
        <v>26.58</v>
      </c>
      <c r="J652">
        <v>12</v>
      </c>
      <c r="K652" t="s">
        <v>16</v>
      </c>
      <c r="L652" t="str">
        <f t="shared" si="276"/>
        <v>VALID</v>
      </c>
      <c r="M652">
        <f t="shared" si="277"/>
        <v>0.70416666666666661</v>
      </c>
      <c r="N652" t="str">
        <f t="shared" si="278"/>
        <v>Medium</v>
      </c>
      <c r="O652">
        <f t="shared" si="279"/>
        <v>17.224999999999998</v>
      </c>
      <c r="P652" t="str">
        <f t="shared" si="280"/>
        <v>Low</v>
      </c>
    </row>
    <row r="653" spans="1:16" x14ac:dyDescent="0.25">
      <c r="A653">
        <v>100</v>
      </c>
      <c r="B653">
        <v>5.28</v>
      </c>
      <c r="C653" t="s">
        <v>19</v>
      </c>
      <c r="D653" t="s">
        <v>17</v>
      </c>
      <c r="E653" s="3">
        <v>1500</v>
      </c>
      <c r="F653">
        <v>-0.5</v>
      </c>
      <c r="G653">
        <v>0.88</v>
      </c>
      <c r="H653">
        <v>2.37</v>
      </c>
      <c r="I653">
        <v>44.89</v>
      </c>
      <c r="J653">
        <v>18</v>
      </c>
      <c r="K653" t="s">
        <v>13</v>
      </c>
      <c r="L653" t="str">
        <f t="shared" si="276"/>
        <v>VALID</v>
      </c>
      <c r="M653">
        <f t="shared" si="277"/>
        <v>0.13166666666666668</v>
      </c>
      <c r="N653" t="str">
        <f t="shared" si="278"/>
        <v>Medium</v>
      </c>
      <c r="O653">
        <f t="shared" si="279"/>
        <v>22.885000000000002</v>
      </c>
      <c r="P653" t="str">
        <f t="shared" si="280"/>
        <v>Low</v>
      </c>
    </row>
    <row r="654" spans="1:16" x14ac:dyDescent="0.25">
      <c r="A654">
        <v>50</v>
      </c>
      <c r="B654">
        <v>3.72</v>
      </c>
      <c r="C654" t="s">
        <v>21</v>
      </c>
      <c r="D654" t="s">
        <v>18</v>
      </c>
      <c r="E654" s="3">
        <v>1500</v>
      </c>
      <c r="F654">
        <v>89.2</v>
      </c>
      <c r="G654">
        <v>7.29</v>
      </c>
      <c r="H654">
        <v>2.2799999999999998</v>
      </c>
      <c r="I654">
        <v>61.29</v>
      </c>
      <c r="J654">
        <v>6</v>
      </c>
      <c r="K654" t="s">
        <v>13</v>
      </c>
      <c r="L654" t="str">
        <f t="shared" si="276"/>
        <v>VALID</v>
      </c>
      <c r="M654">
        <f t="shared" si="277"/>
        <v>0.37999999999999995</v>
      </c>
      <c r="N654" t="str">
        <f t="shared" si="278"/>
        <v>Medium</v>
      </c>
      <c r="O654">
        <f t="shared" si="279"/>
        <v>34.29</v>
      </c>
      <c r="P654" t="str">
        <f t="shared" si="280"/>
        <v>Medium</v>
      </c>
    </row>
    <row r="655" spans="1:16" x14ac:dyDescent="0.25">
      <c r="A655">
        <v>300</v>
      </c>
      <c r="B655">
        <v>12.36</v>
      </c>
      <c r="C655" t="s">
        <v>22</v>
      </c>
      <c r="D655" t="s">
        <v>20</v>
      </c>
      <c r="E655" s="3">
        <v>1500</v>
      </c>
      <c r="F655">
        <v>10.199999999999999</v>
      </c>
      <c r="G655">
        <v>1.58</v>
      </c>
      <c r="H655">
        <v>2.06</v>
      </c>
      <c r="I655">
        <v>16.670000000000002</v>
      </c>
      <c r="J655">
        <v>4</v>
      </c>
      <c r="K655" t="s">
        <v>13</v>
      </c>
      <c r="L655" t="str">
        <f t="shared" si="276"/>
        <v>VALID</v>
      </c>
      <c r="M655">
        <f t="shared" si="277"/>
        <v>0.51500000000000001</v>
      </c>
      <c r="N655" t="str">
        <f t="shared" si="278"/>
        <v>Medium</v>
      </c>
      <c r="O655">
        <f t="shared" si="279"/>
        <v>9.125</v>
      </c>
      <c r="P655" t="str">
        <f t="shared" si="280"/>
        <v>Low</v>
      </c>
    </row>
    <row r="656" spans="1:16" x14ac:dyDescent="0.25">
      <c r="A656">
        <v>800</v>
      </c>
      <c r="B656">
        <v>14.93</v>
      </c>
      <c r="C656" t="s">
        <v>22</v>
      </c>
      <c r="D656" t="s">
        <v>18</v>
      </c>
      <c r="E656" s="3">
        <v>150</v>
      </c>
      <c r="F656">
        <v>76.7</v>
      </c>
      <c r="G656">
        <v>1.74</v>
      </c>
      <c r="H656">
        <v>7.64</v>
      </c>
      <c r="I656">
        <v>51.17</v>
      </c>
      <c r="J656">
        <v>5</v>
      </c>
      <c r="K656" t="s">
        <v>16</v>
      </c>
      <c r="L656" t="str">
        <f t="shared" si="276"/>
        <v>VALID</v>
      </c>
      <c r="M656">
        <f t="shared" si="277"/>
        <v>1.528</v>
      </c>
      <c r="N656" t="str">
        <f t="shared" si="278"/>
        <v>Low</v>
      </c>
      <c r="O656">
        <f t="shared" si="279"/>
        <v>26.455000000000002</v>
      </c>
      <c r="P656" t="str">
        <f t="shared" si="280"/>
        <v>Low</v>
      </c>
    </row>
    <row r="657" spans="1:16" x14ac:dyDescent="0.25">
      <c r="A657">
        <v>250</v>
      </c>
      <c r="B657">
        <v>13.81</v>
      </c>
      <c r="C657" t="s">
        <v>22</v>
      </c>
      <c r="D657" t="s">
        <v>12</v>
      </c>
      <c r="E657" s="3">
        <v>300</v>
      </c>
      <c r="F657">
        <v>-2.9</v>
      </c>
      <c r="G657">
        <v>5.82</v>
      </c>
      <c r="H657">
        <v>3.7</v>
      </c>
      <c r="I657">
        <v>26.79</v>
      </c>
      <c r="J657">
        <v>1</v>
      </c>
      <c r="K657" t="s">
        <v>13</v>
      </c>
      <c r="L657" t="str">
        <f t="shared" si="276"/>
        <v>VALID</v>
      </c>
      <c r="M657">
        <f t="shared" si="277"/>
        <v>3.7</v>
      </c>
      <c r="N657" t="str">
        <f t="shared" si="278"/>
        <v>Low</v>
      </c>
      <c r="O657">
        <f t="shared" si="279"/>
        <v>16.305</v>
      </c>
      <c r="P657" t="str">
        <f t="shared" si="280"/>
        <v>Low</v>
      </c>
    </row>
    <row r="658" spans="1:16" x14ac:dyDescent="0.25">
      <c r="A658">
        <v>150</v>
      </c>
      <c r="B658">
        <v>9.06</v>
      </c>
      <c r="C658" t="s">
        <v>22</v>
      </c>
      <c r="D658" t="s">
        <v>18</v>
      </c>
      <c r="E658" s="3">
        <v>1500</v>
      </c>
      <c r="F658">
        <v>36.5</v>
      </c>
      <c r="G658">
        <v>3.74</v>
      </c>
      <c r="H658">
        <v>3.59</v>
      </c>
      <c r="I658">
        <v>39.619999999999997</v>
      </c>
      <c r="J658">
        <v>6</v>
      </c>
      <c r="K658" t="s">
        <v>13</v>
      </c>
      <c r="L658" t="str">
        <f t="shared" si="276"/>
        <v>VALID</v>
      </c>
      <c r="M658">
        <f t="shared" si="277"/>
        <v>0.59833333333333327</v>
      </c>
      <c r="N658" t="str">
        <f t="shared" si="278"/>
        <v>Medium</v>
      </c>
      <c r="O658">
        <f t="shared" si="279"/>
        <v>21.68</v>
      </c>
      <c r="P658" t="str">
        <f t="shared" si="280"/>
        <v>Low</v>
      </c>
    </row>
    <row r="659" spans="1:16" x14ac:dyDescent="0.25">
      <c r="A659">
        <v>800</v>
      </c>
      <c r="B659">
        <v>30.08</v>
      </c>
      <c r="C659" t="s">
        <v>22</v>
      </c>
      <c r="D659" t="s">
        <v>17</v>
      </c>
      <c r="E659" s="3">
        <v>2500</v>
      </c>
      <c r="F659">
        <v>78.400000000000006</v>
      </c>
      <c r="G659">
        <v>0.68</v>
      </c>
      <c r="H659">
        <v>3.95</v>
      </c>
      <c r="I659">
        <v>13.13</v>
      </c>
      <c r="J659">
        <v>7</v>
      </c>
      <c r="K659" t="s">
        <v>13</v>
      </c>
      <c r="L659" t="str">
        <f t="shared" si="276"/>
        <v>VALID</v>
      </c>
      <c r="M659">
        <f t="shared" si="277"/>
        <v>0.56428571428571428</v>
      </c>
      <c r="N659" t="str">
        <f t="shared" si="278"/>
        <v>Medium</v>
      </c>
      <c r="O659">
        <f t="shared" si="279"/>
        <v>6.9050000000000002</v>
      </c>
      <c r="P659" t="str">
        <f t="shared" si="280"/>
        <v>Low</v>
      </c>
    </row>
    <row r="660" spans="1:16" x14ac:dyDescent="0.25">
      <c r="A660">
        <v>600</v>
      </c>
      <c r="B660">
        <v>12.87</v>
      </c>
      <c r="C660" t="s">
        <v>19</v>
      </c>
      <c r="D660" t="s">
        <v>20</v>
      </c>
      <c r="E660" s="3">
        <v>150</v>
      </c>
      <c r="F660">
        <v>59.2</v>
      </c>
      <c r="G660">
        <v>1.96</v>
      </c>
      <c r="H660">
        <v>5.9</v>
      </c>
      <c r="I660">
        <v>45.84</v>
      </c>
      <c r="J660">
        <v>10</v>
      </c>
      <c r="K660" t="s">
        <v>16</v>
      </c>
      <c r="L660" t="str">
        <f t="shared" si="276"/>
        <v>VALID</v>
      </c>
      <c r="M660">
        <f t="shared" si="277"/>
        <v>0.59000000000000008</v>
      </c>
      <c r="N660" t="str">
        <f t="shared" si="278"/>
        <v>Low</v>
      </c>
      <c r="O660">
        <f t="shared" si="279"/>
        <v>23.900000000000002</v>
      </c>
      <c r="P660" t="str">
        <f t="shared" si="280"/>
        <v>Low</v>
      </c>
    </row>
    <row r="661" spans="1:16" x14ac:dyDescent="0.25">
      <c r="A661">
        <v>50</v>
      </c>
      <c r="B661">
        <v>5.1100000000000003</v>
      </c>
      <c r="C661" t="s">
        <v>19</v>
      </c>
      <c r="D661" t="s">
        <v>18</v>
      </c>
      <c r="E661" s="3">
        <v>300</v>
      </c>
      <c r="F661">
        <v>2</v>
      </c>
      <c r="G661">
        <v>16.71</v>
      </c>
      <c r="H661">
        <v>1.89</v>
      </c>
      <c r="I661">
        <v>36.99</v>
      </c>
      <c r="J661">
        <v>22</v>
      </c>
      <c r="K661" t="s">
        <v>23</v>
      </c>
      <c r="L661" t="str">
        <f t="shared" si="276"/>
        <v>VALID</v>
      </c>
      <c r="M661">
        <f t="shared" si="277"/>
        <v>8.5909090909090907E-2</v>
      </c>
      <c r="N661" t="str">
        <f t="shared" si="278"/>
        <v>Low</v>
      </c>
      <c r="O661">
        <f t="shared" si="279"/>
        <v>26.85</v>
      </c>
      <c r="P661" t="str">
        <f t="shared" si="280"/>
        <v>Low</v>
      </c>
    </row>
    <row r="662" spans="1:16" x14ac:dyDescent="0.25">
      <c r="A662">
        <v>250</v>
      </c>
      <c r="B662">
        <v>9.91</v>
      </c>
      <c r="C662" t="s">
        <v>11</v>
      </c>
      <c r="D662" t="s">
        <v>15</v>
      </c>
      <c r="E662" s="3">
        <v>2500</v>
      </c>
      <c r="F662">
        <v>42.7</v>
      </c>
      <c r="G662">
        <v>10.050000000000001</v>
      </c>
      <c r="H662">
        <v>0.38</v>
      </c>
      <c r="I662">
        <v>3.83</v>
      </c>
      <c r="J662">
        <v>25</v>
      </c>
      <c r="K662" t="s">
        <v>23</v>
      </c>
      <c r="L662" t="str">
        <f t="shared" si="276"/>
        <v>VALID</v>
      </c>
      <c r="M662">
        <f t="shared" si="277"/>
        <v>1.52E-2</v>
      </c>
      <c r="N662" t="str">
        <f t="shared" si="278"/>
        <v>Medium</v>
      </c>
      <c r="O662">
        <f t="shared" si="279"/>
        <v>6.94</v>
      </c>
      <c r="P662" t="str">
        <f t="shared" si="280"/>
        <v>Low</v>
      </c>
    </row>
    <row r="663" spans="1:16" x14ac:dyDescent="0.25">
      <c r="A663">
        <v>300</v>
      </c>
      <c r="B663">
        <v>10.62</v>
      </c>
      <c r="C663" t="s">
        <v>21</v>
      </c>
      <c r="D663" t="s">
        <v>20</v>
      </c>
      <c r="E663" s="3">
        <v>2500</v>
      </c>
      <c r="F663">
        <v>30.6</v>
      </c>
      <c r="G663">
        <v>4.55</v>
      </c>
      <c r="H663">
        <v>7.18</v>
      </c>
      <c r="I663">
        <v>67.61</v>
      </c>
      <c r="J663">
        <v>7</v>
      </c>
      <c r="K663" t="s">
        <v>16</v>
      </c>
      <c r="L663" t="str">
        <f t="shared" si="276"/>
        <v>VALID</v>
      </c>
      <c r="M663">
        <f t="shared" si="277"/>
        <v>1.0257142857142856</v>
      </c>
      <c r="N663" t="str">
        <f t="shared" si="278"/>
        <v>Medium</v>
      </c>
      <c r="O663">
        <f t="shared" si="279"/>
        <v>36.08</v>
      </c>
      <c r="P663" t="str">
        <f t="shared" si="280"/>
        <v>Medium</v>
      </c>
    </row>
    <row r="664" spans="1:16" x14ac:dyDescent="0.25">
      <c r="A664">
        <v>250</v>
      </c>
      <c r="B664">
        <v>13.79</v>
      </c>
      <c r="C664" t="s">
        <v>21</v>
      </c>
      <c r="D664" t="s">
        <v>18</v>
      </c>
      <c r="E664" s="3">
        <v>300</v>
      </c>
      <c r="F664">
        <v>93.5</v>
      </c>
      <c r="G664">
        <v>12.87</v>
      </c>
      <c r="H664">
        <v>4.1399999999999997</v>
      </c>
      <c r="I664">
        <v>30.02</v>
      </c>
      <c r="J664">
        <v>17</v>
      </c>
      <c r="K664" t="s">
        <v>13</v>
      </c>
      <c r="L664" t="str">
        <f t="shared" si="276"/>
        <v>VALID</v>
      </c>
      <c r="M664">
        <f t="shared" si="277"/>
        <v>0.24352941176470586</v>
      </c>
      <c r="N664" t="str">
        <f t="shared" si="278"/>
        <v>Low</v>
      </c>
      <c r="O664">
        <f t="shared" si="279"/>
        <v>21.445</v>
      </c>
      <c r="P664" t="str">
        <f t="shared" si="280"/>
        <v>Low</v>
      </c>
    </row>
    <row r="665" spans="1:16" x14ac:dyDescent="0.25">
      <c r="A665">
        <v>500</v>
      </c>
      <c r="B665">
        <v>21.72</v>
      </c>
      <c r="C665" t="s">
        <v>22</v>
      </c>
      <c r="D665" t="s">
        <v>20</v>
      </c>
      <c r="E665" s="3">
        <v>600</v>
      </c>
      <c r="F665">
        <v>51.8</v>
      </c>
      <c r="G665">
        <v>3.16</v>
      </c>
      <c r="H665">
        <v>8.67</v>
      </c>
      <c r="I665">
        <v>39.92</v>
      </c>
      <c r="J665">
        <v>13</v>
      </c>
      <c r="K665" t="s">
        <v>16</v>
      </c>
      <c r="L665" t="str">
        <f t="shared" si="276"/>
        <v>VALID</v>
      </c>
      <c r="M665">
        <f t="shared" si="277"/>
        <v>0.66692307692307695</v>
      </c>
      <c r="N665" t="str">
        <f t="shared" si="278"/>
        <v>Low</v>
      </c>
      <c r="O665">
        <f t="shared" si="279"/>
        <v>21.54</v>
      </c>
      <c r="P665" t="str">
        <f t="shared" si="280"/>
        <v>Low</v>
      </c>
    </row>
    <row r="666" spans="1:16" hidden="1" x14ac:dyDescent="0.25">
      <c r="A666">
        <v>200</v>
      </c>
      <c r="B666">
        <v>7.2</v>
      </c>
      <c r="C666" t="s">
        <v>14</v>
      </c>
      <c r="D666" t="s">
        <v>20</v>
      </c>
      <c r="E666">
        <v>900</v>
      </c>
      <c r="F666">
        <v>26.3</v>
      </c>
      <c r="G666">
        <v>5.64</v>
      </c>
      <c r="H666">
        <v>8.76</v>
      </c>
      <c r="I666">
        <v>121.67</v>
      </c>
      <c r="J666">
        <v>14</v>
      </c>
      <c r="K666" t="s">
        <v>16</v>
      </c>
      <c r="L666" t="str">
        <f t="shared" si="276"/>
        <v>INVALID</v>
      </c>
    </row>
    <row r="667" spans="1:16" x14ac:dyDescent="0.25">
      <c r="A667">
        <v>100</v>
      </c>
      <c r="B667">
        <v>6.92</v>
      </c>
      <c r="C667" t="s">
        <v>21</v>
      </c>
      <c r="D667" t="s">
        <v>12</v>
      </c>
      <c r="E667" s="3">
        <v>150</v>
      </c>
      <c r="F667">
        <v>48.5</v>
      </c>
      <c r="G667">
        <v>19.88</v>
      </c>
      <c r="H667">
        <v>2.12</v>
      </c>
      <c r="I667">
        <v>30.64</v>
      </c>
      <c r="J667">
        <v>21</v>
      </c>
      <c r="K667" t="s">
        <v>13</v>
      </c>
      <c r="L667" t="str">
        <f t="shared" si="276"/>
        <v>VALID</v>
      </c>
      <c r="M667">
        <f t="shared" ref="M667:M673" si="281">IF(J667&gt;0,H667/J667," ")</f>
        <v>0.10095238095238096</v>
      </c>
      <c r="N667" t="str">
        <f t="shared" ref="N667:N673" si="282">IF(ISNUMBER(E667),IF(E667&lt;1000,"Low",IF(E667&lt;3000,"Medium","High")),"Unknown")</f>
        <v>Low</v>
      </c>
      <c r="O667">
        <f t="shared" ref="O667:O673" si="283">(G667+I667)/2</f>
        <v>25.259999999999998</v>
      </c>
      <c r="P667" t="str">
        <f t="shared" ref="P667:P673" si="284">IF(O667&lt;30,"Low",IF(O667&lt;60,"Medium","High"))</f>
        <v>Low</v>
      </c>
    </row>
    <row r="668" spans="1:16" x14ac:dyDescent="0.25">
      <c r="A668">
        <v>800</v>
      </c>
      <c r="B668">
        <v>26.21</v>
      </c>
      <c r="C668" t="s">
        <v>21</v>
      </c>
      <c r="D668" t="s">
        <v>12</v>
      </c>
      <c r="E668" s="3">
        <v>600</v>
      </c>
      <c r="F668">
        <v>117.5</v>
      </c>
      <c r="G668">
        <v>3.85</v>
      </c>
      <c r="H668">
        <v>7.0000000000000007E-2</v>
      </c>
      <c r="I668">
        <v>0.27</v>
      </c>
      <c r="J668">
        <v>10</v>
      </c>
      <c r="K668" t="s">
        <v>23</v>
      </c>
      <c r="L668" t="str">
        <f t="shared" si="276"/>
        <v>VALID</v>
      </c>
      <c r="M668">
        <f t="shared" si="281"/>
        <v>7.000000000000001E-3</v>
      </c>
      <c r="N668" t="str">
        <f t="shared" si="282"/>
        <v>Low</v>
      </c>
      <c r="O668">
        <f t="shared" si="283"/>
        <v>2.06</v>
      </c>
      <c r="P668" t="str">
        <f t="shared" si="284"/>
        <v>Low</v>
      </c>
    </row>
    <row r="669" spans="1:16" x14ac:dyDescent="0.25">
      <c r="A669">
        <v>800</v>
      </c>
      <c r="B669">
        <v>22.69</v>
      </c>
      <c r="C669" t="s">
        <v>22</v>
      </c>
      <c r="D669" t="s">
        <v>15</v>
      </c>
      <c r="E669" s="3">
        <v>900</v>
      </c>
      <c r="F669">
        <v>55.8</v>
      </c>
      <c r="G669">
        <v>10.82</v>
      </c>
      <c r="H669">
        <v>2.11</v>
      </c>
      <c r="I669">
        <v>9.3000000000000007</v>
      </c>
      <c r="J669">
        <v>19</v>
      </c>
      <c r="K669" t="s">
        <v>13</v>
      </c>
      <c r="L669" t="str">
        <f t="shared" si="276"/>
        <v>VALID</v>
      </c>
      <c r="M669">
        <f t="shared" si="281"/>
        <v>0.11105263157894736</v>
      </c>
      <c r="N669" t="str">
        <f t="shared" si="282"/>
        <v>Low</v>
      </c>
      <c r="O669">
        <f t="shared" si="283"/>
        <v>10.06</v>
      </c>
      <c r="P669" t="str">
        <f t="shared" si="284"/>
        <v>Low</v>
      </c>
    </row>
    <row r="670" spans="1:16" x14ac:dyDescent="0.25">
      <c r="A670">
        <v>150</v>
      </c>
      <c r="B670">
        <v>9.5</v>
      </c>
      <c r="C670" t="s">
        <v>11</v>
      </c>
      <c r="D670" t="s">
        <v>15</v>
      </c>
      <c r="E670" s="3">
        <v>300</v>
      </c>
      <c r="F670">
        <v>-14.4</v>
      </c>
      <c r="G670">
        <v>15.66</v>
      </c>
      <c r="H670">
        <v>2.94</v>
      </c>
      <c r="I670">
        <v>30.95</v>
      </c>
      <c r="J670">
        <v>11</v>
      </c>
      <c r="K670" t="s">
        <v>13</v>
      </c>
      <c r="L670" t="str">
        <f t="shared" si="276"/>
        <v>VALID</v>
      </c>
      <c r="M670">
        <f t="shared" si="281"/>
        <v>0.26727272727272727</v>
      </c>
      <c r="N670" t="str">
        <f t="shared" si="282"/>
        <v>Low</v>
      </c>
      <c r="O670">
        <f t="shared" si="283"/>
        <v>23.305</v>
      </c>
      <c r="P670" t="str">
        <f t="shared" si="284"/>
        <v>Low</v>
      </c>
    </row>
    <row r="671" spans="1:16" x14ac:dyDescent="0.25">
      <c r="A671">
        <v>150</v>
      </c>
      <c r="B671">
        <v>7.12</v>
      </c>
      <c r="C671" t="s">
        <v>11</v>
      </c>
      <c r="D671" t="s">
        <v>17</v>
      </c>
      <c r="E671" s="3">
        <v>150</v>
      </c>
      <c r="F671">
        <v>43.5</v>
      </c>
      <c r="G671">
        <v>11.39</v>
      </c>
      <c r="H671">
        <v>5.19</v>
      </c>
      <c r="I671">
        <v>72.89</v>
      </c>
      <c r="J671">
        <v>22</v>
      </c>
      <c r="K671" t="s">
        <v>16</v>
      </c>
      <c r="L671" t="str">
        <f t="shared" si="276"/>
        <v>VALID</v>
      </c>
      <c r="M671">
        <f t="shared" si="281"/>
        <v>0.23590909090909093</v>
      </c>
      <c r="N671" t="str">
        <f t="shared" si="282"/>
        <v>Low</v>
      </c>
      <c r="O671">
        <f t="shared" si="283"/>
        <v>42.14</v>
      </c>
      <c r="P671" t="str">
        <f t="shared" si="284"/>
        <v>Medium</v>
      </c>
    </row>
    <row r="672" spans="1:16" x14ac:dyDescent="0.25">
      <c r="A672">
        <v>250</v>
      </c>
      <c r="B672">
        <v>8.5299999999999994</v>
      </c>
      <c r="C672" t="s">
        <v>22</v>
      </c>
      <c r="D672" t="s">
        <v>15</v>
      </c>
      <c r="E672" s="3">
        <v>300</v>
      </c>
      <c r="F672">
        <v>51.8</v>
      </c>
      <c r="G672">
        <v>18.04</v>
      </c>
      <c r="H672">
        <v>8.17</v>
      </c>
      <c r="I672">
        <v>95.78</v>
      </c>
      <c r="J672">
        <v>6</v>
      </c>
      <c r="K672" t="s">
        <v>16</v>
      </c>
      <c r="L672" t="str">
        <f t="shared" si="276"/>
        <v>VALID</v>
      </c>
      <c r="M672">
        <f t="shared" si="281"/>
        <v>1.3616666666666666</v>
      </c>
      <c r="N672" t="str">
        <f t="shared" si="282"/>
        <v>Low</v>
      </c>
      <c r="O672">
        <f t="shared" si="283"/>
        <v>56.91</v>
      </c>
      <c r="P672" t="str">
        <f t="shared" si="284"/>
        <v>Medium</v>
      </c>
    </row>
    <row r="673" spans="1:16" x14ac:dyDescent="0.25">
      <c r="A673">
        <v>600</v>
      </c>
      <c r="B673">
        <v>16.64</v>
      </c>
      <c r="C673" t="s">
        <v>22</v>
      </c>
      <c r="D673" t="s">
        <v>18</v>
      </c>
      <c r="E673" s="3">
        <v>2500</v>
      </c>
      <c r="F673">
        <v>45.3</v>
      </c>
      <c r="G673">
        <v>8.27</v>
      </c>
      <c r="H673">
        <v>7.75</v>
      </c>
      <c r="I673">
        <v>46.57</v>
      </c>
      <c r="J673">
        <v>14</v>
      </c>
      <c r="K673" t="s">
        <v>16</v>
      </c>
      <c r="L673" t="str">
        <f t="shared" si="276"/>
        <v>VALID</v>
      </c>
      <c r="M673">
        <f t="shared" si="281"/>
        <v>0.5535714285714286</v>
      </c>
      <c r="N673" t="str">
        <f t="shared" si="282"/>
        <v>Medium</v>
      </c>
      <c r="O673">
        <f t="shared" si="283"/>
        <v>27.42</v>
      </c>
      <c r="P673" t="str">
        <f t="shared" si="284"/>
        <v>Low</v>
      </c>
    </row>
    <row r="674" spans="1:16" hidden="1" x14ac:dyDescent="0.25">
      <c r="A674">
        <v>150</v>
      </c>
      <c r="B674">
        <v>5.43</v>
      </c>
      <c r="C674" t="s">
        <v>19</v>
      </c>
      <c r="D674" t="s">
        <v>18</v>
      </c>
      <c r="E674">
        <v>2500</v>
      </c>
      <c r="F674">
        <v>93</v>
      </c>
      <c r="G674">
        <v>14.89</v>
      </c>
      <c r="H674">
        <v>7.94</v>
      </c>
      <c r="I674">
        <v>146.22</v>
      </c>
      <c r="J674">
        <v>11</v>
      </c>
      <c r="K674" t="s">
        <v>16</v>
      </c>
      <c r="L674" t="str">
        <f t="shared" si="276"/>
        <v>INVALID</v>
      </c>
    </row>
    <row r="675" spans="1:16" x14ac:dyDescent="0.25">
      <c r="A675">
        <v>50</v>
      </c>
      <c r="B675">
        <v>5</v>
      </c>
      <c r="C675" t="s">
        <v>14</v>
      </c>
      <c r="D675" t="s">
        <v>15</v>
      </c>
      <c r="E675" s="3">
        <v>900</v>
      </c>
      <c r="F675">
        <v>12.8</v>
      </c>
      <c r="G675">
        <v>7.87</v>
      </c>
      <c r="H675">
        <v>4.72</v>
      </c>
      <c r="I675">
        <v>94.4</v>
      </c>
      <c r="J675">
        <v>4</v>
      </c>
      <c r="K675" t="s">
        <v>13</v>
      </c>
      <c r="L675" t="str">
        <f t="shared" si="276"/>
        <v>VALID</v>
      </c>
      <c r="M675">
        <f t="shared" ref="M675:M683" si="285">IF(J675&gt;0,H675/J675," ")</f>
        <v>1.18</v>
      </c>
      <c r="N675" t="str">
        <f t="shared" ref="N675:N683" si="286">IF(ISNUMBER(E675),IF(E675&lt;1000,"Low",IF(E675&lt;3000,"Medium","High")),"Unknown")</f>
        <v>Low</v>
      </c>
      <c r="O675">
        <f t="shared" ref="O675:O683" si="287">(G675+I675)/2</f>
        <v>51.135000000000005</v>
      </c>
      <c r="P675" t="str">
        <f t="shared" ref="P675:P683" si="288">IF(O675&lt;30,"Low",IF(O675&lt;60,"Medium","High"))</f>
        <v>Medium</v>
      </c>
    </row>
    <row r="676" spans="1:16" x14ac:dyDescent="0.25">
      <c r="A676">
        <v>400</v>
      </c>
      <c r="B676">
        <v>18.8</v>
      </c>
      <c r="C676" t="s">
        <v>21</v>
      </c>
      <c r="D676" t="s">
        <v>17</v>
      </c>
      <c r="E676" s="3">
        <v>600</v>
      </c>
      <c r="F676">
        <v>84.4</v>
      </c>
      <c r="G676">
        <v>13.84</v>
      </c>
      <c r="H676">
        <v>6.85</v>
      </c>
      <c r="I676">
        <v>36.44</v>
      </c>
      <c r="J676">
        <v>8</v>
      </c>
      <c r="K676" t="s">
        <v>16</v>
      </c>
      <c r="L676" t="str">
        <f t="shared" si="276"/>
        <v>VALID</v>
      </c>
      <c r="M676">
        <f t="shared" si="285"/>
        <v>0.85624999999999996</v>
      </c>
      <c r="N676" t="str">
        <f t="shared" si="286"/>
        <v>Low</v>
      </c>
      <c r="O676">
        <f t="shared" si="287"/>
        <v>25.14</v>
      </c>
      <c r="P676" t="str">
        <f t="shared" si="288"/>
        <v>Low</v>
      </c>
    </row>
    <row r="677" spans="1:16" x14ac:dyDescent="0.25">
      <c r="A677">
        <v>150</v>
      </c>
      <c r="B677">
        <v>7.25</v>
      </c>
      <c r="C677" t="s">
        <v>11</v>
      </c>
      <c r="D677" t="s">
        <v>12</v>
      </c>
      <c r="E677" s="3">
        <v>600</v>
      </c>
      <c r="F677">
        <v>11</v>
      </c>
      <c r="G677">
        <v>1.34</v>
      </c>
      <c r="H677">
        <v>0.78</v>
      </c>
      <c r="I677">
        <v>10.76</v>
      </c>
      <c r="J677">
        <v>12</v>
      </c>
      <c r="K677" t="s">
        <v>23</v>
      </c>
      <c r="L677" t="str">
        <f t="shared" si="276"/>
        <v>VALID</v>
      </c>
      <c r="M677">
        <f t="shared" si="285"/>
        <v>6.5000000000000002E-2</v>
      </c>
      <c r="N677" t="str">
        <f t="shared" si="286"/>
        <v>Low</v>
      </c>
      <c r="O677">
        <f t="shared" si="287"/>
        <v>6.05</v>
      </c>
      <c r="P677" t="str">
        <f t="shared" si="288"/>
        <v>Low</v>
      </c>
    </row>
    <row r="678" spans="1:16" x14ac:dyDescent="0.25">
      <c r="A678">
        <v>150</v>
      </c>
      <c r="B678">
        <v>5.7</v>
      </c>
      <c r="C678" t="s">
        <v>19</v>
      </c>
      <c r="D678" t="s">
        <v>20</v>
      </c>
      <c r="E678" s="3">
        <v>2500</v>
      </c>
      <c r="F678">
        <v>37.299999999999997</v>
      </c>
      <c r="G678">
        <v>19.64</v>
      </c>
      <c r="H678">
        <v>3.25</v>
      </c>
      <c r="I678">
        <v>57.02</v>
      </c>
      <c r="J678">
        <v>9</v>
      </c>
      <c r="K678" t="s">
        <v>13</v>
      </c>
      <c r="L678" t="str">
        <f t="shared" si="276"/>
        <v>VALID</v>
      </c>
      <c r="M678">
        <f t="shared" si="285"/>
        <v>0.3611111111111111</v>
      </c>
      <c r="N678" t="str">
        <f t="shared" si="286"/>
        <v>Medium</v>
      </c>
      <c r="O678">
        <f t="shared" si="287"/>
        <v>38.33</v>
      </c>
      <c r="P678" t="str">
        <f t="shared" si="288"/>
        <v>Medium</v>
      </c>
    </row>
    <row r="679" spans="1:16" x14ac:dyDescent="0.25">
      <c r="A679">
        <v>1500</v>
      </c>
      <c r="B679">
        <v>36.36</v>
      </c>
      <c r="C679" t="s">
        <v>14</v>
      </c>
      <c r="D679" t="s">
        <v>12</v>
      </c>
      <c r="E679" s="3">
        <v>300</v>
      </c>
      <c r="F679">
        <v>53.7</v>
      </c>
      <c r="G679">
        <v>15.07</v>
      </c>
      <c r="H679">
        <v>3.33</v>
      </c>
      <c r="I679">
        <v>9.16</v>
      </c>
      <c r="J679">
        <v>4</v>
      </c>
      <c r="K679" t="s">
        <v>13</v>
      </c>
      <c r="L679" t="str">
        <f t="shared" si="276"/>
        <v>VALID</v>
      </c>
      <c r="M679">
        <f t="shared" si="285"/>
        <v>0.83250000000000002</v>
      </c>
      <c r="N679" t="str">
        <f t="shared" si="286"/>
        <v>Low</v>
      </c>
      <c r="O679">
        <f t="shared" si="287"/>
        <v>12.115</v>
      </c>
      <c r="P679" t="str">
        <f t="shared" si="288"/>
        <v>Low</v>
      </c>
    </row>
    <row r="680" spans="1:16" x14ac:dyDescent="0.25">
      <c r="A680">
        <v>300</v>
      </c>
      <c r="B680">
        <v>17.100000000000001</v>
      </c>
      <c r="C680" t="s">
        <v>21</v>
      </c>
      <c r="D680" t="s">
        <v>17</v>
      </c>
      <c r="E680" s="3">
        <v>900</v>
      </c>
      <c r="F680">
        <v>94.3</v>
      </c>
      <c r="G680">
        <v>1.3</v>
      </c>
      <c r="H680">
        <v>2.8</v>
      </c>
      <c r="I680">
        <v>16.37</v>
      </c>
      <c r="J680">
        <v>16</v>
      </c>
      <c r="K680" t="s">
        <v>13</v>
      </c>
      <c r="L680" t="str">
        <f t="shared" si="276"/>
        <v>VALID</v>
      </c>
      <c r="M680">
        <f t="shared" si="285"/>
        <v>0.17499999999999999</v>
      </c>
      <c r="N680" t="str">
        <f t="shared" si="286"/>
        <v>Low</v>
      </c>
      <c r="O680">
        <f t="shared" si="287"/>
        <v>8.8350000000000009</v>
      </c>
      <c r="P680" t="str">
        <f t="shared" si="288"/>
        <v>Low</v>
      </c>
    </row>
    <row r="681" spans="1:16" x14ac:dyDescent="0.25">
      <c r="A681">
        <v>1200</v>
      </c>
      <c r="B681">
        <v>35.94</v>
      </c>
      <c r="C681" t="s">
        <v>21</v>
      </c>
      <c r="D681" t="s">
        <v>18</v>
      </c>
      <c r="E681" s="3">
        <v>2500</v>
      </c>
      <c r="F681">
        <v>59.7</v>
      </c>
      <c r="G681">
        <v>2.46</v>
      </c>
      <c r="H681">
        <v>8.74</v>
      </c>
      <c r="I681">
        <v>24.32</v>
      </c>
      <c r="J681">
        <v>23</v>
      </c>
      <c r="K681" t="s">
        <v>16</v>
      </c>
      <c r="L681" t="str">
        <f t="shared" si="276"/>
        <v>VALID</v>
      </c>
      <c r="M681">
        <f t="shared" si="285"/>
        <v>0.38</v>
      </c>
      <c r="N681" t="str">
        <f t="shared" si="286"/>
        <v>Medium</v>
      </c>
      <c r="O681">
        <f t="shared" si="287"/>
        <v>13.39</v>
      </c>
      <c r="P681" t="str">
        <f t="shared" si="288"/>
        <v>Low</v>
      </c>
    </row>
    <row r="682" spans="1:16" x14ac:dyDescent="0.25">
      <c r="A682">
        <v>250</v>
      </c>
      <c r="B682">
        <v>9.07</v>
      </c>
      <c r="C682" t="s">
        <v>14</v>
      </c>
      <c r="D682" t="s">
        <v>12</v>
      </c>
      <c r="E682" s="3">
        <v>300</v>
      </c>
      <c r="F682">
        <v>4.5999999999999996</v>
      </c>
      <c r="G682">
        <v>10.86</v>
      </c>
      <c r="H682">
        <v>7.99</v>
      </c>
      <c r="I682">
        <v>88.09</v>
      </c>
      <c r="J682">
        <v>9</v>
      </c>
      <c r="K682" t="s">
        <v>16</v>
      </c>
      <c r="L682" t="str">
        <f t="shared" si="276"/>
        <v>VALID</v>
      </c>
      <c r="M682">
        <f t="shared" si="285"/>
        <v>0.88777777777777778</v>
      </c>
      <c r="N682" t="str">
        <f t="shared" si="286"/>
        <v>Low</v>
      </c>
      <c r="O682">
        <f t="shared" si="287"/>
        <v>49.475000000000001</v>
      </c>
      <c r="P682" t="str">
        <f t="shared" si="288"/>
        <v>Medium</v>
      </c>
    </row>
    <row r="683" spans="1:16" x14ac:dyDescent="0.25">
      <c r="A683">
        <v>400</v>
      </c>
      <c r="B683">
        <v>18.5</v>
      </c>
      <c r="C683" t="s">
        <v>14</v>
      </c>
      <c r="D683" t="s">
        <v>12</v>
      </c>
      <c r="E683" s="3">
        <v>1500</v>
      </c>
      <c r="F683">
        <v>20.100000000000001</v>
      </c>
      <c r="G683">
        <v>2.13</v>
      </c>
      <c r="H683">
        <v>7.4</v>
      </c>
      <c r="I683">
        <v>40</v>
      </c>
      <c r="J683">
        <v>14</v>
      </c>
      <c r="K683" t="s">
        <v>16</v>
      </c>
      <c r="L683" t="str">
        <f t="shared" si="276"/>
        <v>VALID</v>
      </c>
      <c r="M683">
        <f t="shared" si="285"/>
        <v>0.52857142857142858</v>
      </c>
      <c r="N683" t="str">
        <f t="shared" si="286"/>
        <v>Medium</v>
      </c>
      <c r="O683">
        <f t="shared" si="287"/>
        <v>21.065000000000001</v>
      </c>
      <c r="P683" t="str">
        <f t="shared" si="288"/>
        <v>Low</v>
      </c>
    </row>
    <row r="684" spans="1:16" hidden="1" x14ac:dyDescent="0.25">
      <c r="A684">
        <v>50</v>
      </c>
      <c r="B684">
        <v>3.84</v>
      </c>
      <c r="C684" t="s">
        <v>22</v>
      </c>
      <c r="D684" t="s">
        <v>15</v>
      </c>
      <c r="E684">
        <v>150</v>
      </c>
      <c r="F684">
        <v>103.8</v>
      </c>
      <c r="G684">
        <v>10.56</v>
      </c>
      <c r="H684">
        <v>6.08</v>
      </c>
      <c r="I684">
        <v>158.33000000000001</v>
      </c>
      <c r="J684">
        <v>25</v>
      </c>
      <c r="K684" t="s">
        <v>16</v>
      </c>
      <c r="L684" t="str">
        <f t="shared" si="276"/>
        <v>INVALID</v>
      </c>
    </row>
    <row r="685" spans="1:16" x14ac:dyDescent="0.25">
      <c r="A685">
        <v>600</v>
      </c>
      <c r="B685">
        <v>28.54</v>
      </c>
      <c r="C685" t="s">
        <v>21</v>
      </c>
      <c r="D685" t="s">
        <v>17</v>
      </c>
      <c r="E685" s="3">
        <v>300</v>
      </c>
      <c r="F685">
        <v>-16.8</v>
      </c>
      <c r="G685">
        <v>9.59</v>
      </c>
      <c r="H685">
        <v>7.41</v>
      </c>
      <c r="I685">
        <v>25.96</v>
      </c>
      <c r="J685">
        <v>22</v>
      </c>
      <c r="K685" t="s">
        <v>16</v>
      </c>
      <c r="L685" t="str">
        <f t="shared" si="276"/>
        <v>VALID</v>
      </c>
      <c r="M685">
        <f t="shared" ref="M685:M697" si="289">IF(J685&gt;0,H685/J685," ")</f>
        <v>0.33681818181818185</v>
      </c>
      <c r="N685" t="str">
        <f t="shared" ref="N685:N697" si="290">IF(ISNUMBER(E685),IF(E685&lt;1000,"Low",IF(E685&lt;3000,"Medium","High")),"Unknown")</f>
        <v>Low</v>
      </c>
      <c r="O685">
        <f t="shared" ref="O685:O697" si="291">(G685+I685)/2</f>
        <v>17.774999999999999</v>
      </c>
      <c r="P685" t="str">
        <f t="shared" ref="P685:P697" si="292">IF(O685&lt;30,"Low",IF(O685&lt;60,"Medium","High"))</f>
        <v>Low</v>
      </c>
    </row>
    <row r="686" spans="1:16" x14ac:dyDescent="0.25">
      <c r="A686">
        <v>150</v>
      </c>
      <c r="B686">
        <v>9.8000000000000007</v>
      </c>
      <c r="C686" t="s">
        <v>19</v>
      </c>
      <c r="D686" t="s">
        <v>15</v>
      </c>
      <c r="E686" s="3">
        <v>900</v>
      </c>
      <c r="F686">
        <v>15</v>
      </c>
      <c r="G686">
        <v>19.89</v>
      </c>
      <c r="H686">
        <v>2.78</v>
      </c>
      <c r="I686">
        <v>28.37</v>
      </c>
      <c r="J686">
        <v>24</v>
      </c>
      <c r="K686" t="s">
        <v>13</v>
      </c>
      <c r="L686" t="str">
        <f t="shared" si="276"/>
        <v>VALID</v>
      </c>
      <c r="M686">
        <f t="shared" si="289"/>
        <v>0.11583333333333333</v>
      </c>
      <c r="N686" t="str">
        <f t="shared" si="290"/>
        <v>Low</v>
      </c>
      <c r="O686">
        <f t="shared" si="291"/>
        <v>24.130000000000003</v>
      </c>
      <c r="P686" t="str">
        <f t="shared" si="292"/>
        <v>Low</v>
      </c>
    </row>
    <row r="687" spans="1:16" x14ac:dyDescent="0.25">
      <c r="A687">
        <v>400</v>
      </c>
      <c r="B687">
        <v>10.84</v>
      </c>
      <c r="C687" t="s">
        <v>22</v>
      </c>
      <c r="D687" t="s">
        <v>17</v>
      </c>
      <c r="E687" s="3">
        <v>600</v>
      </c>
      <c r="F687">
        <v>52.6</v>
      </c>
      <c r="G687">
        <v>19.760000000000002</v>
      </c>
      <c r="H687">
        <v>0.73</v>
      </c>
      <c r="I687">
        <v>6.73</v>
      </c>
      <c r="J687">
        <v>11</v>
      </c>
      <c r="K687" t="s">
        <v>23</v>
      </c>
      <c r="L687" t="str">
        <f t="shared" si="276"/>
        <v>VALID</v>
      </c>
      <c r="M687">
        <f t="shared" si="289"/>
        <v>6.6363636363636361E-2</v>
      </c>
      <c r="N687" t="str">
        <f t="shared" si="290"/>
        <v>Low</v>
      </c>
      <c r="O687">
        <f t="shared" si="291"/>
        <v>13.245000000000001</v>
      </c>
      <c r="P687" t="str">
        <f t="shared" si="292"/>
        <v>Low</v>
      </c>
    </row>
    <row r="688" spans="1:16" x14ac:dyDescent="0.25">
      <c r="A688">
        <v>300</v>
      </c>
      <c r="B688">
        <v>7.26</v>
      </c>
      <c r="C688" t="s">
        <v>21</v>
      </c>
      <c r="D688" t="s">
        <v>17</v>
      </c>
      <c r="E688" s="3">
        <v>900</v>
      </c>
      <c r="F688">
        <v>-42.6</v>
      </c>
      <c r="G688">
        <v>4.7699999999999996</v>
      </c>
      <c r="H688">
        <v>2.94</v>
      </c>
      <c r="I688">
        <v>40.5</v>
      </c>
      <c r="J688">
        <v>14</v>
      </c>
      <c r="K688" t="s">
        <v>13</v>
      </c>
      <c r="L688" t="str">
        <f t="shared" si="276"/>
        <v>VALID</v>
      </c>
      <c r="M688">
        <f t="shared" si="289"/>
        <v>0.21</v>
      </c>
      <c r="N688" t="str">
        <f t="shared" si="290"/>
        <v>Low</v>
      </c>
      <c r="O688">
        <f t="shared" si="291"/>
        <v>22.634999999999998</v>
      </c>
      <c r="P688" t="str">
        <f t="shared" si="292"/>
        <v>Low</v>
      </c>
    </row>
    <row r="689" spans="1:16" x14ac:dyDescent="0.25">
      <c r="A689">
        <v>1000</v>
      </c>
      <c r="B689">
        <v>33.909999999999997</v>
      </c>
      <c r="C689" t="s">
        <v>22</v>
      </c>
      <c r="D689" t="s">
        <v>12</v>
      </c>
      <c r="E689" s="3">
        <v>600</v>
      </c>
      <c r="F689">
        <v>22.2</v>
      </c>
      <c r="G689">
        <v>17.02</v>
      </c>
      <c r="H689">
        <v>0.54</v>
      </c>
      <c r="I689">
        <v>1.59</v>
      </c>
      <c r="J689">
        <v>13</v>
      </c>
      <c r="K689" t="s">
        <v>23</v>
      </c>
      <c r="L689" t="str">
        <f t="shared" si="276"/>
        <v>VALID</v>
      </c>
      <c r="M689">
        <f t="shared" si="289"/>
        <v>4.1538461538461538E-2</v>
      </c>
      <c r="N689" t="str">
        <f t="shared" si="290"/>
        <v>Low</v>
      </c>
      <c r="O689">
        <f t="shared" si="291"/>
        <v>9.3049999999999997</v>
      </c>
      <c r="P689" t="str">
        <f t="shared" si="292"/>
        <v>Low</v>
      </c>
    </row>
    <row r="690" spans="1:16" x14ac:dyDescent="0.25">
      <c r="A690">
        <v>200</v>
      </c>
      <c r="B690">
        <v>11.46</v>
      </c>
      <c r="C690" t="s">
        <v>22</v>
      </c>
      <c r="D690" t="s">
        <v>12</v>
      </c>
      <c r="E690" s="3">
        <v>900</v>
      </c>
      <c r="F690">
        <v>65.900000000000006</v>
      </c>
      <c r="G690">
        <v>7.26</v>
      </c>
      <c r="H690">
        <v>6.64</v>
      </c>
      <c r="I690">
        <v>57.94</v>
      </c>
      <c r="J690">
        <v>24</v>
      </c>
      <c r="K690" t="s">
        <v>16</v>
      </c>
      <c r="L690" t="str">
        <f t="shared" si="276"/>
        <v>VALID</v>
      </c>
      <c r="M690">
        <f t="shared" si="289"/>
        <v>0.27666666666666667</v>
      </c>
      <c r="N690" t="str">
        <f t="shared" si="290"/>
        <v>Low</v>
      </c>
      <c r="O690">
        <f t="shared" si="291"/>
        <v>32.6</v>
      </c>
      <c r="P690" t="str">
        <f t="shared" si="292"/>
        <v>Medium</v>
      </c>
    </row>
    <row r="691" spans="1:16" x14ac:dyDescent="0.25">
      <c r="A691">
        <v>1200</v>
      </c>
      <c r="B691">
        <v>37.409999999999997</v>
      </c>
      <c r="C691" t="s">
        <v>11</v>
      </c>
      <c r="D691" t="s">
        <v>20</v>
      </c>
      <c r="E691" s="3">
        <v>2500</v>
      </c>
      <c r="F691">
        <v>37.299999999999997</v>
      </c>
      <c r="G691">
        <v>1.59</v>
      </c>
      <c r="H691">
        <v>1.39</v>
      </c>
      <c r="I691">
        <v>3.72</v>
      </c>
      <c r="J691">
        <v>15</v>
      </c>
      <c r="K691" t="s">
        <v>23</v>
      </c>
      <c r="L691" t="str">
        <f t="shared" si="276"/>
        <v>VALID</v>
      </c>
      <c r="M691">
        <f t="shared" si="289"/>
        <v>9.2666666666666661E-2</v>
      </c>
      <c r="N691" t="str">
        <f t="shared" si="290"/>
        <v>Medium</v>
      </c>
      <c r="O691">
        <f t="shared" si="291"/>
        <v>2.6550000000000002</v>
      </c>
      <c r="P691" t="str">
        <f t="shared" si="292"/>
        <v>Low</v>
      </c>
    </row>
    <row r="692" spans="1:16" x14ac:dyDescent="0.25">
      <c r="A692">
        <v>800</v>
      </c>
      <c r="B692">
        <v>19.489999999999998</v>
      </c>
      <c r="C692" t="s">
        <v>21</v>
      </c>
      <c r="D692" t="s">
        <v>17</v>
      </c>
      <c r="E692" s="3">
        <v>600</v>
      </c>
      <c r="F692">
        <v>12.4</v>
      </c>
      <c r="G692">
        <v>18.09</v>
      </c>
      <c r="H692">
        <v>6.92</v>
      </c>
      <c r="I692">
        <v>35.51</v>
      </c>
      <c r="J692">
        <v>13</v>
      </c>
      <c r="K692" t="s">
        <v>16</v>
      </c>
      <c r="L692" t="str">
        <f t="shared" si="276"/>
        <v>VALID</v>
      </c>
      <c r="M692">
        <f t="shared" si="289"/>
        <v>0.53230769230769226</v>
      </c>
      <c r="N692" t="str">
        <f t="shared" si="290"/>
        <v>Low</v>
      </c>
      <c r="O692">
        <f t="shared" si="291"/>
        <v>26.799999999999997</v>
      </c>
      <c r="P692" t="str">
        <f t="shared" si="292"/>
        <v>Low</v>
      </c>
    </row>
    <row r="693" spans="1:16" x14ac:dyDescent="0.25">
      <c r="A693">
        <v>200</v>
      </c>
      <c r="B693">
        <v>8.69</v>
      </c>
      <c r="C693" t="s">
        <v>11</v>
      </c>
      <c r="D693" t="s">
        <v>20</v>
      </c>
      <c r="E693" s="3">
        <v>2500</v>
      </c>
      <c r="F693">
        <v>45.2</v>
      </c>
      <c r="G693">
        <v>1.94</v>
      </c>
      <c r="H693">
        <v>0.46</v>
      </c>
      <c r="I693">
        <v>5.29</v>
      </c>
      <c r="J693">
        <v>23</v>
      </c>
      <c r="K693" t="s">
        <v>23</v>
      </c>
      <c r="L693" t="str">
        <f t="shared" si="276"/>
        <v>VALID</v>
      </c>
      <c r="M693">
        <f t="shared" si="289"/>
        <v>0.02</v>
      </c>
      <c r="N693" t="str">
        <f t="shared" si="290"/>
        <v>Medium</v>
      </c>
      <c r="O693">
        <f t="shared" si="291"/>
        <v>3.6150000000000002</v>
      </c>
      <c r="P693" t="str">
        <f t="shared" si="292"/>
        <v>Low</v>
      </c>
    </row>
    <row r="694" spans="1:16" x14ac:dyDescent="0.25">
      <c r="A694">
        <v>1000</v>
      </c>
      <c r="B694">
        <v>26.68</v>
      </c>
      <c r="C694" t="s">
        <v>22</v>
      </c>
      <c r="D694" t="s">
        <v>12</v>
      </c>
      <c r="E694" s="3">
        <v>900</v>
      </c>
      <c r="F694">
        <v>28.9</v>
      </c>
      <c r="G694">
        <v>10.81</v>
      </c>
      <c r="H694">
        <v>7.59</v>
      </c>
      <c r="I694">
        <v>28.45</v>
      </c>
      <c r="J694">
        <v>16</v>
      </c>
      <c r="K694" t="s">
        <v>16</v>
      </c>
      <c r="L694" t="str">
        <f t="shared" si="276"/>
        <v>VALID</v>
      </c>
      <c r="M694">
        <f t="shared" si="289"/>
        <v>0.47437499999999999</v>
      </c>
      <c r="N694" t="str">
        <f t="shared" si="290"/>
        <v>Low</v>
      </c>
      <c r="O694">
        <f t="shared" si="291"/>
        <v>19.63</v>
      </c>
      <c r="P694" t="str">
        <f t="shared" si="292"/>
        <v>Low</v>
      </c>
    </row>
    <row r="695" spans="1:16" x14ac:dyDescent="0.25">
      <c r="A695">
        <v>1200</v>
      </c>
      <c r="B695">
        <v>39.24</v>
      </c>
      <c r="C695" t="s">
        <v>11</v>
      </c>
      <c r="D695" t="s">
        <v>18</v>
      </c>
      <c r="E695" s="3">
        <v>900</v>
      </c>
      <c r="F695">
        <v>64.900000000000006</v>
      </c>
      <c r="G695">
        <v>14.05</v>
      </c>
      <c r="H695">
        <v>0.71</v>
      </c>
      <c r="I695">
        <v>1.81</v>
      </c>
      <c r="J695">
        <v>7</v>
      </c>
      <c r="K695" t="s">
        <v>23</v>
      </c>
      <c r="L695" t="str">
        <f t="shared" si="276"/>
        <v>VALID</v>
      </c>
      <c r="M695">
        <f t="shared" si="289"/>
        <v>0.10142857142857142</v>
      </c>
      <c r="N695" t="str">
        <f t="shared" si="290"/>
        <v>Low</v>
      </c>
      <c r="O695">
        <f t="shared" si="291"/>
        <v>7.9300000000000006</v>
      </c>
      <c r="P695" t="str">
        <f t="shared" si="292"/>
        <v>Low</v>
      </c>
    </row>
    <row r="696" spans="1:16" x14ac:dyDescent="0.25">
      <c r="A696">
        <v>1200</v>
      </c>
      <c r="B696">
        <v>22.11</v>
      </c>
      <c r="C696" t="s">
        <v>14</v>
      </c>
      <c r="D696" t="s">
        <v>15</v>
      </c>
      <c r="E696" s="3">
        <v>150</v>
      </c>
      <c r="F696">
        <v>130.30000000000001</v>
      </c>
      <c r="G696">
        <v>2.48</v>
      </c>
      <c r="H696">
        <v>7.65</v>
      </c>
      <c r="I696">
        <v>34.6</v>
      </c>
      <c r="J696">
        <v>12</v>
      </c>
      <c r="K696" t="s">
        <v>16</v>
      </c>
      <c r="L696" t="str">
        <f t="shared" si="276"/>
        <v>VALID</v>
      </c>
      <c r="M696">
        <f t="shared" si="289"/>
        <v>0.63750000000000007</v>
      </c>
      <c r="N696" t="str">
        <f t="shared" si="290"/>
        <v>Low</v>
      </c>
      <c r="O696">
        <f t="shared" si="291"/>
        <v>18.54</v>
      </c>
      <c r="P696" t="str">
        <f t="shared" si="292"/>
        <v>Low</v>
      </c>
    </row>
    <row r="697" spans="1:16" x14ac:dyDescent="0.25">
      <c r="A697">
        <v>300</v>
      </c>
      <c r="B697">
        <v>8.06</v>
      </c>
      <c r="C697" t="s">
        <v>21</v>
      </c>
      <c r="D697" t="s">
        <v>18</v>
      </c>
      <c r="E697" s="3">
        <v>600</v>
      </c>
      <c r="F697">
        <v>25.1</v>
      </c>
      <c r="G697">
        <v>6.17</v>
      </c>
      <c r="H697">
        <v>3.02</v>
      </c>
      <c r="I697">
        <v>37.47</v>
      </c>
      <c r="J697">
        <v>7</v>
      </c>
      <c r="K697" t="s">
        <v>13</v>
      </c>
      <c r="L697" t="str">
        <f t="shared" si="276"/>
        <v>VALID</v>
      </c>
      <c r="M697">
        <f t="shared" si="289"/>
        <v>0.43142857142857144</v>
      </c>
      <c r="N697" t="str">
        <f t="shared" si="290"/>
        <v>Low</v>
      </c>
      <c r="O697">
        <f t="shared" si="291"/>
        <v>21.82</v>
      </c>
      <c r="P697" t="str">
        <f t="shared" si="292"/>
        <v>Low</v>
      </c>
    </row>
    <row r="698" spans="1:16" hidden="1" x14ac:dyDescent="0.25">
      <c r="A698">
        <v>150</v>
      </c>
      <c r="B698">
        <v>6.44</v>
      </c>
      <c r="C698" t="s">
        <v>11</v>
      </c>
      <c r="D698" t="s">
        <v>12</v>
      </c>
      <c r="E698">
        <v>600</v>
      </c>
      <c r="F698">
        <v>54.6</v>
      </c>
      <c r="G698">
        <v>3.36</v>
      </c>
      <c r="H698">
        <v>9.07</v>
      </c>
      <c r="I698">
        <v>140.84</v>
      </c>
      <c r="J698">
        <v>25</v>
      </c>
      <c r="K698" t="s">
        <v>16</v>
      </c>
      <c r="L698" t="str">
        <f t="shared" si="276"/>
        <v>INVALID</v>
      </c>
    </row>
    <row r="699" spans="1:16" x14ac:dyDescent="0.25">
      <c r="A699">
        <v>400</v>
      </c>
      <c r="B699">
        <v>16.46</v>
      </c>
      <c r="C699" t="s">
        <v>14</v>
      </c>
      <c r="D699" t="s">
        <v>18</v>
      </c>
      <c r="E699" s="3">
        <v>600</v>
      </c>
      <c r="F699">
        <v>83.5</v>
      </c>
      <c r="G699">
        <v>8.7200000000000006</v>
      </c>
      <c r="H699">
        <v>0.47</v>
      </c>
      <c r="I699">
        <v>2.86</v>
      </c>
      <c r="J699">
        <v>23</v>
      </c>
      <c r="K699" t="s">
        <v>23</v>
      </c>
      <c r="L699" t="str">
        <f t="shared" si="276"/>
        <v>VALID</v>
      </c>
      <c r="M699">
        <f t="shared" ref="M699:M723" si="293">IF(J699&gt;0,H699/J699," ")</f>
        <v>2.0434782608695651E-2</v>
      </c>
      <c r="N699" t="str">
        <f t="shared" ref="N699:N723" si="294">IF(ISNUMBER(E699),IF(E699&lt;1000,"Low",IF(E699&lt;3000,"Medium","High")),"Unknown")</f>
        <v>Low</v>
      </c>
      <c r="O699">
        <f t="shared" ref="O699:O723" si="295">(G699+I699)/2</f>
        <v>5.79</v>
      </c>
      <c r="P699" t="str">
        <f t="shared" ref="P699:P723" si="296">IF(O699&lt;30,"Low",IF(O699&lt;60,"Medium","High"))</f>
        <v>Low</v>
      </c>
    </row>
    <row r="700" spans="1:16" x14ac:dyDescent="0.25">
      <c r="A700">
        <v>1500</v>
      </c>
      <c r="B700">
        <v>31.01</v>
      </c>
      <c r="C700" t="s">
        <v>11</v>
      </c>
      <c r="D700" t="s">
        <v>15</v>
      </c>
      <c r="E700" s="3">
        <v>2500</v>
      </c>
      <c r="F700">
        <v>23.6</v>
      </c>
      <c r="G700">
        <v>7.25</v>
      </c>
      <c r="H700">
        <v>1.59</v>
      </c>
      <c r="I700">
        <v>5.13</v>
      </c>
      <c r="J700">
        <v>23</v>
      </c>
      <c r="K700" t="s">
        <v>23</v>
      </c>
      <c r="L700" t="str">
        <f t="shared" si="276"/>
        <v>VALID</v>
      </c>
      <c r="M700">
        <f t="shared" si="293"/>
        <v>6.9130434782608705E-2</v>
      </c>
      <c r="N700" t="str">
        <f t="shared" si="294"/>
        <v>Medium</v>
      </c>
      <c r="O700">
        <f t="shared" si="295"/>
        <v>6.1899999999999995</v>
      </c>
      <c r="P700" t="str">
        <f t="shared" si="296"/>
        <v>Low</v>
      </c>
    </row>
    <row r="701" spans="1:16" x14ac:dyDescent="0.25">
      <c r="A701">
        <v>1200</v>
      </c>
      <c r="B701">
        <v>19.22</v>
      </c>
      <c r="C701" t="s">
        <v>11</v>
      </c>
      <c r="D701" t="s">
        <v>17</v>
      </c>
      <c r="E701" s="3">
        <v>2500</v>
      </c>
      <c r="F701">
        <v>77.7</v>
      </c>
      <c r="G701">
        <v>14.18</v>
      </c>
      <c r="H701">
        <v>6.42</v>
      </c>
      <c r="I701">
        <v>33.4</v>
      </c>
      <c r="J701">
        <v>7</v>
      </c>
      <c r="K701" t="s">
        <v>16</v>
      </c>
      <c r="L701" t="str">
        <f t="shared" si="276"/>
        <v>VALID</v>
      </c>
      <c r="M701">
        <f t="shared" si="293"/>
        <v>0.91714285714285715</v>
      </c>
      <c r="N701" t="str">
        <f t="shared" si="294"/>
        <v>Medium</v>
      </c>
      <c r="O701">
        <f t="shared" si="295"/>
        <v>23.79</v>
      </c>
      <c r="P701" t="str">
        <f t="shared" si="296"/>
        <v>Low</v>
      </c>
    </row>
    <row r="702" spans="1:16" x14ac:dyDescent="0.25">
      <c r="A702">
        <v>1000</v>
      </c>
      <c r="B702">
        <v>24.04</v>
      </c>
      <c r="C702" t="s">
        <v>11</v>
      </c>
      <c r="D702" t="s">
        <v>15</v>
      </c>
      <c r="E702" s="3">
        <v>300</v>
      </c>
      <c r="F702">
        <v>109.6</v>
      </c>
      <c r="G702">
        <v>11.57</v>
      </c>
      <c r="H702">
        <v>0.55000000000000004</v>
      </c>
      <c r="I702">
        <v>2.29</v>
      </c>
      <c r="J702">
        <v>5</v>
      </c>
      <c r="K702" t="s">
        <v>23</v>
      </c>
      <c r="L702" t="str">
        <f t="shared" si="276"/>
        <v>VALID</v>
      </c>
      <c r="M702">
        <f t="shared" si="293"/>
        <v>0.11000000000000001</v>
      </c>
      <c r="N702" t="str">
        <f t="shared" si="294"/>
        <v>Low</v>
      </c>
      <c r="O702">
        <f t="shared" si="295"/>
        <v>6.93</v>
      </c>
      <c r="P702" t="str">
        <f t="shared" si="296"/>
        <v>Low</v>
      </c>
    </row>
    <row r="703" spans="1:16" x14ac:dyDescent="0.25">
      <c r="A703">
        <v>600</v>
      </c>
      <c r="B703">
        <v>24.78</v>
      </c>
      <c r="C703" t="s">
        <v>19</v>
      </c>
      <c r="D703" t="s">
        <v>18</v>
      </c>
      <c r="E703" s="3">
        <v>600</v>
      </c>
      <c r="F703">
        <v>41.9</v>
      </c>
      <c r="G703">
        <v>14.82</v>
      </c>
      <c r="H703">
        <v>8.49</v>
      </c>
      <c r="I703">
        <v>34.26</v>
      </c>
      <c r="J703">
        <v>18</v>
      </c>
      <c r="K703" t="s">
        <v>16</v>
      </c>
      <c r="L703" t="str">
        <f t="shared" si="276"/>
        <v>VALID</v>
      </c>
      <c r="M703">
        <f t="shared" si="293"/>
        <v>0.47166666666666668</v>
      </c>
      <c r="N703" t="str">
        <f t="shared" si="294"/>
        <v>Low</v>
      </c>
      <c r="O703">
        <f t="shared" si="295"/>
        <v>24.54</v>
      </c>
      <c r="P703" t="str">
        <f t="shared" si="296"/>
        <v>Low</v>
      </c>
    </row>
    <row r="704" spans="1:16" x14ac:dyDescent="0.25">
      <c r="A704">
        <v>1000</v>
      </c>
      <c r="B704">
        <v>17.8</v>
      </c>
      <c r="C704" t="s">
        <v>14</v>
      </c>
      <c r="D704" t="s">
        <v>18</v>
      </c>
      <c r="E704" s="3">
        <v>150</v>
      </c>
      <c r="F704">
        <v>68.3</v>
      </c>
      <c r="G704">
        <v>3.97</v>
      </c>
      <c r="H704">
        <v>8.42</v>
      </c>
      <c r="I704">
        <v>47.3</v>
      </c>
      <c r="J704">
        <v>19</v>
      </c>
      <c r="K704" t="s">
        <v>16</v>
      </c>
      <c r="L704" t="str">
        <f t="shared" si="276"/>
        <v>VALID</v>
      </c>
      <c r="M704">
        <f t="shared" si="293"/>
        <v>0.44315789473684208</v>
      </c>
      <c r="N704" t="str">
        <f t="shared" si="294"/>
        <v>Low</v>
      </c>
      <c r="O704">
        <f t="shared" si="295"/>
        <v>25.634999999999998</v>
      </c>
      <c r="P704" t="str">
        <f t="shared" si="296"/>
        <v>Low</v>
      </c>
    </row>
    <row r="705" spans="1:16" x14ac:dyDescent="0.25">
      <c r="A705">
        <v>400</v>
      </c>
      <c r="B705">
        <v>14.63</v>
      </c>
      <c r="C705" t="s">
        <v>19</v>
      </c>
      <c r="D705" t="s">
        <v>18</v>
      </c>
      <c r="E705" s="3">
        <v>900</v>
      </c>
      <c r="F705">
        <v>71.7</v>
      </c>
      <c r="G705">
        <v>5.17</v>
      </c>
      <c r="H705">
        <v>3.74</v>
      </c>
      <c r="I705">
        <v>25.56</v>
      </c>
      <c r="J705">
        <v>13</v>
      </c>
      <c r="K705" t="s">
        <v>13</v>
      </c>
      <c r="L705" t="str">
        <f t="shared" si="276"/>
        <v>VALID</v>
      </c>
      <c r="M705">
        <f t="shared" si="293"/>
        <v>0.28769230769230769</v>
      </c>
      <c r="N705" t="str">
        <f t="shared" si="294"/>
        <v>Low</v>
      </c>
      <c r="O705">
        <f t="shared" si="295"/>
        <v>15.364999999999998</v>
      </c>
      <c r="P705" t="str">
        <f t="shared" si="296"/>
        <v>Low</v>
      </c>
    </row>
    <row r="706" spans="1:16" x14ac:dyDescent="0.25">
      <c r="A706">
        <v>1000</v>
      </c>
      <c r="B706">
        <v>23.09</v>
      </c>
      <c r="C706" t="s">
        <v>19</v>
      </c>
      <c r="D706" t="s">
        <v>20</v>
      </c>
      <c r="E706" s="3">
        <v>150</v>
      </c>
      <c r="F706">
        <v>97.5</v>
      </c>
      <c r="G706">
        <v>5.43</v>
      </c>
      <c r="H706">
        <v>7.98</v>
      </c>
      <c r="I706">
        <v>34.56</v>
      </c>
      <c r="J706">
        <v>14</v>
      </c>
      <c r="K706" t="s">
        <v>16</v>
      </c>
      <c r="L706" t="str">
        <f t="shared" si="276"/>
        <v>VALID</v>
      </c>
      <c r="M706">
        <f t="shared" si="293"/>
        <v>0.57000000000000006</v>
      </c>
      <c r="N706" t="str">
        <f t="shared" si="294"/>
        <v>Low</v>
      </c>
      <c r="O706">
        <f t="shared" si="295"/>
        <v>19.995000000000001</v>
      </c>
      <c r="P706" t="str">
        <f t="shared" si="296"/>
        <v>Low</v>
      </c>
    </row>
    <row r="707" spans="1:16" x14ac:dyDescent="0.25">
      <c r="A707">
        <v>250</v>
      </c>
      <c r="B707">
        <v>14.41</v>
      </c>
      <c r="C707" t="s">
        <v>19</v>
      </c>
      <c r="D707" t="s">
        <v>12</v>
      </c>
      <c r="E707" s="3">
        <v>1500</v>
      </c>
      <c r="F707">
        <v>8.9</v>
      </c>
      <c r="G707">
        <v>4.82</v>
      </c>
      <c r="H707">
        <v>0.87</v>
      </c>
      <c r="I707">
        <v>6.04</v>
      </c>
      <c r="J707">
        <v>19</v>
      </c>
      <c r="K707" t="s">
        <v>23</v>
      </c>
      <c r="L707" t="str">
        <f t="shared" ref="L707:L770" si="297">IF(H707&gt;B707,"INVALID","VALID")</f>
        <v>VALID</v>
      </c>
      <c r="M707">
        <f t="shared" si="293"/>
        <v>4.5789473684210526E-2</v>
      </c>
      <c r="N707" t="str">
        <f t="shared" si="294"/>
        <v>Medium</v>
      </c>
      <c r="O707">
        <f t="shared" si="295"/>
        <v>5.43</v>
      </c>
      <c r="P707" t="str">
        <f t="shared" si="296"/>
        <v>Low</v>
      </c>
    </row>
    <row r="708" spans="1:16" x14ac:dyDescent="0.25">
      <c r="A708">
        <v>250</v>
      </c>
      <c r="B708">
        <v>10.15</v>
      </c>
      <c r="C708" t="s">
        <v>14</v>
      </c>
      <c r="D708" t="s">
        <v>12</v>
      </c>
      <c r="E708" s="3">
        <v>2500</v>
      </c>
      <c r="F708">
        <v>65.7</v>
      </c>
      <c r="G708">
        <v>14.34</v>
      </c>
      <c r="H708">
        <v>9.59</v>
      </c>
      <c r="I708">
        <v>94.48</v>
      </c>
      <c r="J708">
        <v>2</v>
      </c>
      <c r="K708" t="s">
        <v>16</v>
      </c>
      <c r="L708" t="str">
        <f t="shared" si="297"/>
        <v>VALID</v>
      </c>
      <c r="M708">
        <f t="shared" si="293"/>
        <v>4.7949999999999999</v>
      </c>
      <c r="N708" t="str">
        <f t="shared" si="294"/>
        <v>Medium</v>
      </c>
      <c r="O708">
        <f t="shared" si="295"/>
        <v>54.410000000000004</v>
      </c>
      <c r="P708" t="str">
        <f t="shared" si="296"/>
        <v>Medium</v>
      </c>
    </row>
    <row r="709" spans="1:16" x14ac:dyDescent="0.25">
      <c r="A709">
        <v>1000</v>
      </c>
      <c r="B709">
        <v>26.3</v>
      </c>
      <c r="C709" t="s">
        <v>19</v>
      </c>
      <c r="D709" t="s">
        <v>18</v>
      </c>
      <c r="E709" s="3">
        <v>2500</v>
      </c>
      <c r="F709">
        <v>34.4</v>
      </c>
      <c r="G709">
        <v>19.5</v>
      </c>
      <c r="H709">
        <v>6.68</v>
      </c>
      <c r="I709">
        <v>25.4</v>
      </c>
      <c r="J709">
        <v>10</v>
      </c>
      <c r="K709" t="s">
        <v>16</v>
      </c>
      <c r="L709" t="str">
        <f t="shared" si="297"/>
        <v>VALID</v>
      </c>
      <c r="M709">
        <f t="shared" si="293"/>
        <v>0.66799999999999993</v>
      </c>
      <c r="N709" t="str">
        <f t="shared" si="294"/>
        <v>Medium</v>
      </c>
      <c r="O709">
        <f t="shared" si="295"/>
        <v>22.45</v>
      </c>
      <c r="P709" t="str">
        <f t="shared" si="296"/>
        <v>Low</v>
      </c>
    </row>
    <row r="710" spans="1:16" x14ac:dyDescent="0.25">
      <c r="A710">
        <v>1500</v>
      </c>
      <c r="B710">
        <v>27.26</v>
      </c>
      <c r="C710" t="s">
        <v>11</v>
      </c>
      <c r="D710" t="s">
        <v>12</v>
      </c>
      <c r="E710" s="3">
        <v>900</v>
      </c>
      <c r="F710">
        <v>39.700000000000003</v>
      </c>
      <c r="G710">
        <v>2.36</v>
      </c>
      <c r="H710">
        <v>7.04</v>
      </c>
      <c r="I710">
        <v>25.83</v>
      </c>
      <c r="J710">
        <v>9</v>
      </c>
      <c r="K710" t="s">
        <v>16</v>
      </c>
      <c r="L710" t="str">
        <f t="shared" si="297"/>
        <v>VALID</v>
      </c>
      <c r="M710">
        <f t="shared" si="293"/>
        <v>0.78222222222222226</v>
      </c>
      <c r="N710" t="str">
        <f t="shared" si="294"/>
        <v>Low</v>
      </c>
      <c r="O710">
        <f t="shared" si="295"/>
        <v>14.094999999999999</v>
      </c>
      <c r="P710" t="str">
        <f t="shared" si="296"/>
        <v>Low</v>
      </c>
    </row>
    <row r="711" spans="1:16" x14ac:dyDescent="0.25">
      <c r="A711">
        <v>250</v>
      </c>
      <c r="B711">
        <v>11.54</v>
      </c>
      <c r="C711" t="s">
        <v>14</v>
      </c>
      <c r="D711" t="s">
        <v>17</v>
      </c>
      <c r="E711" s="3">
        <v>600</v>
      </c>
      <c r="F711">
        <v>33.1</v>
      </c>
      <c r="G711">
        <v>18.2</v>
      </c>
      <c r="H711">
        <v>5.96</v>
      </c>
      <c r="I711">
        <v>51.65</v>
      </c>
      <c r="J711">
        <v>25</v>
      </c>
      <c r="K711" t="s">
        <v>16</v>
      </c>
      <c r="L711" t="str">
        <f t="shared" si="297"/>
        <v>VALID</v>
      </c>
      <c r="M711">
        <f t="shared" si="293"/>
        <v>0.2384</v>
      </c>
      <c r="N711" t="str">
        <f t="shared" si="294"/>
        <v>Low</v>
      </c>
      <c r="O711">
        <f t="shared" si="295"/>
        <v>34.924999999999997</v>
      </c>
      <c r="P711" t="str">
        <f t="shared" si="296"/>
        <v>Medium</v>
      </c>
    </row>
    <row r="712" spans="1:16" x14ac:dyDescent="0.25">
      <c r="A712">
        <v>250</v>
      </c>
      <c r="B712">
        <v>11.08</v>
      </c>
      <c r="C712" t="s">
        <v>11</v>
      </c>
      <c r="D712" t="s">
        <v>12</v>
      </c>
      <c r="E712" s="3">
        <v>900</v>
      </c>
      <c r="F712">
        <v>75.3</v>
      </c>
      <c r="G712">
        <v>5.85</v>
      </c>
      <c r="H712">
        <v>4.92</v>
      </c>
      <c r="I712">
        <v>44.4</v>
      </c>
      <c r="J712">
        <v>21</v>
      </c>
      <c r="K712" t="s">
        <v>13</v>
      </c>
      <c r="L712" t="str">
        <f t="shared" si="297"/>
        <v>VALID</v>
      </c>
      <c r="M712">
        <f t="shared" si="293"/>
        <v>0.23428571428571429</v>
      </c>
      <c r="N712" t="str">
        <f t="shared" si="294"/>
        <v>Low</v>
      </c>
      <c r="O712">
        <f t="shared" si="295"/>
        <v>25.125</v>
      </c>
      <c r="P712" t="str">
        <f t="shared" si="296"/>
        <v>Low</v>
      </c>
    </row>
    <row r="713" spans="1:16" x14ac:dyDescent="0.25">
      <c r="A713">
        <v>300</v>
      </c>
      <c r="B713">
        <v>7.51</v>
      </c>
      <c r="C713" t="s">
        <v>14</v>
      </c>
      <c r="D713" t="s">
        <v>17</v>
      </c>
      <c r="E713" s="3">
        <v>300</v>
      </c>
      <c r="F713">
        <v>118.2</v>
      </c>
      <c r="G713">
        <v>10.35</v>
      </c>
      <c r="H713">
        <v>1.69</v>
      </c>
      <c r="I713">
        <v>22.5</v>
      </c>
      <c r="J713">
        <v>11</v>
      </c>
      <c r="K713" t="s">
        <v>23</v>
      </c>
      <c r="L713" t="str">
        <f t="shared" si="297"/>
        <v>VALID</v>
      </c>
      <c r="M713">
        <f t="shared" si="293"/>
        <v>0.15363636363636363</v>
      </c>
      <c r="N713" t="str">
        <f t="shared" si="294"/>
        <v>Low</v>
      </c>
      <c r="O713">
        <f t="shared" si="295"/>
        <v>16.425000000000001</v>
      </c>
      <c r="P713" t="str">
        <f t="shared" si="296"/>
        <v>Low</v>
      </c>
    </row>
    <row r="714" spans="1:16" x14ac:dyDescent="0.25">
      <c r="A714">
        <v>800</v>
      </c>
      <c r="B714">
        <v>17.38</v>
      </c>
      <c r="C714" t="s">
        <v>21</v>
      </c>
      <c r="D714" t="s">
        <v>18</v>
      </c>
      <c r="E714" s="3">
        <v>1500</v>
      </c>
      <c r="F714">
        <v>7.3</v>
      </c>
      <c r="G714">
        <v>17.510000000000002</v>
      </c>
      <c r="H714">
        <v>0.27</v>
      </c>
      <c r="I714">
        <v>1.55</v>
      </c>
      <c r="J714">
        <v>10</v>
      </c>
      <c r="K714" t="s">
        <v>23</v>
      </c>
      <c r="L714" t="str">
        <f t="shared" si="297"/>
        <v>VALID</v>
      </c>
      <c r="M714">
        <f t="shared" si="293"/>
        <v>2.7000000000000003E-2</v>
      </c>
      <c r="N714" t="str">
        <f t="shared" si="294"/>
        <v>Medium</v>
      </c>
      <c r="O714">
        <f t="shared" si="295"/>
        <v>9.5300000000000011</v>
      </c>
      <c r="P714" t="str">
        <f t="shared" si="296"/>
        <v>Low</v>
      </c>
    </row>
    <row r="715" spans="1:16" x14ac:dyDescent="0.25">
      <c r="A715">
        <v>50</v>
      </c>
      <c r="B715">
        <v>4.6100000000000003</v>
      </c>
      <c r="C715" t="s">
        <v>21</v>
      </c>
      <c r="D715" t="s">
        <v>18</v>
      </c>
      <c r="E715" s="3">
        <v>150</v>
      </c>
      <c r="F715">
        <v>62.2</v>
      </c>
      <c r="G715">
        <v>0.31</v>
      </c>
      <c r="H715">
        <v>0.81</v>
      </c>
      <c r="I715">
        <v>17.57</v>
      </c>
      <c r="J715">
        <v>13</v>
      </c>
      <c r="K715" t="s">
        <v>23</v>
      </c>
      <c r="L715" t="str">
        <f t="shared" si="297"/>
        <v>VALID</v>
      </c>
      <c r="M715">
        <f t="shared" si="293"/>
        <v>6.2307692307692314E-2</v>
      </c>
      <c r="N715" t="str">
        <f t="shared" si="294"/>
        <v>Low</v>
      </c>
      <c r="O715">
        <f t="shared" si="295"/>
        <v>8.94</v>
      </c>
      <c r="P715" t="str">
        <f t="shared" si="296"/>
        <v>Low</v>
      </c>
    </row>
    <row r="716" spans="1:16" x14ac:dyDescent="0.25">
      <c r="A716">
        <v>250</v>
      </c>
      <c r="B716">
        <v>13.91</v>
      </c>
      <c r="C716" t="s">
        <v>22</v>
      </c>
      <c r="D716" t="s">
        <v>20</v>
      </c>
      <c r="E716" s="3">
        <v>150</v>
      </c>
      <c r="F716">
        <v>50.4</v>
      </c>
      <c r="G716">
        <v>5.0999999999999996</v>
      </c>
      <c r="H716">
        <v>6.97</v>
      </c>
      <c r="I716">
        <v>50.11</v>
      </c>
      <c r="J716">
        <v>20</v>
      </c>
      <c r="K716" t="s">
        <v>16</v>
      </c>
      <c r="L716" t="str">
        <f t="shared" si="297"/>
        <v>VALID</v>
      </c>
      <c r="M716">
        <f t="shared" si="293"/>
        <v>0.34849999999999998</v>
      </c>
      <c r="N716" t="str">
        <f t="shared" si="294"/>
        <v>Low</v>
      </c>
      <c r="O716">
        <f t="shared" si="295"/>
        <v>27.605</v>
      </c>
      <c r="P716" t="str">
        <f t="shared" si="296"/>
        <v>Low</v>
      </c>
    </row>
    <row r="717" spans="1:16" x14ac:dyDescent="0.25">
      <c r="A717">
        <v>200</v>
      </c>
      <c r="B717">
        <v>6.18</v>
      </c>
      <c r="C717" t="s">
        <v>21</v>
      </c>
      <c r="D717" t="s">
        <v>17</v>
      </c>
      <c r="E717" s="3">
        <v>1500</v>
      </c>
      <c r="F717">
        <v>95.2</v>
      </c>
      <c r="G717">
        <v>0.18</v>
      </c>
      <c r="H717">
        <v>2.95</v>
      </c>
      <c r="I717">
        <v>47.73</v>
      </c>
      <c r="J717">
        <v>24</v>
      </c>
      <c r="K717" t="s">
        <v>13</v>
      </c>
      <c r="L717" t="str">
        <f t="shared" si="297"/>
        <v>VALID</v>
      </c>
      <c r="M717">
        <f t="shared" si="293"/>
        <v>0.12291666666666667</v>
      </c>
      <c r="N717" t="str">
        <f t="shared" si="294"/>
        <v>Medium</v>
      </c>
      <c r="O717">
        <f t="shared" si="295"/>
        <v>23.954999999999998</v>
      </c>
      <c r="P717" t="str">
        <f t="shared" si="296"/>
        <v>Low</v>
      </c>
    </row>
    <row r="718" spans="1:16" x14ac:dyDescent="0.25">
      <c r="A718">
        <v>400</v>
      </c>
      <c r="B718">
        <v>17.89</v>
      </c>
      <c r="C718" t="s">
        <v>11</v>
      </c>
      <c r="D718" t="s">
        <v>20</v>
      </c>
      <c r="E718" s="3">
        <v>600</v>
      </c>
      <c r="F718">
        <v>50.6</v>
      </c>
      <c r="G718">
        <v>3.04</v>
      </c>
      <c r="H718">
        <v>4.51</v>
      </c>
      <c r="I718">
        <v>25.21</v>
      </c>
      <c r="J718">
        <v>18</v>
      </c>
      <c r="K718" t="s">
        <v>13</v>
      </c>
      <c r="L718" t="str">
        <f t="shared" si="297"/>
        <v>VALID</v>
      </c>
      <c r="M718">
        <f t="shared" si="293"/>
        <v>0.25055555555555553</v>
      </c>
      <c r="N718" t="str">
        <f t="shared" si="294"/>
        <v>Low</v>
      </c>
      <c r="O718">
        <f t="shared" si="295"/>
        <v>14.125</v>
      </c>
      <c r="P718" t="str">
        <f t="shared" si="296"/>
        <v>Low</v>
      </c>
    </row>
    <row r="719" spans="1:16" x14ac:dyDescent="0.25">
      <c r="A719">
        <v>1200</v>
      </c>
      <c r="B719">
        <v>29.45</v>
      </c>
      <c r="C719" t="s">
        <v>19</v>
      </c>
      <c r="D719" t="s">
        <v>20</v>
      </c>
      <c r="E719" s="3">
        <v>300</v>
      </c>
      <c r="F719">
        <v>52.3</v>
      </c>
      <c r="G719">
        <v>10.23</v>
      </c>
      <c r="H719">
        <v>8.92</v>
      </c>
      <c r="I719">
        <v>30.29</v>
      </c>
      <c r="J719">
        <v>25</v>
      </c>
      <c r="K719" t="s">
        <v>16</v>
      </c>
      <c r="L719" t="str">
        <f t="shared" si="297"/>
        <v>VALID</v>
      </c>
      <c r="M719">
        <f t="shared" si="293"/>
        <v>0.35680000000000001</v>
      </c>
      <c r="N719" t="str">
        <f t="shared" si="294"/>
        <v>Low</v>
      </c>
      <c r="O719">
        <f t="shared" si="295"/>
        <v>20.259999999999998</v>
      </c>
      <c r="P719" t="str">
        <f t="shared" si="296"/>
        <v>Low</v>
      </c>
    </row>
    <row r="720" spans="1:16" x14ac:dyDescent="0.25">
      <c r="A720">
        <v>600</v>
      </c>
      <c r="B720">
        <v>19.72</v>
      </c>
      <c r="C720" t="s">
        <v>14</v>
      </c>
      <c r="D720" t="s">
        <v>15</v>
      </c>
      <c r="E720" s="3">
        <v>1500</v>
      </c>
      <c r="F720">
        <v>-16.8</v>
      </c>
      <c r="G720">
        <v>10.41</v>
      </c>
      <c r="H720">
        <v>2.66</v>
      </c>
      <c r="I720">
        <v>13.49</v>
      </c>
      <c r="J720">
        <v>3</v>
      </c>
      <c r="K720" t="s">
        <v>13</v>
      </c>
      <c r="L720" t="str">
        <f t="shared" si="297"/>
        <v>VALID</v>
      </c>
      <c r="M720">
        <f t="shared" si="293"/>
        <v>0.88666666666666671</v>
      </c>
      <c r="N720" t="str">
        <f t="shared" si="294"/>
        <v>Medium</v>
      </c>
      <c r="O720">
        <f t="shared" si="295"/>
        <v>11.95</v>
      </c>
      <c r="P720" t="str">
        <f t="shared" si="296"/>
        <v>Low</v>
      </c>
    </row>
    <row r="721" spans="1:16" x14ac:dyDescent="0.25">
      <c r="A721">
        <v>300</v>
      </c>
      <c r="B721">
        <v>15.03</v>
      </c>
      <c r="C721" t="s">
        <v>22</v>
      </c>
      <c r="D721" t="s">
        <v>12</v>
      </c>
      <c r="E721" s="3">
        <v>600</v>
      </c>
      <c r="F721">
        <v>54.8</v>
      </c>
      <c r="G721">
        <v>14.85</v>
      </c>
      <c r="H721">
        <v>7.96</v>
      </c>
      <c r="I721">
        <v>52.96</v>
      </c>
      <c r="J721">
        <v>5</v>
      </c>
      <c r="K721" t="s">
        <v>16</v>
      </c>
      <c r="L721" t="str">
        <f t="shared" si="297"/>
        <v>VALID</v>
      </c>
      <c r="M721">
        <f t="shared" si="293"/>
        <v>1.5920000000000001</v>
      </c>
      <c r="N721" t="str">
        <f t="shared" si="294"/>
        <v>Low</v>
      </c>
      <c r="O721">
        <f t="shared" si="295"/>
        <v>33.905000000000001</v>
      </c>
      <c r="P721" t="str">
        <f t="shared" si="296"/>
        <v>Medium</v>
      </c>
    </row>
    <row r="722" spans="1:16" x14ac:dyDescent="0.25">
      <c r="A722">
        <v>500</v>
      </c>
      <c r="B722">
        <v>18.760000000000002</v>
      </c>
      <c r="C722" t="s">
        <v>21</v>
      </c>
      <c r="D722" t="s">
        <v>18</v>
      </c>
      <c r="E722" s="3">
        <v>2500</v>
      </c>
      <c r="F722">
        <v>45.7</v>
      </c>
      <c r="G722">
        <v>13.43</v>
      </c>
      <c r="H722">
        <v>0.11</v>
      </c>
      <c r="I722">
        <v>0.59</v>
      </c>
      <c r="J722">
        <v>12</v>
      </c>
      <c r="K722" t="s">
        <v>23</v>
      </c>
      <c r="L722" t="str">
        <f t="shared" si="297"/>
        <v>VALID</v>
      </c>
      <c r="M722">
        <f t="shared" si="293"/>
        <v>9.1666666666666667E-3</v>
      </c>
      <c r="N722" t="str">
        <f t="shared" si="294"/>
        <v>Medium</v>
      </c>
      <c r="O722">
        <f t="shared" si="295"/>
        <v>7.01</v>
      </c>
      <c r="P722" t="str">
        <f t="shared" si="296"/>
        <v>Low</v>
      </c>
    </row>
    <row r="723" spans="1:16" x14ac:dyDescent="0.25">
      <c r="A723">
        <v>600</v>
      </c>
      <c r="B723">
        <v>18.649999999999999</v>
      </c>
      <c r="C723" t="s">
        <v>22</v>
      </c>
      <c r="D723" t="s">
        <v>17</v>
      </c>
      <c r="E723" s="3">
        <v>900</v>
      </c>
      <c r="F723">
        <v>31.6</v>
      </c>
      <c r="G723">
        <v>4.92</v>
      </c>
      <c r="H723">
        <v>4.1500000000000004</v>
      </c>
      <c r="I723">
        <v>22.25</v>
      </c>
      <c r="J723">
        <v>12</v>
      </c>
      <c r="K723" t="s">
        <v>13</v>
      </c>
      <c r="L723" t="str">
        <f t="shared" si="297"/>
        <v>VALID</v>
      </c>
      <c r="M723">
        <f t="shared" si="293"/>
        <v>0.34583333333333338</v>
      </c>
      <c r="N723" t="str">
        <f t="shared" si="294"/>
        <v>Low</v>
      </c>
      <c r="O723">
        <f t="shared" si="295"/>
        <v>13.585000000000001</v>
      </c>
      <c r="P723" t="str">
        <f t="shared" si="296"/>
        <v>Low</v>
      </c>
    </row>
    <row r="724" spans="1:16" hidden="1" x14ac:dyDescent="0.25">
      <c r="A724">
        <v>200</v>
      </c>
      <c r="B724">
        <v>6.48</v>
      </c>
      <c r="C724" t="s">
        <v>19</v>
      </c>
      <c r="D724" t="s">
        <v>12</v>
      </c>
      <c r="E724">
        <v>300</v>
      </c>
      <c r="F724">
        <v>15.5</v>
      </c>
      <c r="G724">
        <v>2</v>
      </c>
      <c r="H724">
        <v>9.5500000000000007</v>
      </c>
      <c r="I724">
        <v>147.38</v>
      </c>
      <c r="J724">
        <v>13</v>
      </c>
      <c r="K724" t="s">
        <v>16</v>
      </c>
      <c r="L724" t="str">
        <f t="shared" si="297"/>
        <v>INVALID</v>
      </c>
    </row>
    <row r="725" spans="1:16" x14ac:dyDescent="0.25">
      <c r="A725">
        <v>500</v>
      </c>
      <c r="B725">
        <v>19.579999999999998</v>
      </c>
      <c r="C725" t="s">
        <v>11</v>
      </c>
      <c r="D725" t="s">
        <v>20</v>
      </c>
      <c r="E725" s="3">
        <v>900</v>
      </c>
      <c r="F725">
        <v>89.8</v>
      </c>
      <c r="G725">
        <v>6.51</v>
      </c>
      <c r="H725">
        <v>4.78</v>
      </c>
      <c r="I725">
        <v>24.41</v>
      </c>
      <c r="J725">
        <v>7</v>
      </c>
      <c r="K725" t="s">
        <v>13</v>
      </c>
      <c r="L725" t="str">
        <f t="shared" si="297"/>
        <v>VALID</v>
      </c>
      <c r="M725">
        <f t="shared" ref="M725" si="298">IF(J725&gt;0,H725/J725," ")</f>
        <v>0.68285714285714294</v>
      </c>
      <c r="N725" t="str">
        <f>IF(ISNUMBER(E725),IF(E725&lt;1000,"Low",IF(E725&lt;3000,"Medium","High")),"Unknown")</f>
        <v>Low</v>
      </c>
      <c r="O725">
        <f>(G725+I725)/2</f>
        <v>15.46</v>
      </c>
      <c r="P725" t="str">
        <f>IF(O725&lt;30,"Low",IF(O725&lt;60,"Medium","High"))</f>
        <v>Low</v>
      </c>
    </row>
    <row r="726" spans="1:16" hidden="1" x14ac:dyDescent="0.25">
      <c r="A726">
        <v>50</v>
      </c>
      <c r="B726">
        <v>3.59</v>
      </c>
      <c r="C726" t="s">
        <v>21</v>
      </c>
      <c r="D726" t="s">
        <v>12</v>
      </c>
      <c r="E726">
        <v>300</v>
      </c>
      <c r="F726">
        <v>63.5</v>
      </c>
      <c r="G726">
        <v>4.6500000000000004</v>
      </c>
      <c r="H726">
        <v>8.6199999999999992</v>
      </c>
      <c r="I726">
        <v>240.11</v>
      </c>
      <c r="J726">
        <v>2</v>
      </c>
      <c r="K726" t="s">
        <v>16</v>
      </c>
      <c r="L726" t="str">
        <f t="shared" si="297"/>
        <v>INVALID</v>
      </c>
    </row>
    <row r="727" spans="1:16" x14ac:dyDescent="0.25">
      <c r="A727">
        <v>800</v>
      </c>
      <c r="B727">
        <v>25.7</v>
      </c>
      <c r="C727" t="s">
        <v>11</v>
      </c>
      <c r="D727" t="s">
        <v>12</v>
      </c>
      <c r="E727" s="3">
        <v>2500</v>
      </c>
      <c r="F727">
        <v>77.7</v>
      </c>
      <c r="G727">
        <v>13.12</v>
      </c>
      <c r="H727">
        <v>8.1</v>
      </c>
      <c r="I727">
        <v>31.52</v>
      </c>
      <c r="J727">
        <v>18</v>
      </c>
      <c r="K727" t="s">
        <v>16</v>
      </c>
      <c r="L727" t="str">
        <f t="shared" si="297"/>
        <v>VALID</v>
      </c>
      <c r="M727">
        <f t="shared" ref="M727:M737" si="299">IF(J727&gt;0,H727/J727," ")</f>
        <v>0.44999999999999996</v>
      </c>
      <c r="N727" t="str">
        <f t="shared" ref="N727:N737" si="300">IF(ISNUMBER(E727),IF(E727&lt;1000,"Low",IF(E727&lt;3000,"Medium","High")),"Unknown")</f>
        <v>Medium</v>
      </c>
      <c r="O727">
        <f t="shared" ref="O727:O737" si="301">(G727+I727)/2</f>
        <v>22.32</v>
      </c>
      <c r="P727" t="str">
        <f t="shared" ref="P727:P737" si="302">IF(O727&lt;30,"Low",IF(O727&lt;60,"Medium","High"))</f>
        <v>Low</v>
      </c>
    </row>
    <row r="728" spans="1:16" x14ac:dyDescent="0.25">
      <c r="A728">
        <v>400</v>
      </c>
      <c r="B728">
        <v>19.8</v>
      </c>
      <c r="C728" t="s">
        <v>21</v>
      </c>
      <c r="D728" t="s">
        <v>17</v>
      </c>
      <c r="E728" s="3">
        <v>1500</v>
      </c>
      <c r="F728">
        <v>59.6</v>
      </c>
      <c r="G728">
        <v>6.84</v>
      </c>
      <c r="H728">
        <v>2.5</v>
      </c>
      <c r="I728">
        <v>12.63</v>
      </c>
      <c r="J728">
        <v>8</v>
      </c>
      <c r="K728" t="s">
        <v>13</v>
      </c>
      <c r="L728" t="str">
        <f t="shared" si="297"/>
        <v>VALID</v>
      </c>
      <c r="M728">
        <f t="shared" si="299"/>
        <v>0.3125</v>
      </c>
      <c r="N728" t="str">
        <f t="shared" si="300"/>
        <v>Medium</v>
      </c>
      <c r="O728">
        <f t="shared" si="301"/>
        <v>9.7349999999999994</v>
      </c>
      <c r="P728" t="str">
        <f t="shared" si="302"/>
        <v>Low</v>
      </c>
    </row>
    <row r="729" spans="1:16" x14ac:dyDescent="0.25">
      <c r="A729">
        <v>300</v>
      </c>
      <c r="B729">
        <v>7.67</v>
      </c>
      <c r="C729" t="s">
        <v>21</v>
      </c>
      <c r="D729" t="s">
        <v>18</v>
      </c>
      <c r="E729" s="3">
        <v>600</v>
      </c>
      <c r="F729">
        <v>24.5</v>
      </c>
      <c r="G729">
        <v>3.81</v>
      </c>
      <c r="H729">
        <v>3.54</v>
      </c>
      <c r="I729">
        <v>46.15</v>
      </c>
      <c r="J729">
        <v>18</v>
      </c>
      <c r="K729" t="s">
        <v>13</v>
      </c>
      <c r="L729" t="str">
        <f t="shared" si="297"/>
        <v>VALID</v>
      </c>
      <c r="M729">
        <f t="shared" si="299"/>
        <v>0.19666666666666666</v>
      </c>
      <c r="N729" t="str">
        <f t="shared" si="300"/>
        <v>Low</v>
      </c>
      <c r="O729">
        <f t="shared" si="301"/>
        <v>24.98</v>
      </c>
      <c r="P729" t="str">
        <f t="shared" si="302"/>
        <v>Low</v>
      </c>
    </row>
    <row r="730" spans="1:16" x14ac:dyDescent="0.25">
      <c r="A730">
        <v>800</v>
      </c>
      <c r="B730">
        <v>30.43</v>
      </c>
      <c r="C730" t="s">
        <v>14</v>
      </c>
      <c r="D730" t="s">
        <v>18</v>
      </c>
      <c r="E730" s="3">
        <v>300</v>
      </c>
      <c r="F730">
        <v>-23.5</v>
      </c>
      <c r="G730">
        <v>17.350000000000001</v>
      </c>
      <c r="H730">
        <v>7.69</v>
      </c>
      <c r="I730">
        <v>25.27</v>
      </c>
      <c r="J730">
        <v>2</v>
      </c>
      <c r="K730" t="s">
        <v>16</v>
      </c>
      <c r="L730" t="str">
        <f t="shared" si="297"/>
        <v>VALID</v>
      </c>
      <c r="M730">
        <f t="shared" si="299"/>
        <v>3.8450000000000002</v>
      </c>
      <c r="N730" t="str">
        <f t="shared" si="300"/>
        <v>Low</v>
      </c>
      <c r="O730">
        <f t="shared" si="301"/>
        <v>21.310000000000002</v>
      </c>
      <c r="P730" t="str">
        <f t="shared" si="302"/>
        <v>Low</v>
      </c>
    </row>
    <row r="731" spans="1:16" x14ac:dyDescent="0.25">
      <c r="A731">
        <v>600</v>
      </c>
      <c r="B731">
        <v>16.38</v>
      </c>
      <c r="C731" t="s">
        <v>22</v>
      </c>
      <c r="D731" t="s">
        <v>12</v>
      </c>
      <c r="E731" s="3">
        <v>600</v>
      </c>
      <c r="F731">
        <v>37.700000000000003</v>
      </c>
      <c r="G731">
        <v>0.97</v>
      </c>
      <c r="H731">
        <v>9.5500000000000007</v>
      </c>
      <c r="I731">
        <v>58.3</v>
      </c>
      <c r="J731">
        <v>8</v>
      </c>
      <c r="K731" t="s">
        <v>16</v>
      </c>
      <c r="L731" t="str">
        <f t="shared" si="297"/>
        <v>VALID</v>
      </c>
      <c r="M731">
        <f t="shared" si="299"/>
        <v>1.1937500000000001</v>
      </c>
      <c r="N731" t="str">
        <f t="shared" si="300"/>
        <v>Low</v>
      </c>
      <c r="O731">
        <f t="shared" si="301"/>
        <v>29.634999999999998</v>
      </c>
      <c r="P731" t="str">
        <f t="shared" si="302"/>
        <v>Low</v>
      </c>
    </row>
    <row r="732" spans="1:16" x14ac:dyDescent="0.25">
      <c r="A732">
        <v>300</v>
      </c>
      <c r="B732">
        <v>16.23</v>
      </c>
      <c r="C732" t="s">
        <v>14</v>
      </c>
      <c r="D732" t="s">
        <v>15</v>
      </c>
      <c r="E732" s="3">
        <v>1500</v>
      </c>
      <c r="F732">
        <v>36</v>
      </c>
      <c r="G732">
        <v>5.92</v>
      </c>
      <c r="H732">
        <v>7.49</v>
      </c>
      <c r="I732">
        <v>46.15</v>
      </c>
      <c r="J732">
        <v>7</v>
      </c>
      <c r="K732" t="s">
        <v>16</v>
      </c>
      <c r="L732" t="str">
        <f t="shared" si="297"/>
        <v>VALID</v>
      </c>
      <c r="M732">
        <f t="shared" si="299"/>
        <v>1.07</v>
      </c>
      <c r="N732" t="str">
        <f t="shared" si="300"/>
        <v>Medium</v>
      </c>
      <c r="O732">
        <f t="shared" si="301"/>
        <v>26.035</v>
      </c>
      <c r="P732" t="str">
        <f t="shared" si="302"/>
        <v>Low</v>
      </c>
    </row>
    <row r="733" spans="1:16" x14ac:dyDescent="0.25">
      <c r="A733">
        <v>1000</v>
      </c>
      <c r="B733">
        <v>34.89</v>
      </c>
      <c r="C733" t="s">
        <v>22</v>
      </c>
      <c r="D733" t="s">
        <v>18</v>
      </c>
      <c r="E733" s="3">
        <v>600</v>
      </c>
      <c r="F733">
        <v>84.6</v>
      </c>
      <c r="G733">
        <v>19.059999999999999</v>
      </c>
      <c r="H733">
        <v>9.66</v>
      </c>
      <c r="I733">
        <v>27.69</v>
      </c>
      <c r="J733">
        <v>13</v>
      </c>
      <c r="K733" t="s">
        <v>16</v>
      </c>
      <c r="L733" t="str">
        <f t="shared" si="297"/>
        <v>VALID</v>
      </c>
      <c r="M733">
        <f t="shared" si="299"/>
        <v>0.74307692307692308</v>
      </c>
      <c r="N733" t="str">
        <f t="shared" si="300"/>
        <v>Low</v>
      </c>
      <c r="O733">
        <f t="shared" si="301"/>
        <v>23.375</v>
      </c>
      <c r="P733" t="str">
        <f t="shared" si="302"/>
        <v>Low</v>
      </c>
    </row>
    <row r="734" spans="1:16" x14ac:dyDescent="0.25">
      <c r="A734">
        <v>100</v>
      </c>
      <c r="B734">
        <v>7.7</v>
      </c>
      <c r="C734" t="s">
        <v>21</v>
      </c>
      <c r="D734" t="s">
        <v>17</v>
      </c>
      <c r="E734" s="3">
        <v>900</v>
      </c>
      <c r="F734">
        <v>28.8</v>
      </c>
      <c r="G734">
        <v>13.74</v>
      </c>
      <c r="H734">
        <v>4.68</v>
      </c>
      <c r="I734">
        <v>60.78</v>
      </c>
      <c r="J734">
        <v>20</v>
      </c>
      <c r="K734" t="s">
        <v>13</v>
      </c>
      <c r="L734" t="str">
        <f t="shared" si="297"/>
        <v>VALID</v>
      </c>
      <c r="M734">
        <f t="shared" si="299"/>
        <v>0.23399999999999999</v>
      </c>
      <c r="N734" t="str">
        <f t="shared" si="300"/>
        <v>Low</v>
      </c>
      <c r="O734">
        <f t="shared" si="301"/>
        <v>37.26</v>
      </c>
      <c r="P734" t="str">
        <f t="shared" si="302"/>
        <v>Medium</v>
      </c>
    </row>
    <row r="735" spans="1:16" x14ac:dyDescent="0.25">
      <c r="A735">
        <v>1500</v>
      </c>
      <c r="B735">
        <v>37.94</v>
      </c>
      <c r="C735" t="s">
        <v>22</v>
      </c>
      <c r="D735" t="s">
        <v>15</v>
      </c>
      <c r="E735" s="3">
        <v>150</v>
      </c>
      <c r="F735">
        <v>60.3</v>
      </c>
      <c r="G735">
        <v>13.98</v>
      </c>
      <c r="H735">
        <v>6.6</v>
      </c>
      <c r="I735">
        <v>17.399999999999999</v>
      </c>
      <c r="J735">
        <v>15</v>
      </c>
      <c r="K735" t="s">
        <v>16</v>
      </c>
      <c r="L735" t="str">
        <f t="shared" si="297"/>
        <v>VALID</v>
      </c>
      <c r="M735">
        <f t="shared" si="299"/>
        <v>0.44</v>
      </c>
      <c r="N735" t="str">
        <f t="shared" si="300"/>
        <v>Low</v>
      </c>
      <c r="O735">
        <f t="shared" si="301"/>
        <v>15.69</v>
      </c>
      <c r="P735" t="str">
        <f t="shared" si="302"/>
        <v>Low</v>
      </c>
    </row>
    <row r="736" spans="1:16" x14ac:dyDescent="0.25">
      <c r="A736">
        <v>300</v>
      </c>
      <c r="B736">
        <v>12.84</v>
      </c>
      <c r="C736" t="s">
        <v>22</v>
      </c>
      <c r="D736" t="s">
        <v>20</v>
      </c>
      <c r="E736" s="3">
        <v>300</v>
      </c>
      <c r="F736">
        <v>81.8</v>
      </c>
      <c r="G736">
        <v>16.55</v>
      </c>
      <c r="H736">
        <v>2.9</v>
      </c>
      <c r="I736">
        <v>22.59</v>
      </c>
      <c r="J736">
        <v>22</v>
      </c>
      <c r="K736" t="s">
        <v>13</v>
      </c>
      <c r="L736" t="str">
        <f t="shared" si="297"/>
        <v>VALID</v>
      </c>
      <c r="M736">
        <f t="shared" si="299"/>
        <v>0.13181818181818181</v>
      </c>
      <c r="N736" t="str">
        <f t="shared" si="300"/>
        <v>Low</v>
      </c>
      <c r="O736">
        <f t="shared" si="301"/>
        <v>19.57</v>
      </c>
      <c r="P736" t="str">
        <f t="shared" si="302"/>
        <v>Low</v>
      </c>
    </row>
    <row r="737" spans="1:16" x14ac:dyDescent="0.25">
      <c r="A737">
        <v>1200</v>
      </c>
      <c r="B737">
        <v>36.51</v>
      </c>
      <c r="C737" t="s">
        <v>14</v>
      </c>
      <c r="D737" t="s">
        <v>20</v>
      </c>
      <c r="E737" s="3">
        <v>600</v>
      </c>
      <c r="F737">
        <v>64.3</v>
      </c>
      <c r="G737">
        <v>2.61</v>
      </c>
      <c r="H737">
        <v>6</v>
      </c>
      <c r="I737">
        <v>16.43</v>
      </c>
      <c r="J737">
        <v>25</v>
      </c>
      <c r="K737" t="s">
        <v>16</v>
      </c>
      <c r="L737" t="str">
        <f t="shared" si="297"/>
        <v>VALID</v>
      </c>
      <c r="M737">
        <f t="shared" si="299"/>
        <v>0.24</v>
      </c>
      <c r="N737" t="str">
        <f t="shared" si="300"/>
        <v>Low</v>
      </c>
      <c r="O737">
        <f t="shared" si="301"/>
        <v>9.52</v>
      </c>
      <c r="P737" t="str">
        <f t="shared" si="302"/>
        <v>Low</v>
      </c>
    </row>
    <row r="738" spans="1:16" hidden="1" x14ac:dyDescent="0.25">
      <c r="A738">
        <v>150</v>
      </c>
      <c r="B738">
        <v>8.25</v>
      </c>
      <c r="C738" t="s">
        <v>11</v>
      </c>
      <c r="D738" t="s">
        <v>17</v>
      </c>
      <c r="E738">
        <v>600</v>
      </c>
      <c r="F738">
        <v>34.799999999999997</v>
      </c>
      <c r="G738">
        <v>11.25</v>
      </c>
      <c r="H738">
        <v>8.85</v>
      </c>
      <c r="I738">
        <v>107.27</v>
      </c>
      <c r="J738">
        <v>22</v>
      </c>
      <c r="K738" t="s">
        <v>16</v>
      </c>
      <c r="L738" t="str">
        <f t="shared" si="297"/>
        <v>INVALID</v>
      </c>
    </row>
    <row r="739" spans="1:16" x14ac:dyDescent="0.25">
      <c r="A739">
        <v>1000</v>
      </c>
      <c r="B739">
        <v>17.059999999999999</v>
      </c>
      <c r="C739" t="s">
        <v>22</v>
      </c>
      <c r="D739" t="s">
        <v>20</v>
      </c>
      <c r="E739" s="3">
        <v>300</v>
      </c>
      <c r="F739">
        <v>-32.5</v>
      </c>
      <c r="G739">
        <v>8.8000000000000007</v>
      </c>
      <c r="H739">
        <v>2.63</v>
      </c>
      <c r="I739">
        <v>15.42</v>
      </c>
      <c r="J739">
        <v>2</v>
      </c>
      <c r="K739" t="s">
        <v>13</v>
      </c>
      <c r="L739" t="str">
        <f t="shared" si="297"/>
        <v>VALID</v>
      </c>
      <c r="M739">
        <f t="shared" ref="M739:M747" si="303">IF(J739&gt;0,H739/J739," ")</f>
        <v>1.3149999999999999</v>
      </c>
      <c r="N739" t="str">
        <f t="shared" ref="N739:N747" si="304">IF(ISNUMBER(E739),IF(E739&lt;1000,"Low",IF(E739&lt;3000,"Medium","High")),"Unknown")</f>
        <v>Low</v>
      </c>
      <c r="O739">
        <f t="shared" ref="O739:O747" si="305">(G739+I739)/2</f>
        <v>12.11</v>
      </c>
      <c r="P739" t="str">
        <f t="shared" ref="P739:P747" si="306">IF(O739&lt;30,"Low",IF(O739&lt;60,"Medium","High"))</f>
        <v>Low</v>
      </c>
    </row>
    <row r="740" spans="1:16" x14ac:dyDescent="0.25">
      <c r="A740">
        <v>1000</v>
      </c>
      <c r="B740">
        <v>32.090000000000003</v>
      </c>
      <c r="C740" t="s">
        <v>19</v>
      </c>
      <c r="D740" t="s">
        <v>20</v>
      </c>
      <c r="E740" s="3">
        <v>1500</v>
      </c>
      <c r="F740">
        <v>25.5</v>
      </c>
      <c r="G740">
        <v>13.34</v>
      </c>
      <c r="H740">
        <v>4.12</v>
      </c>
      <c r="I740">
        <v>12.84</v>
      </c>
      <c r="J740">
        <v>20</v>
      </c>
      <c r="K740" t="s">
        <v>13</v>
      </c>
      <c r="L740" t="str">
        <f t="shared" si="297"/>
        <v>VALID</v>
      </c>
      <c r="M740">
        <f t="shared" si="303"/>
        <v>0.20600000000000002</v>
      </c>
      <c r="N740" t="str">
        <f t="shared" si="304"/>
        <v>Medium</v>
      </c>
      <c r="O740">
        <f t="shared" si="305"/>
        <v>13.09</v>
      </c>
      <c r="P740" t="str">
        <f t="shared" si="306"/>
        <v>Low</v>
      </c>
    </row>
    <row r="741" spans="1:16" x14ac:dyDescent="0.25">
      <c r="A741">
        <v>100</v>
      </c>
      <c r="B741">
        <v>5.0999999999999996</v>
      </c>
      <c r="C741" t="s">
        <v>21</v>
      </c>
      <c r="D741" t="s">
        <v>20</v>
      </c>
      <c r="E741" s="3">
        <v>600</v>
      </c>
      <c r="F741">
        <v>115.8</v>
      </c>
      <c r="G741">
        <v>3.39</v>
      </c>
      <c r="H741">
        <v>1.03</v>
      </c>
      <c r="I741">
        <v>20.2</v>
      </c>
      <c r="J741">
        <v>11</v>
      </c>
      <c r="K741" t="s">
        <v>23</v>
      </c>
      <c r="L741" t="str">
        <f t="shared" si="297"/>
        <v>VALID</v>
      </c>
      <c r="M741">
        <f t="shared" si="303"/>
        <v>9.3636363636363643E-2</v>
      </c>
      <c r="N741" t="str">
        <f t="shared" si="304"/>
        <v>Low</v>
      </c>
      <c r="O741">
        <f t="shared" si="305"/>
        <v>11.795</v>
      </c>
      <c r="P741" t="str">
        <f t="shared" si="306"/>
        <v>Low</v>
      </c>
    </row>
    <row r="742" spans="1:16" x14ac:dyDescent="0.25">
      <c r="A742">
        <v>500</v>
      </c>
      <c r="B742">
        <v>11.45</v>
      </c>
      <c r="C742" t="s">
        <v>22</v>
      </c>
      <c r="D742" t="s">
        <v>20</v>
      </c>
      <c r="E742" s="3">
        <v>300</v>
      </c>
      <c r="F742">
        <v>29.5</v>
      </c>
      <c r="G742">
        <v>0.28999999999999998</v>
      </c>
      <c r="H742">
        <v>7.15</v>
      </c>
      <c r="I742">
        <v>62.45</v>
      </c>
      <c r="J742">
        <v>2</v>
      </c>
      <c r="K742" t="s">
        <v>16</v>
      </c>
      <c r="L742" t="str">
        <f t="shared" si="297"/>
        <v>VALID</v>
      </c>
      <c r="M742">
        <f t="shared" si="303"/>
        <v>3.5750000000000002</v>
      </c>
      <c r="N742" t="str">
        <f t="shared" si="304"/>
        <v>Low</v>
      </c>
      <c r="O742">
        <f t="shared" si="305"/>
        <v>31.37</v>
      </c>
      <c r="P742" t="str">
        <f t="shared" si="306"/>
        <v>Medium</v>
      </c>
    </row>
    <row r="743" spans="1:16" x14ac:dyDescent="0.25">
      <c r="A743">
        <v>100</v>
      </c>
      <c r="B743">
        <v>5.64</v>
      </c>
      <c r="C743" t="s">
        <v>21</v>
      </c>
      <c r="D743" t="s">
        <v>15</v>
      </c>
      <c r="E743" s="3">
        <v>900</v>
      </c>
      <c r="F743">
        <v>20.9</v>
      </c>
      <c r="G743">
        <v>6.42</v>
      </c>
      <c r="H743">
        <v>4.88</v>
      </c>
      <c r="I743">
        <v>86.52</v>
      </c>
      <c r="J743">
        <v>2</v>
      </c>
      <c r="K743" t="s">
        <v>13</v>
      </c>
      <c r="L743" t="str">
        <f t="shared" si="297"/>
        <v>VALID</v>
      </c>
      <c r="M743">
        <f t="shared" si="303"/>
        <v>2.44</v>
      </c>
      <c r="N743" t="str">
        <f t="shared" si="304"/>
        <v>Low</v>
      </c>
      <c r="O743">
        <f t="shared" si="305"/>
        <v>46.47</v>
      </c>
      <c r="P743" t="str">
        <f t="shared" si="306"/>
        <v>Medium</v>
      </c>
    </row>
    <row r="744" spans="1:16" x14ac:dyDescent="0.25">
      <c r="A744">
        <v>1500</v>
      </c>
      <c r="B744">
        <v>41.19</v>
      </c>
      <c r="C744" t="s">
        <v>11</v>
      </c>
      <c r="D744" t="s">
        <v>12</v>
      </c>
      <c r="E744" s="3">
        <v>600</v>
      </c>
      <c r="F744">
        <v>81</v>
      </c>
      <c r="G744">
        <v>4.5999999999999996</v>
      </c>
      <c r="H744">
        <v>9.33</v>
      </c>
      <c r="I744">
        <v>22.65</v>
      </c>
      <c r="J744">
        <v>22</v>
      </c>
      <c r="K744" t="s">
        <v>16</v>
      </c>
      <c r="L744" t="str">
        <f t="shared" si="297"/>
        <v>VALID</v>
      </c>
      <c r="M744">
        <f t="shared" si="303"/>
        <v>0.42409090909090907</v>
      </c>
      <c r="N744" t="str">
        <f t="shared" si="304"/>
        <v>Low</v>
      </c>
      <c r="O744">
        <f t="shared" si="305"/>
        <v>13.625</v>
      </c>
      <c r="P744" t="str">
        <f t="shared" si="306"/>
        <v>Low</v>
      </c>
    </row>
    <row r="745" spans="1:16" x14ac:dyDescent="0.25">
      <c r="A745">
        <v>250</v>
      </c>
      <c r="B745">
        <v>6.62</v>
      </c>
      <c r="C745" t="s">
        <v>22</v>
      </c>
      <c r="D745" t="s">
        <v>15</v>
      </c>
      <c r="E745" s="3">
        <v>1500</v>
      </c>
      <c r="F745">
        <v>36.9</v>
      </c>
      <c r="G745">
        <v>18.18</v>
      </c>
      <c r="H745">
        <v>0.01</v>
      </c>
      <c r="I745">
        <v>0.15</v>
      </c>
      <c r="J745">
        <v>16</v>
      </c>
      <c r="K745" t="s">
        <v>23</v>
      </c>
      <c r="L745" t="str">
        <f t="shared" si="297"/>
        <v>VALID</v>
      </c>
      <c r="M745">
        <f t="shared" si="303"/>
        <v>6.2500000000000001E-4</v>
      </c>
      <c r="N745" t="str">
        <f t="shared" si="304"/>
        <v>Medium</v>
      </c>
      <c r="O745">
        <f t="shared" si="305"/>
        <v>9.1649999999999991</v>
      </c>
      <c r="P745" t="str">
        <f t="shared" si="306"/>
        <v>Low</v>
      </c>
    </row>
    <row r="746" spans="1:16" x14ac:dyDescent="0.25">
      <c r="A746">
        <v>300</v>
      </c>
      <c r="B746">
        <v>14.69</v>
      </c>
      <c r="C746" t="s">
        <v>14</v>
      </c>
      <c r="D746" t="s">
        <v>12</v>
      </c>
      <c r="E746" s="3">
        <v>300</v>
      </c>
      <c r="F746">
        <v>38.799999999999997</v>
      </c>
      <c r="G746">
        <v>6.6</v>
      </c>
      <c r="H746">
        <v>5.59</v>
      </c>
      <c r="I746">
        <v>38.049999999999997</v>
      </c>
      <c r="J746">
        <v>18</v>
      </c>
      <c r="K746" t="s">
        <v>16</v>
      </c>
      <c r="L746" t="str">
        <f t="shared" si="297"/>
        <v>VALID</v>
      </c>
      <c r="M746">
        <f t="shared" si="303"/>
        <v>0.31055555555555553</v>
      </c>
      <c r="N746" t="str">
        <f t="shared" si="304"/>
        <v>Low</v>
      </c>
      <c r="O746">
        <f t="shared" si="305"/>
        <v>22.324999999999999</v>
      </c>
      <c r="P746" t="str">
        <f t="shared" si="306"/>
        <v>Low</v>
      </c>
    </row>
    <row r="747" spans="1:16" x14ac:dyDescent="0.25">
      <c r="A747">
        <v>200</v>
      </c>
      <c r="B747">
        <v>7.08</v>
      </c>
      <c r="C747" t="s">
        <v>22</v>
      </c>
      <c r="D747" t="s">
        <v>20</v>
      </c>
      <c r="E747" s="3">
        <v>600</v>
      </c>
      <c r="F747">
        <v>-7.9</v>
      </c>
      <c r="G747">
        <v>10.46</v>
      </c>
      <c r="H747">
        <v>4.7300000000000004</v>
      </c>
      <c r="I747">
        <v>66.81</v>
      </c>
      <c r="J747">
        <v>20</v>
      </c>
      <c r="K747" t="s">
        <v>13</v>
      </c>
      <c r="L747" t="str">
        <f t="shared" si="297"/>
        <v>VALID</v>
      </c>
      <c r="M747">
        <f t="shared" si="303"/>
        <v>0.23650000000000002</v>
      </c>
      <c r="N747" t="str">
        <f t="shared" si="304"/>
        <v>Low</v>
      </c>
      <c r="O747">
        <f t="shared" si="305"/>
        <v>38.635000000000005</v>
      </c>
      <c r="P747" t="str">
        <f t="shared" si="306"/>
        <v>Medium</v>
      </c>
    </row>
    <row r="748" spans="1:16" hidden="1" x14ac:dyDescent="0.25">
      <c r="A748">
        <v>50</v>
      </c>
      <c r="B748">
        <v>3.2</v>
      </c>
      <c r="C748" t="s">
        <v>14</v>
      </c>
      <c r="D748" t="s">
        <v>12</v>
      </c>
      <c r="E748">
        <v>900</v>
      </c>
      <c r="F748">
        <v>75.5</v>
      </c>
      <c r="G748">
        <v>19.11</v>
      </c>
      <c r="H748">
        <v>7.07</v>
      </c>
      <c r="I748">
        <v>220.94</v>
      </c>
      <c r="J748">
        <v>4</v>
      </c>
      <c r="K748" t="s">
        <v>16</v>
      </c>
      <c r="L748" t="str">
        <f t="shared" si="297"/>
        <v>INVALID</v>
      </c>
    </row>
    <row r="749" spans="1:16" x14ac:dyDescent="0.25">
      <c r="A749">
        <v>250</v>
      </c>
      <c r="B749">
        <v>11.01</v>
      </c>
      <c r="C749" t="s">
        <v>21</v>
      </c>
      <c r="D749" t="s">
        <v>15</v>
      </c>
      <c r="E749" s="3">
        <v>300</v>
      </c>
      <c r="F749">
        <v>4.0999999999999996</v>
      </c>
      <c r="G749">
        <v>19.649999999999999</v>
      </c>
      <c r="H749">
        <v>2.08</v>
      </c>
      <c r="I749">
        <v>18.89</v>
      </c>
      <c r="J749">
        <v>3</v>
      </c>
      <c r="K749" t="s">
        <v>13</v>
      </c>
      <c r="L749" t="str">
        <f t="shared" si="297"/>
        <v>VALID</v>
      </c>
      <c r="M749">
        <f t="shared" ref="M749:M750" si="307">IF(J749&gt;0,H749/J749," ")</f>
        <v>0.69333333333333336</v>
      </c>
      <c r="N749" t="str">
        <f t="shared" ref="N749:N750" si="308">IF(ISNUMBER(E749),IF(E749&lt;1000,"Low",IF(E749&lt;3000,"Medium","High")),"Unknown")</f>
        <v>Low</v>
      </c>
      <c r="O749">
        <f t="shared" ref="O749:O750" si="309">(G749+I749)/2</f>
        <v>19.27</v>
      </c>
      <c r="P749" t="str">
        <f t="shared" ref="P749:P750" si="310">IF(O749&lt;30,"Low",IF(O749&lt;60,"Medium","High"))</f>
        <v>Low</v>
      </c>
    </row>
    <row r="750" spans="1:16" x14ac:dyDescent="0.25">
      <c r="A750">
        <v>250</v>
      </c>
      <c r="B750">
        <v>7.62</v>
      </c>
      <c r="C750" t="s">
        <v>14</v>
      </c>
      <c r="D750" t="s">
        <v>12</v>
      </c>
      <c r="E750" s="3">
        <v>900</v>
      </c>
      <c r="F750">
        <v>51.7</v>
      </c>
      <c r="G750">
        <v>13.11</v>
      </c>
      <c r="H750">
        <v>5.51</v>
      </c>
      <c r="I750">
        <v>72.31</v>
      </c>
      <c r="J750">
        <v>11</v>
      </c>
      <c r="K750" t="s">
        <v>16</v>
      </c>
      <c r="L750" t="str">
        <f t="shared" si="297"/>
        <v>VALID</v>
      </c>
      <c r="M750">
        <f t="shared" si="307"/>
        <v>0.50090909090909086</v>
      </c>
      <c r="N750" t="str">
        <f t="shared" si="308"/>
        <v>Low</v>
      </c>
      <c r="O750">
        <f t="shared" si="309"/>
        <v>42.71</v>
      </c>
      <c r="P750" t="str">
        <f t="shared" si="310"/>
        <v>Medium</v>
      </c>
    </row>
    <row r="751" spans="1:16" hidden="1" x14ac:dyDescent="0.25">
      <c r="A751">
        <v>50</v>
      </c>
      <c r="B751">
        <v>3.33</v>
      </c>
      <c r="C751" t="s">
        <v>14</v>
      </c>
      <c r="D751" t="s">
        <v>17</v>
      </c>
      <c r="E751">
        <v>150</v>
      </c>
      <c r="F751">
        <v>32.5</v>
      </c>
      <c r="G751">
        <v>1.52</v>
      </c>
      <c r="H751">
        <v>5.86</v>
      </c>
      <c r="I751">
        <v>175.98</v>
      </c>
      <c r="J751">
        <v>18</v>
      </c>
      <c r="K751" t="s">
        <v>16</v>
      </c>
      <c r="L751" t="str">
        <f t="shared" si="297"/>
        <v>INVALID</v>
      </c>
    </row>
    <row r="752" spans="1:16" x14ac:dyDescent="0.25">
      <c r="A752">
        <v>400</v>
      </c>
      <c r="B752">
        <v>10.62</v>
      </c>
      <c r="C752" t="s">
        <v>21</v>
      </c>
      <c r="D752" t="s">
        <v>18</v>
      </c>
      <c r="E752" s="3">
        <v>150</v>
      </c>
      <c r="F752">
        <v>52.7</v>
      </c>
      <c r="G752">
        <v>15.45</v>
      </c>
      <c r="H752">
        <v>5.39</v>
      </c>
      <c r="I752">
        <v>50.75</v>
      </c>
      <c r="J752">
        <v>21</v>
      </c>
      <c r="K752" t="s">
        <v>16</v>
      </c>
      <c r="L752" t="str">
        <f t="shared" si="297"/>
        <v>VALID</v>
      </c>
      <c r="M752">
        <f t="shared" ref="M752:M755" si="311">IF(J752&gt;0,H752/J752," ")</f>
        <v>0.25666666666666665</v>
      </c>
      <c r="N752" t="str">
        <f t="shared" ref="N752:N755" si="312">IF(ISNUMBER(E752),IF(E752&lt;1000,"Low",IF(E752&lt;3000,"Medium","High")),"Unknown")</f>
        <v>Low</v>
      </c>
      <c r="O752">
        <f t="shared" ref="O752:O755" si="313">(G752+I752)/2</f>
        <v>33.1</v>
      </c>
      <c r="P752" t="str">
        <f t="shared" ref="P752:P755" si="314">IF(O752&lt;30,"Low",IF(O752&lt;60,"Medium","High"))</f>
        <v>Medium</v>
      </c>
    </row>
    <row r="753" spans="1:16" x14ac:dyDescent="0.25">
      <c r="A753">
        <v>400</v>
      </c>
      <c r="B753">
        <v>13.53</v>
      </c>
      <c r="C753" t="s">
        <v>19</v>
      </c>
      <c r="D753" t="s">
        <v>12</v>
      </c>
      <c r="E753" s="3">
        <v>150</v>
      </c>
      <c r="F753">
        <v>44.8</v>
      </c>
      <c r="G753">
        <v>8.3699999999999992</v>
      </c>
      <c r="H753">
        <v>0.52</v>
      </c>
      <c r="I753">
        <v>3.84</v>
      </c>
      <c r="J753">
        <v>10</v>
      </c>
      <c r="K753" t="s">
        <v>23</v>
      </c>
      <c r="L753" t="str">
        <f t="shared" si="297"/>
        <v>VALID</v>
      </c>
      <c r="M753">
        <f t="shared" si="311"/>
        <v>5.2000000000000005E-2</v>
      </c>
      <c r="N753" t="str">
        <f t="shared" si="312"/>
        <v>Low</v>
      </c>
      <c r="O753">
        <f t="shared" si="313"/>
        <v>6.1049999999999995</v>
      </c>
      <c r="P753" t="str">
        <f t="shared" si="314"/>
        <v>Low</v>
      </c>
    </row>
    <row r="754" spans="1:16" x14ac:dyDescent="0.25">
      <c r="A754">
        <v>800</v>
      </c>
      <c r="B754">
        <v>12.09</v>
      </c>
      <c r="C754" t="s">
        <v>19</v>
      </c>
      <c r="D754" t="s">
        <v>17</v>
      </c>
      <c r="E754" s="3">
        <v>1500</v>
      </c>
      <c r="F754">
        <v>10.5</v>
      </c>
      <c r="G754">
        <v>0.11</v>
      </c>
      <c r="H754">
        <v>3.74</v>
      </c>
      <c r="I754">
        <v>30.93</v>
      </c>
      <c r="J754">
        <v>24</v>
      </c>
      <c r="K754" t="s">
        <v>13</v>
      </c>
      <c r="L754" t="str">
        <f t="shared" si="297"/>
        <v>VALID</v>
      </c>
      <c r="M754">
        <f t="shared" si="311"/>
        <v>0.15583333333333335</v>
      </c>
      <c r="N754" t="str">
        <f t="shared" si="312"/>
        <v>Medium</v>
      </c>
      <c r="O754">
        <f t="shared" si="313"/>
        <v>15.52</v>
      </c>
      <c r="P754" t="str">
        <f t="shared" si="314"/>
        <v>Low</v>
      </c>
    </row>
    <row r="755" spans="1:16" x14ac:dyDescent="0.25">
      <c r="A755">
        <v>1500</v>
      </c>
      <c r="B755">
        <v>43.41</v>
      </c>
      <c r="C755" t="s">
        <v>11</v>
      </c>
      <c r="D755" t="s">
        <v>17</v>
      </c>
      <c r="E755" s="3">
        <v>300</v>
      </c>
      <c r="F755">
        <v>42</v>
      </c>
      <c r="G755">
        <v>2.09</v>
      </c>
      <c r="H755">
        <v>1.95</v>
      </c>
      <c r="I755">
        <v>4.49</v>
      </c>
      <c r="J755">
        <v>12</v>
      </c>
      <c r="K755" t="s">
        <v>23</v>
      </c>
      <c r="L755" t="str">
        <f t="shared" si="297"/>
        <v>VALID</v>
      </c>
      <c r="M755">
        <f t="shared" si="311"/>
        <v>0.16250000000000001</v>
      </c>
      <c r="N755" t="str">
        <f t="shared" si="312"/>
        <v>Low</v>
      </c>
      <c r="O755">
        <f t="shared" si="313"/>
        <v>3.29</v>
      </c>
      <c r="P755" t="str">
        <f t="shared" si="314"/>
        <v>Low</v>
      </c>
    </row>
    <row r="756" spans="1:16" hidden="1" x14ac:dyDescent="0.25">
      <c r="A756">
        <v>50</v>
      </c>
      <c r="B756">
        <v>5.21</v>
      </c>
      <c r="C756" t="s">
        <v>21</v>
      </c>
      <c r="D756" t="s">
        <v>17</v>
      </c>
      <c r="E756">
        <v>2500</v>
      </c>
      <c r="F756">
        <v>17.399999999999999</v>
      </c>
      <c r="G756">
        <v>3.97</v>
      </c>
      <c r="H756">
        <v>7.35</v>
      </c>
      <c r="I756">
        <v>141.07</v>
      </c>
      <c r="J756">
        <v>2</v>
      </c>
      <c r="K756" t="s">
        <v>16</v>
      </c>
      <c r="L756" t="str">
        <f t="shared" si="297"/>
        <v>INVALID</v>
      </c>
    </row>
    <row r="757" spans="1:16" x14ac:dyDescent="0.25">
      <c r="A757">
        <v>500</v>
      </c>
      <c r="B757">
        <v>18.46</v>
      </c>
      <c r="C757" t="s">
        <v>19</v>
      </c>
      <c r="D757" t="s">
        <v>18</v>
      </c>
      <c r="E757" s="3">
        <v>2500</v>
      </c>
      <c r="F757">
        <v>21</v>
      </c>
      <c r="G757">
        <v>12.59</v>
      </c>
      <c r="H757">
        <v>9.89</v>
      </c>
      <c r="I757">
        <v>53.58</v>
      </c>
      <c r="J757">
        <v>20</v>
      </c>
      <c r="K757" t="s">
        <v>16</v>
      </c>
      <c r="L757" t="str">
        <f t="shared" si="297"/>
        <v>VALID</v>
      </c>
      <c r="M757">
        <f t="shared" ref="M757:M772" si="315">IF(J757&gt;0,H757/J757," ")</f>
        <v>0.49450000000000005</v>
      </c>
      <c r="N757" t="str">
        <f t="shared" ref="N757:N772" si="316">IF(ISNUMBER(E757),IF(E757&lt;1000,"Low",IF(E757&lt;3000,"Medium","High")),"Unknown")</f>
        <v>Medium</v>
      </c>
      <c r="O757">
        <f t="shared" ref="O757:O772" si="317">(G757+I757)/2</f>
        <v>33.085000000000001</v>
      </c>
      <c r="P757" t="str">
        <f t="shared" ref="P757:P772" si="318">IF(O757&lt;30,"Low",IF(O757&lt;60,"Medium","High"))</f>
        <v>Medium</v>
      </c>
    </row>
    <row r="758" spans="1:16" x14ac:dyDescent="0.25">
      <c r="A758">
        <v>50</v>
      </c>
      <c r="B758">
        <v>4.03</v>
      </c>
      <c r="C758" t="s">
        <v>19</v>
      </c>
      <c r="D758" t="s">
        <v>15</v>
      </c>
      <c r="E758" s="3">
        <v>150</v>
      </c>
      <c r="F758">
        <v>32.700000000000003</v>
      </c>
      <c r="G758">
        <v>19.88</v>
      </c>
      <c r="H758">
        <v>0.2</v>
      </c>
      <c r="I758">
        <v>4.96</v>
      </c>
      <c r="J758">
        <v>6</v>
      </c>
      <c r="K758" t="s">
        <v>23</v>
      </c>
      <c r="L758" t="str">
        <f t="shared" si="297"/>
        <v>VALID</v>
      </c>
      <c r="M758">
        <f t="shared" si="315"/>
        <v>3.3333333333333333E-2</v>
      </c>
      <c r="N758" t="str">
        <f t="shared" si="316"/>
        <v>Low</v>
      </c>
      <c r="O758">
        <f t="shared" si="317"/>
        <v>12.42</v>
      </c>
      <c r="P758" t="str">
        <f t="shared" si="318"/>
        <v>Low</v>
      </c>
    </row>
    <row r="759" spans="1:16" x14ac:dyDescent="0.25">
      <c r="A759">
        <v>200</v>
      </c>
      <c r="B759">
        <v>6.58</v>
      </c>
      <c r="C759" t="s">
        <v>22</v>
      </c>
      <c r="D759" t="s">
        <v>20</v>
      </c>
      <c r="E759" s="3">
        <v>300</v>
      </c>
      <c r="F759">
        <v>78.8</v>
      </c>
      <c r="G759">
        <v>7.47</v>
      </c>
      <c r="H759">
        <v>1.97</v>
      </c>
      <c r="I759">
        <v>29.94</v>
      </c>
      <c r="J759">
        <v>19</v>
      </c>
      <c r="K759" t="s">
        <v>23</v>
      </c>
      <c r="L759" t="str">
        <f t="shared" si="297"/>
        <v>VALID</v>
      </c>
      <c r="M759">
        <f t="shared" si="315"/>
        <v>0.10368421052631578</v>
      </c>
      <c r="N759" t="str">
        <f t="shared" si="316"/>
        <v>Low</v>
      </c>
      <c r="O759">
        <f t="shared" si="317"/>
        <v>18.705000000000002</v>
      </c>
      <c r="P759" t="str">
        <f t="shared" si="318"/>
        <v>Low</v>
      </c>
    </row>
    <row r="760" spans="1:16" x14ac:dyDescent="0.25">
      <c r="A760">
        <v>800</v>
      </c>
      <c r="B760">
        <v>15.93</v>
      </c>
      <c r="C760" t="s">
        <v>19</v>
      </c>
      <c r="D760" t="s">
        <v>20</v>
      </c>
      <c r="E760" s="3">
        <v>1500</v>
      </c>
      <c r="F760">
        <v>31</v>
      </c>
      <c r="G760">
        <v>16.53</v>
      </c>
      <c r="H760">
        <v>0.34</v>
      </c>
      <c r="I760">
        <v>2.13</v>
      </c>
      <c r="J760">
        <v>20</v>
      </c>
      <c r="K760" t="s">
        <v>23</v>
      </c>
      <c r="L760" t="str">
        <f t="shared" si="297"/>
        <v>VALID</v>
      </c>
      <c r="M760">
        <f t="shared" si="315"/>
        <v>1.7000000000000001E-2</v>
      </c>
      <c r="N760" t="str">
        <f t="shared" si="316"/>
        <v>Medium</v>
      </c>
      <c r="O760">
        <f t="shared" si="317"/>
        <v>9.33</v>
      </c>
      <c r="P760" t="str">
        <f t="shared" si="318"/>
        <v>Low</v>
      </c>
    </row>
    <row r="761" spans="1:16" x14ac:dyDescent="0.25">
      <c r="A761">
        <v>600</v>
      </c>
      <c r="B761">
        <v>10.33</v>
      </c>
      <c r="C761" t="s">
        <v>14</v>
      </c>
      <c r="D761" t="s">
        <v>12</v>
      </c>
      <c r="E761" s="3">
        <v>300</v>
      </c>
      <c r="F761">
        <v>95.8</v>
      </c>
      <c r="G761">
        <v>3.46</v>
      </c>
      <c r="H761">
        <v>7.68</v>
      </c>
      <c r="I761">
        <v>74.349999999999994</v>
      </c>
      <c r="J761">
        <v>4</v>
      </c>
      <c r="K761" t="s">
        <v>16</v>
      </c>
      <c r="L761" t="str">
        <f t="shared" si="297"/>
        <v>VALID</v>
      </c>
      <c r="M761">
        <f t="shared" si="315"/>
        <v>1.92</v>
      </c>
      <c r="N761" t="str">
        <f t="shared" si="316"/>
        <v>Low</v>
      </c>
      <c r="O761">
        <f t="shared" si="317"/>
        <v>38.904999999999994</v>
      </c>
      <c r="P761" t="str">
        <f t="shared" si="318"/>
        <v>Medium</v>
      </c>
    </row>
    <row r="762" spans="1:16" x14ac:dyDescent="0.25">
      <c r="A762">
        <v>400</v>
      </c>
      <c r="B762">
        <v>18.23</v>
      </c>
      <c r="C762" t="s">
        <v>22</v>
      </c>
      <c r="D762" t="s">
        <v>12</v>
      </c>
      <c r="E762" s="3">
        <v>1500</v>
      </c>
      <c r="F762">
        <v>49.1</v>
      </c>
      <c r="G762">
        <v>1.07</v>
      </c>
      <c r="H762">
        <v>1.63</v>
      </c>
      <c r="I762">
        <v>8.94</v>
      </c>
      <c r="J762">
        <v>4</v>
      </c>
      <c r="K762" t="s">
        <v>23</v>
      </c>
      <c r="L762" t="str">
        <f t="shared" si="297"/>
        <v>VALID</v>
      </c>
      <c r="M762">
        <f t="shared" si="315"/>
        <v>0.40749999999999997</v>
      </c>
      <c r="N762" t="str">
        <f t="shared" si="316"/>
        <v>Medium</v>
      </c>
      <c r="O762">
        <f t="shared" si="317"/>
        <v>5.0049999999999999</v>
      </c>
      <c r="P762" t="str">
        <f t="shared" si="318"/>
        <v>Low</v>
      </c>
    </row>
    <row r="763" spans="1:16" x14ac:dyDescent="0.25">
      <c r="A763">
        <v>800</v>
      </c>
      <c r="B763">
        <v>17.28</v>
      </c>
      <c r="C763" t="s">
        <v>14</v>
      </c>
      <c r="D763" t="s">
        <v>17</v>
      </c>
      <c r="E763" s="3">
        <v>300</v>
      </c>
      <c r="F763">
        <v>45.5</v>
      </c>
      <c r="G763">
        <v>4.3899999999999997</v>
      </c>
      <c r="H763">
        <v>0.91</v>
      </c>
      <c r="I763">
        <v>5.27</v>
      </c>
      <c r="J763">
        <v>3</v>
      </c>
      <c r="K763" t="s">
        <v>23</v>
      </c>
      <c r="L763" t="str">
        <f t="shared" si="297"/>
        <v>VALID</v>
      </c>
      <c r="M763">
        <f t="shared" si="315"/>
        <v>0.30333333333333334</v>
      </c>
      <c r="N763" t="str">
        <f t="shared" si="316"/>
        <v>Low</v>
      </c>
      <c r="O763">
        <f t="shared" si="317"/>
        <v>4.83</v>
      </c>
      <c r="P763" t="str">
        <f t="shared" si="318"/>
        <v>Low</v>
      </c>
    </row>
    <row r="764" spans="1:16" x14ac:dyDescent="0.25">
      <c r="A764">
        <v>150</v>
      </c>
      <c r="B764">
        <v>6.29</v>
      </c>
      <c r="C764" t="s">
        <v>21</v>
      </c>
      <c r="D764" t="s">
        <v>18</v>
      </c>
      <c r="E764" s="3">
        <v>1500</v>
      </c>
      <c r="F764">
        <v>-2.9</v>
      </c>
      <c r="G764">
        <v>10.56</v>
      </c>
      <c r="H764">
        <v>0.23</v>
      </c>
      <c r="I764">
        <v>3.66</v>
      </c>
      <c r="J764">
        <v>23</v>
      </c>
      <c r="K764" t="s">
        <v>23</v>
      </c>
      <c r="L764" t="str">
        <f t="shared" si="297"/>
        <v>VALID</v>
      </c>
      <c r="M764">
        <f t="shared" si="315"/>
        <v>0.01</v>
      </c>
      <c r="N764" t="str">
        <f t="shared" si="316"/>
        <v>Medium</v>
      </c>
      <c r="O764">
        <f t="shared" si="317"/>
        <v>7.11</v>
      </c>
      <c r="P764" t="str">
        <f t="shared" si="318"/>
        <v>Low</v>
      </c>
    </row>
    <row r="765" spans="1:16" x14ac:dyDescent="0.25">
      <c r="A765">
        <v>300</v>
      </c>
      <c r="B765">
        <v>17.170000000000002</v>
      </c>
      <c r="C765" t="s">
        <v>21</v>
      </c>
      <c r="D765" t="s">
        <v>15</v>
      </c>
      <c r="E765" s="3">
        <v>2500</v>
      </c>
      <c r="F765">
        <v>46.2</v>
      </c>
      <c r="G765">
        <v>8.3800000000000008</v>
      </c>
      <c r="H765">
        <v>4.7</v>
      </c>
      <c r="I765">
        <v>27.37</v>
      </c>
      <c r="J765">
        <v>11</v>
      </c>
      <c r="K765" t="s">
        <v>13</v>
      </c>
      <c r="L765" t="str">
        <f t="shared" si="297"/>
        <v>VALID</v>
      </c>
      <c r="M765">
        <f t="shared" si="315"/>
        <v>0.4272727272727273</v>
      </c>
      <c r="N765" t="str">
        <f t="shared" si="316"/>
        <v>Medium</v>
      </c>
      <c r="O765">
        <f t="shared" si="317"/>
        <v>17.875</v>
      </c>
      <c r="P765" t="str">
        <f t="shared" si="318"/>
        <v>Low</v>
      </c>
    </row>
    <row r="766" spans="1:16" x14ac:dyDescent="0.25">
      <c r="A766">
        <v>400</v>
      </c>
      <c r="B766">
        <v>11.98</v>
      </c>
      <c r="C766" t="s">
        <v>11</v>
      </c>
      <c r="D766" t="s">
        <v>12</v>
      </c>
      <c r="E766" s="3">
        <v>300</v>
      </c>
      <c r="F766">
        <v>-44.1</v>
      </c>
      <c r="G766">
        <v>16.96</v>
      </c>
      <c r="H766">
        <v>1.54</v>
      </c>
      <c r="I766">
        <v>12.85</v>
      </c>
      <c r="J766">
        <v>8</v>
      </c>
      <c r="K766" t="s">
        <v>23</v>
      </c>
      <c r="L766" t="str">
        <f t="shared" si="297"/>
        <v>VALID</v>
      </c>
      <c r="M766">
        <f t="shared" si="315"/>
        <v>0.1925</v>
      </c>
      <c r="N766" t="str">
        <f t="shared" si="316"/>
        <v>Low</v>
      </c>
      <c r="O766">
        <f t="shared" si="317"/>
        <v>14.905000000000001</v>
      </c>
      <c r="P766" t="str">
        <f t="shared" si="318"/>
        <v>Low</v>
      </c>
    </row>
    <row r="767" spans="1:16" x14ac:dyDescent="0.25">
      <c r="A767">
        <v>250</v>
      </c>
      <c r="B767">
        <v>8.74</v>
      </c>
      <c r="C767" t="s">
        <v>11</v>
      </c>
      <c r="D767" t="s">
        <v>12</v>
      </c>
      <c r="E767" s="3">
        <v>2500</v>
      </c>
      <c r="F767">
        <v>22.6</v>
      </c>
      <c r="G767">
        <v>3.9</v>
      </c>
      <c r="H767">
        <v>4.41</v>
      </c>
      <c r="I767">
        <v>50.46</v>
      </c>
      <c r="J767">
        <v>19</v>
      </c>
      <c r="K767" t="s">
        <v>13</v>
      </c>
      <c r="L767" t="str">
        <f t="shared" si="297"/>
        <v>VALID</v>
      </c>
      <c r="M767">
        <f t="shared" si="315"/>
        <v>0.23210526315789473</v>
      </c>
      <c r="N767" t="str">
        <f t="shared" si="316"/>
        <v>Medium</v>
      </c>
      <c r="O767">
        <f t="shared" si="317"/>
        <v>27.18</v>
      </c>
      <c r="P767" t="str">
        <f t="shared" si="318"/>
        <v>Low</v>
      </c>
    </row>
    <row r="768" spans="1:16" x14ac:dyDescent="0.25">
      <c r="A768">
        <v>200</v>
      </c>
      <c r="B768">
        <v>10.26</v>
      </c>
      <c r="C768" t="s">
        <v>22</v>
      </c>
      <c r="D768" t="s">
        <v>12</v>
      </c>
      <c r="E768" s="3">
        <v>600</v>
      </c>
      <c r="F768">
        <v>24.1</v>
      </c>
      <c r="G768">
        <v>11.01</v>
      </c>
      <c r="H768">
        <v>0.12</v>
      </c>
      <c r="I768">
        <v>1.17</v>
      </c>
      <c r="J768">
        <v>24</v>
      </c>
      <c r="K768" t="s">
        <v>23</v>
      </c>
      <c r="L768" t="str">
        <f t="shared" si="297"/>
        <v>VALID</v>
      </c>
      <c r="M768">
        <f t="shared" si="315"/>
        <v>5.0000000000000001E-3</v>
      </c>
      <c r="N768" t="str">
        <f t="shared" si="316"/>
        <v>Low</v>
      </c>
      <c r="O768">
        <f t="shared" si="317"/>
        <v>6.09</v>
      </c>
      <c r="P768" t="str">
        <f t="shared" si="318"/>
        <v>Low</v>
      </c>
    </row>
    <row r="769" spans="1:16" x14ac:dyDescent="0.25">
      <c r="A769">
        <v>500</v>
      </c>
      <c r="B769">
        <v>23.22</v>
      </c>
      <c r="C769" t="s">
        <v>14</v>
      </c>
      <c r="D769" t="s">
        <v>12</v>
      </c>
      <c r="E769" s="3">
        <v>900</v>
      </c>
      <c r="F769">
        <v>46.8</v>
      </c>
      <c r="G769">
        <v>13.79</v>
      </c>
      <c r="H769">
        <v>3.08</v>
      </c>
      <c r="I769">
        <v>13.26</v>
      </c>
      <c r="J769">
        <v>18</v>
      </c>
      <c r="K769" t="s">
        <v>13</v>
      </c>
      <c r="L769" t="str">
        <f t="shared" si="297"/>
        <v>VALID</v>
      </c>
      <c r="M769">
        <f t="shared" si="315"/>
        <v>0.1711111111111111</v>
      </c>
      <c r="N769" t="str">
        <f t="shared" si="316"/>
        <v>Low</v>
      </c>
      <c r="O769">
        <f t="shared" si="317"/>
        <v>13.524999999999999</v>
      </c>
      <c r="P769" t="str">
        <f t="shared" si="318"/>
        <v>Low</v>
      </c>
    </row>
    <row r="770" spans="1:16" x14ac:dyDescent="0.25">
      <c r="A770">
        <v>500</v>
      </c>
      <c r="B770">
        <v>13.5</v>
      </c>
      <c r="C770" t="s">
        <v>14</v>
      </c>
      <c r="D770" t="s">
        <v>18</v>
      </c>
      <c r="E770" s="3">
        <v>300</v>
      </c>
      <c r="F770">
        <v>-10.1</v>
      </c>
      <c r="G770">
        <v>9.9</v>
      </c>
      <c r="H770">
        <v>5.45</v>
      </c>
      <c r="I770">
        <v>40.369999999999997</v>
      </c>
      <c r="J770">
        <v>25</v>
      </c>
      <c r="K770" t="s">
        <v>16</v>
      </c>
      <c r="L770" t="str">
        <f t="shared" si="297"/>
        <v>VALID</v>
      </c>
      <c r="M770">
        <f t="shared" si="315"/>
        <v>0.218</v>
      </c>
      <c r="N770" t="str">
        <f t="shared" si="316"/>
        <v>Low</v>
      </c>
      <c r="O770">
        <f t="shared" si="317"/>
        <v>25.134999999999998</v>
      </c>
      <c r="P770" t="str">
        <f t="shared" si="318"/>
        <v>Low</v>
      </c>
    </row>
    <row r="771" spans="1:16" x14ac:dyDescent="0.25">
      <c r="A771">
        <v>250</v>
      </c>
      <c r="B771">
        <v>8.83</v>
      </c>
      <c r="C771" t="s">
        <v>21</v>
      </c>
      <c r="D771" t="s">
        <v>12</v>
      </c>
      <c r="E771" s="3">
        <v>2500</v>
      </c>
      <c r="F771">
        <v>80.099999999999994</v>
      </c>
      <c r="G771">
        <v>4.16</v>
      </c>
      <c r="H771">
        <v>2.2200000000000002</v>
      </c>
      <c r="I771">
        <v>25.14</v>
      </c>
      <c r="J771">
        <v>20</v>
      </c>
      <c r="K771" t="s">
        <v>13</v>
      </c>
      <c r="L771" t="str">
        <f t="shared" ref="L771:L834" si="319">IF(H771&gt;B771,"INVALID","VALID")</f>
        <v>VALID</v>
      </c>
      <c r="M771">
        <f t="shared" si="315"/>
        <v>0.11100000000000002</v>
      </c>
      <c r="N771" t="str">
        <f t="shared" si="316"/>
        <v>Medium</v>
      </c>
      <c r="O771">
        <f t="shared" si="317"/>
        <v>14.65</v>
      </c>
      <c r="P771" t="str">
        <f t="shared" si="318"/>
        <v>Low</v>
      </c>
    </row>
    <row r="772" spans="1:16" x14ac:dyDescent="0.25">
      <c r="A772">
        <v>100</v>
      </c>
      <c r="B772">
        <v>6.22</v>
      </c>
      <c r="C772" t="s">
        <v>21</v>
      </c>
      <c r="D772" t="s">
        <v>18</v>
      </c>
      <c r="E772" s="3">
        <v>1500</v>
      </c>
      <c r="F772">
        <v>48.5</v>
      </c>
      <c r="G772">
        <v>6.68</v>
      </c>
      <c r="H772">
        <v>4.13</v>
      </c>
      <c r="I772">
        <v>66.400000000000006</v>
      </c>
      <c r="J772">
        <v>21</v>
      </c>
      <c r="K772" t="s">
        <v>13</v>
      </c>
      <c r="L772" t="str">
        <f t="shared" si="319"/>
        <v>VALID</v>
      </c>
      <c r="M772">
        <f t="shared" si="315"/>
        <v>0.19666666666666666</v>
      </c>
      <c r="N772" t="str">
        <f t="shared" si="316"/>
        <v>Medium</v>
      </c>
      <c r="O772">
        <f t="shared" si="317"/>
        <v>36.540000000000006</v>
      </c>
      <c r="P772" t="str">
        <f t="shared" si="318"/>
        <v>Medium</v>
      </c>
    </row>
    <row r="773" spans="1:16" hidden="1" x14ac:dyDescent="0.25">
      <c r="A773">
        <v>50</v>
      </c>
      <c r="B773">
        <v>4.59</v>
      </c>
      <c r="C773" t="s">
        <v>22</v>
      </c>
      <c r="D773" t="s">
        <v>20</v>
      </c>
      <c r="E773">
        <v>600</v>
      </c>
      <c r="F773">
        <v>53</v>
      </c>
      <c r="G773">
        <v>19.59</v>
      </c>
      <c r="H773">
        <v>9.6199999999999992</v>
      </c>
      <c r="I773">
        <v>209.59</v>
      </c>
      <c r="J773">
        <v>1</v>
      </c>
      <c r="K773" t="s">
        <v>16</v>
      </c>
      <c r="L773" t="str">
        <f t="shared" si="319"/>
        <v>INVALID</v>
      </c>
    </row>
    <row r="774" spans="1:16" x14ac:dyDescent="0.25">
      <c r="A774">
        <v>250</v>
      </c>
      <c r="B774">
        <v>13.97</v>
      </c>
      <c r="C774" t="s">
        <v>21</v>
      </c>
      <c r="D774" t="s">
        <v>12</v>
      </c>
      <c r="E774" s="3">
        <v>2500</v>
      </c>
      <c r="F774">
        <v>91.2</v>
      </c>
      <c r="G774">
        <v>6.08</v>
      </c>
      <c r="H774">
        <v>2.31</v>
      </c>
      <c r="I774">
        <v>16.54</v>
      </c>
      <c r="J774">
        <v>15</v>
      </c>
      <c r="K774" t="s">
        <v>13</v>
      </c>
      <c r="L774" t="str">
        <f t="shared" si="319"/>
        <v>VALID</v>
      </c>
      <c r="M774">
        <f t="shared" ref="M774" si="320">IF(J774&gt;0,H774/J774," ")</f>
        <v>0.154</v>
      </c>
      <c r="N774" t="str">
        <f>IF(ISNUMBER(E774),IF(E774&lt;1000,"Low",IF(E774&lt;3000,"Medium","High")),"Unknown")</f>
        <v>Medium</v>
      </c>
      <c r="O774">
        <f>(G774+I774)/2</f>
        <v>11.309999999999999</v>
      </c>
      <c r="P774" t="str">
        <f>IF(O774&lt;30,"Low",IF(O774&lt;60,"Medium","High"))</f>
        <v>Low</v>
      </c>
    </row>
    <row r="775" spans="1:16" hidden="1" x14ac:dyDescent="0.25">
      <c r="A775">
        <v>250</v>
      </c>
      <c r="B775">
        <v>7.81</v>
      </c>
      <c r="C775" t="s">
        <v>22</v>
      </c>
      <c r="D775" t="s">
        <v>15</v>
      </c>
      <c r="E775">
        <v>2500</v>
      </c>
      <c r="F775">
        <v>0.2</v>
      </c>
      <c r="G775">
        <v>4.22</v>
      </c>
      <c r="H775">
        <v>8.43</v>
      </c>
      <c r="I775">
        <v>107.94</v>
      </c>
      <c r="J775">
        <v>20</v>
      </c>
      <c r="K775" t="s">
        <v>16</v>
      </c>
      <c r="L775" t="str">
        <f t="shared" si="319"/>
        <v>INVALID</v>
      </c>
    </row>
    <row r="776" spans="1:16" x14ac:dyDescent="0.25">
      <c r="A776">
        <v>500</v>
      </c>
      <c r="B776">
        <v>17.25</v>
      </c>
      <c r="C776" t="s">
        <v>21</v>
      </c>
      <c r="D776" t="s">
        <v>17</v>
      </c>
      <c r="E776" s="3">
        <v>900</v>
      </c>
      <c r="F776">
        <v>115.9</v>
      </c>
      <c r="G776">
        <v>3.95</v>
      </c>
      <c r="H776">
        <v>3.41</v>
      </c>
      <c r="I776">
        <v>19.77</v>
      </c>
      <c r="J776">
        <v>3</v>
      </c>
      <c r="K776" t="s">
        <v>13</v>
      </c>
      <c r="L776" t="str">
        <f t="shared" si="319"/>
        <v>VALID</v>
      </c>
      <c r="M776">
        <f t="shared" ref="M776:M792" si="321">IF(J776&gt;0,H776/J776," ")</f>
        <v>1.1366666666666667</v>
      </c>
      <c r="N776" t="str">
        <f t="shared" ref="N776:N792" si="322">IF(ISNUMBER(E776),IF(E776&lt;1000,"Low",IF(E776&lt;3000,"Medium","High")),"Unknown")</f>
        <v>Low</v>
      </c>
      <c r="O776">
        <f t="shared" ref="O776:O792" si="323">(G776+I776)/2</f>
        <v>11.86</v>
      </c>
      <c r="P776" t="str">
        <f t="shared" ref="P776:P792" si="324">IF(O776&lt;30,"Low",IF(O776&lt;60,"Medium","High"))</f>
        <v>Low</v>
      </c>
    </row>
    <row r="777" spans="1:16" x14ac:dyDescent="0.25">
      <c r="A777">
        <v>1500</v>
      </c>
      <c r="B777">
        <v>38.44</v>
      </c>
      <c r="C777" t="s">
        <v>19</v>
      </c>
      <c r="D777" t="s">
        <v>17</v>
      </c>
      <c r="E777" s="3">
        <v>2500</v>
      </c>
      <c r="F777">
        <v>84.5</v>
      </c>
      <c r="G777">
        <v>19.2</v>
      </c>
      <c r="H777">
        <v>7.43</v>
      </c>
      <c r="I777">
        <v>19.329999999999998</v>
      </c>
      <c r="J777">
        <v>15</v>
      </c>
      <c r="K777" t="s">
        <v>16</v>
      </c>
      <c r="L777" t="str">
        <f t="shared" si="319"/>
        <v>VALID</v>
      </c>
      <c r="M777">
        <f t="shared" si="321"/>
        <v>0.49533333333333329</v>
      </c>
      <c r="N777" t="str">
        <f t="shared" si="322"/>
        <v>Medium</v>
      </c>
      <c r="O777">
        <f t="shared" si="323"/>
        <v>19.265000000000001</v>
      </c>
      <c r="P777" t="str">
        <f t="shared" si="324"/>
        <v>Low</v>
      </c>
    </row>
    <row r="778" spans="1:16" x14ac:dyDescent="0.25">
      <c r="A778">
        <v>1000</v>
      </c>
      <c r="B778">
        <v>19.27</v>
      </c>
      <c r="C778" t="s">
        <v>11</v>
      </c>
      <c r="D778" t="s">
        <v>20</v>
      </c>
      <c r="E778" s="3">
        <v>1500</v>
      </c>
      <c r="F778">
        <v>14.9</v>
      </c>
      <c r="G778">
        <v>1.18</v>
      </c>
      <c r="H778">
        <v>5.13</v>
      </c>
      <c r="I778">
        <v>26.62</v>
      </c>
      <c r="J778">
        <v>11</v>
      </c>
      <c r="K778" t="s">
        <v>16</v>
      </c>
      <c r="L778" t="str">
        <f t="shared" si="319"/>
        <v>VALID</v>
      </c>
      <c r="M778">
        <f t="shared" si="321"/>
        <v>0.46636363636363637</v>
      </c>
      <c r="N778" t="str">
        <f t="shared" si="322"/>
        <v>Medium</v>
      </c>
      <c r="O778">
        <f t="shared" si="323"/>
        <v>13.9</v>
      </c>
      <c r="P778" t="str">
        <f t="shared" si="324"/>
        <v>Low</v>
      </c>
    </row>
    <row r="779" spans="1:16" x14ac:dyDescent="0.25">
      <c r="A779">
        <v>600</v>
      </c>
      <c r="B779">
        <v>27.65</v>
      </c>
      <c r="C779" t="s">
        <v>11</v>
      </c>
      <c r="D779" t="s">
        <v>17</v>
      </c>
      <c r="E779" s="3">
        <v>1500</v>
      </c>
      <c r="F779">
        <v>59.7</v>
      </c>
      <c r="G779">
        <v>15.54</v>
      </c>
      <c r="H779">
        <v>7.65</v>
      </c>
      <c r="I779">
        <v>27.67</v>
      </c>
      <c r="J779">
        <v>14</v>
      </c>
      <c r="K779" t="s">
        <v>16</v>
      </c>
      <c r="L779" t="str">
        <f t="shared" si="319"/>
        <v>VALID</v>
      </c>
      <c r="M779">
        <f t="shared" si="321"/>
        <v>0.54642857142857149</v>
      </c>
      <c r="N779" t="str">
        <f t="shared" si="322"/>
        <v>Medium</v>
      </c>
      <c r="O779">
        <f t="shared" si="323"/>
        <v>21.605</v>
      </c>
      <c r="P779" t="str">
        <f t="shared" si="324"/>
        <v>Low</v>
      </c>
    </row>
    <row r="780" spans="1:16" x14ac:dyDescent="0.25">
      <c r="A780">
        <v>250</v>
      </c>
      <c r="B780">
        <v>10.91</v>
      </c>
      <c r="C780" t="s">
        <v>21</v>
      </c>
      <c r="D780" t="s">
        <v>12</v>
      </c>
      <c r="E780" s="3">
        <v>600</v>
      </c>
      <c r="F780">
        <v>101</v>
      </c>
      <c r="G780">
        <v>16.72</v>
      </c>
      <c r="H780">
        <v>3.49</v>
      </c>
      <c r="I780">
        <v>31.99</v>
      </c>
      <c r="J780">
        <v>21</v>
      </c>
      <c r="K780" t="s">
        <v>13</v>
      </c>
      <c r="L780" t="str">
        <f t="shared" si="319"/>
        <v>VALID</v>
      </c>
      <c r="M780">
        <f t="shared" si="321"/>
        <v>0.16619047619047619</v>
      </c>
      <c r="N780" t="str">
        <f t="shared" si="322"/>
        <v>Low</v>
      </c>
      <c r="O780">
        <f t="shared" si="323"/>
        <v>24.354999999999997</v>
      </c>
      <c r="P780" t="str">
        <f t="shared" si="324"/>
        <v>Low</v>
      </c>
    </row>
    <row r="781" spans="1:16" x14ac:dyDescent="0.25">
      <c r="A781">
        <v>250</v>
      </c>
      <c r="B781">
        <v>8.36</v>
      </c>
      <c r="C781" t="s">
        <v>11</v>
      </c>
      <c r="D781" t="s">
        <v>17</v>
      </c>
      <c r="E781" s="3">
        <v>2500</v>
      </c>
      <c r="F781">
        <v>13.4</v>
      </c>
      <c r="G781">
        <v>0.78</v>
      </c>
      <c r="H781">
        <v>2.6</v>
      </c>
      <c r="I781">
        <v>31.1</v>
      </c>
      <c r="J781">
        <v>14</v>
      </c>
      <c r="K781" t="s">
        <v>13</v>
      </c>
      <c r="L781" t="str">
        <f t="shared" si="319"/>
        <v>VALID</v>
      </c>
      <c r="M781">
        <f t="shared" si="321"/>
        <v>0.18571428571428572</v>
      </c>
      <c r="N781" t="str">
        <f t="shared" si="322"/>
        <v>Medium</v>
      </c>
      <c r="O781">
        <f t="shared" si="323"/>
        <v>15.940000000000001</v>
      </c>
      <c r="P781" t="str">
        <f t="shared" si="324"/>
        <v>Low</v>
      </c>
    </row>
    <row r="782" spans="1:16" x14ac:dyDescent="0.25">
      <c r="A782">
        <v>1200</v>
      </c>
      <c r="B782">
        <v>39.82</v>
      </c>
      <c r="C782" t="s">
        <v>14</v>
      </c>
      <c r="D782" t="s">
        <v>18</v>
      </c>
      <c r="E782" s="3">
        <v>150</v>
      </c>
      <c r="F782">
        <v>85.1</v>
      </c>
      <c r="G782">
        <v>3.94</v>
      </c>
      <c r="H782">
        <v>8.5</v>
      </c>
      <c r="I782">
        <v>21.35</v>
      </c>
      <c r="J782">
        <v>8</v>
      </c>
      <c r="K782" t="s">
        <v>16</v>
      </c>
      <c r="L782" t="str">
        <f t="shared" si="319"/>
        <v>VALID</v>
      </c>
      <c r="M782">
        <f t="shared" si="321"/>
        <v>1.0625</v>
      </c>
      <c r="N782" t="str">
        <f t="shared" si="322"/>
        <v>Low</v>
      </c>
      <c r="O782">
        <f t="shared" si="323"/>
        <v>12.645000000000001</v>
      </c>
      <c r="P782" t="str">
        <f t="shared" si="324"/>
        <v>Low</v>
      </c>
    </row>
    <row r="783" spans="1:16" x14ac:dyDescent="0.25">
      <c r="A783">
        <v>1200</v>
      </c>
      <c r="B783">
        <v>29.76</v>
      </c>
      <c r="C783" t="s">
        <v>19</v>
      </c>
      <c r="D783" t="s">
        <v>12</v>
      </c>
      <c r="E783" s="3">
        <v>1500</v>
      </c>
      <c r="F783">
        <v>26.7</v>
      </c>
      <c r="G783">
        <v>2.75</v>
      </c>
      <c r="H783">
        <v>9.7100000000000009</v>
      </c>
      <c r="I783">
        <v>32.630000000000003</v>
      </c>
      <c r="J783">
        <v>14</v>
      </c>
      <c r="K783" t="s">
        <v>16</v>
      </c>
      <c r="L783" t="str">
        <f t="shared" si="319"/>
        <v>VALID</v>
      </c>
      <c r="M783">
        <f t="shared" si="321"/>
        <v>0.69357142857142862</v>
      </c>
      <c r="N783" t="str">
        <f t="shared" si="322"/>
        <v>Medium</v>
      </c>
      <c r="O783">
        <f t="shared" si="323"/>
        <v>17.690000000000001</v>
      </c>
      <c r="P783" t="str">
        <f t="shared" si="324"/>
        <v>Low</v>
      </c>
    </row>
    <row r="784" spans="1:16" x14ac:dyDescent="0.25">
      <c r="A784">
        <v>250</v>
      </c>
      <c r="B784">
        <v>14.25</v>
      </c>
      <c r="C784" t="s">
        <v>21</v>
      </c>
      <c r="D784" t="s">
        <v>15</v>
      </c>
      <c r="E784" s="3">
        <v>600</v>
      </c>
      <c r="F784">
        <v>78.3</v>
      </c>
      <c r="G784">
        <v>8.49</v>
      </c>
      <c r="H784">
        <v>4.82</v>
      </c>
      <c r="I784">
        <v>33.82</v>
      </c>
      <c r="J784">
        <v>11</v>
      </c>
      <c r="K784" t="s">
        <v>13</v>
      </c>
      <c r="L784" t="str">
        <f t="shared" si="319"/>
        <v>VALID</v>
      </c>
      <c r="M784">
        <f t="shared" si="321"/>
        <v>0.43818181818181823</v>
      </c>
      <c r="N784" t="str">
        <f t="shared" si="322"/>
        <v>Low</v>
      </c>
      <c r="O784">
        <f t="shared" si="323"/>
        <v>21.155000000000001</v>
      </c>
      <c r="P784" t="str">
        <f t="shared" si="324"/>
        <v>Low</v>
      </c>
    </row>
    <row r="785" spans="1:16" x14ac:dyDescent="0.25">
      <c r="A785">
        <v>100</v>
      </c>
      <c r="B785">
        <v>7.2</v>
      </c>
      <c r="C785" t="s">
        <v>14</v>
      </c>
      <c r="D785" t="s">
        <v>17</v>
      </c>
      <c r="E785" s="3">
        <v>300</v>
      </c>
      <c r="F785">
        <v>56</v>
      </c>
      <c r="G785">
        <v>4.5199999999999996</v>
      </c>
      <c r="H785">
        <v>2.54</v>
      </c>
      <c r="I785">
        <v>35.28</v>
      </c>
      <c r="J785">
        <v>11</v>
      </c>
      <c r="K785" t="s">
        <v>13</v>
      </c>
      <c r="L785" t="str">
        <f t="shared" si="319"/>
        <v>VALID</v>
      </c>
      <c r="M785">
        <f t="shared" si="321"/>
        <v>0.23090909090909092</v>
      </c>
      <c r="N785" t="str">
        <f t="shared" si="322"/>
        <v>Low</v>
      </c>
      <c r="O785">
        <f t="shared" si="323"/>
        <v>19.899999999999999</v>
      </c>
      <c r="P785" t="str">
        <f t="shared" si="324"/>
        <v>Low</v>
      </c>
    </row>
    <row r="786" spans="1:16" x14ac:dyDescent="0.25">
      <c r="A786">
        <v>200</v>
      </c>
      <c r="B786">
        <v>6</v>
      </c>
      <c r="C786" t="s">
        <v>11</v>
      </c>
      <c r="D786" t="s">
        <v>12</v>
      </c>
      <c r="E786" s="3">
        <v>2500</v>
      </c>
      <c r="F786">
        <v>54.9</v>
      </c>
      <c r="G786">
        <v>6.59</v>
      </c>
      <c r="H786">
        <v>2.97</v>
      </c>
      <c r="I786">
        <v>49.5</v>
      </c>
      <c r="J786">
        <v>3</v>
      </c>
      <c r="K786" t="s">
        <v>13</v>
      </c>
      <c r="L786" t="str">
        <f t="shared" si="319"/>
        <v>VALID</v>
      </c>
      <c r="M786">
        <f t="shared" si="321"/>
        <v>0.9900000000000001</v>
      </c>
      <c r="N786" t="str">
        <f t="shared" si="322"/>
        <v>Medium</v>
      </c>
      <c r="O786">
        <f t="shared" si="323"/>
        <v>28.045000000000002</v>
      </c>
      <c r="P786" t="str">
        <f t="shared" si="324"/>
        <v>Low</v>
      </c>
    </row>
    <row r="787" spans="1:16" x14ac:dyDescent="0.25">
      <c r="A787">
        <v>150</v>
      </c>
      <c r="B787">
        <v>7.85</v>
      </c>
      <c r="C787" t="s">
        <v>22</v>
      </c>
      <c r="D787" t="s">
        <v>20</v>
      </c>
      <c r="E787" s="3">
        <v>1500</v>
      </c>
      <c r="F787">
        <v>80.3</v>
      </c>
      <c r="G787">
        <v>13.23</v>
      </c>
      <c r="H787">
        <v>4.91</v>
      </c>
      <c r="I787">
        <v>62.55</v>
      </c>
      <c r="J787">
        <v>13</v>
      </c>
      <c r="K787" t="s">
        <v>13</v>
      </c>
      <c r="L787" t="str">
        <f t="shared" si="319"/>
        <v>VALID</v>
      </c>
      <c r="M787">
        <f t="shared" si="321"/>
        <v>0.37769230769230772</v>
      </c>
      <c r="N787" t="str">
        <f t="shared" si="322"/>
        <v>Medium</v>
      </c>
      <c r="O787">
        <f t="shared" si="323"/>
        <v>37.89</v>
      </c>
      <c r="P787" t="str">
        <f t="shared" si="324"/>
        <v>Medium</v>
      </c>
    </row>
    <row r="788" spans="1:16" x14ac:dyDescent="0.25">
      <c r="A788">
        <v>200</v>
      </c>
      <c r="B788">
        <v>6.59</v>
      </c>
      <c r="C788" t="s">
        <v>22</v>
      </c>
      <c r="D788" t="s">
        <v>18</v>
      </c>
      <c r="E788" s="3">
        <v>900</v>
      </c>
      <c r="F788">
        <v>21.4</v>
      </c>
      <c r="G788">
        <v>12.65</v>
      </c>
      <c r="H788">
        <v>1.39</v>
      </c>
      <c r="I788">
        <v>21.09</v>
      </c>
      <c r="J788">
        <v>17</v>
      </c>
      <c r="K788" t="s">
        <v>23</v>
      </c>
      <c r="L788" t="str">
        <f t="shared" si="319"/>
        <v>VALID</v>
      </c>
      <c r="M788">
        <f t="shared" si="321"/>
        <v>8.1764705882352934E-2</v>
      </c>
      <c r="N788" t="str">
        <f t="shared" si="322"/>
        <v>Low</v>
      </c>
      <c r="O788">
        <f t="shared" si="323"/>
        <v>16.87</v>
      </c>
      <c r="P788" t="str">
        <f t="shared" si="324"/>
        <v>Low</v>
      </c>
    </row>
    <row r="789" spans="1:16" x14ac:dyDescent="0.25">
      <c r="A789">
        <v>1500</v>
      </c>
      <c r="B789">
        <v>23.28</v>
      </c>
      <c r="C789" t="s">
        <v>14</v>
      </c>
      <c r="D789" t="s">
        <v>20</v>
      </c>
      <c r="E789" s="3">
        <v>300</v>
      </c>
      <c r="F789">
        <v>55.9</v>
      </c>
      <c r="G789">
        <v>7.31</v>
      </c>
      <c r="H789">
        <v>3.44</v>
      </c>
      <c r="I789">
        <v>14.78</v>
      </c>
      <c r="J789">
        <v>24</v>
      </c>
      <c r="K789" t="s">
        <v>13</v>
      </c>
      <c r="L789" t="str">
        <f t="shared" si="319"/>
        <v>VALID</v>
      </c>
      <c r="M789">
        <f t="shared" si="321"/>
        <v>0.14333333333333334</v>
      </c>
      <c r="N789" t="str">
        <f t="shared" si="322"/>
        <v>Low</v>
      </c>
      <c r="O789">
        <f t="shared" si="323"/>
        <v>11.045</v>
      </c>
      <c r="P789" t="str">
        <f t="shared" si="324"/>
        <v>Low</v>
      </c>
    </row>
    <row r="790" spans="1:16" x14ac:dyDescent="0.25">
      <c r="A790">
        <v>200</v>
      </c>
      <c r="B790">
        <v>8.9499999999999993</v>
      </c>
      <c r="C790" t="s">
        <v>21</v>
      </c>
      <c r="D790" t="s">
        <v>15</v>
      </c>
      <c r="E790" s="3">
        <v>2500</v>
      </c>
      <c r="F790">
        <v>-14.8</v>
      </c>
      <c r="G790">
        <v>7.22</v>
      </c>
      <c r="H790">
        <v>4.9000000000000004</v>
      </c>
      <c r="I790">
        <v>54.75</v>
      </c>
      <c r="J790">
        <v>20</v>
      </c>
      <c r="K790" t="s">
        <v>13</v>
      </c>
      <c r="L790" t="str">
        <f t="shared" si="319"/>
        <v>VALID</v>
      </c>
      <c r="M790">
        <f t="shared" si="321"/>
        <v>0.24500000000000002</v>
      </c>
      <c r="N790" t="str">
        <f t="shared" si="322"/>
        <v>Medium</v>
      </c>
      <c r="O790">
        <f t="shared" si="323"/>
        <v>30.984999999999999</v>
      </c>
      <c r="P790" t="str">
        <f t="shared" si="324"/>
        <v>Medium</v>
      </c>
    </row>
    <row r="791" spans="1:16" x14ac:dyDescent="0.25">
      <c r="A791">
        <v>500</v>
      </c>
      <c r="B791">
        <v>23.11</v>
      </c>
      <c r="C791" t="s">
        <v>11</v>
      </c>
      <c r="D791" t="s">
        <v>20</v>
      </c>
      <c r="E791" s="3">
        <v>900</v>
      </c>
      <c r="F791">
        <v>-25.8</v>
      </c>
      <c r="G791">
        <v>0.55000000000000004</v>
      </c>
      <c r="H791">
        <v>7.04</v>
      </c>
      <c r="I791">
        <v>30.46</v>
      </c>
      <c r="J791">
        <v>19</v>
      </c>
      <c r="K791" t="s">
        <v>16</v>
      </c>
      <c r="L791" t="str">
        <f t="shared" si="319"/>
        <v>VALID</v>
      </c>
      <c r="M791">
        <f t="shared" si="321"/>
        <v>0.3705263157894737</v>
      </c>
      <c r="N791" t="str">
        <f t="shared" si="322"/>
        <v>Low</v>
      </c>
      <c r="O791">
        <f t="shared" si="323"/>
        <v>15.505000000000001</v>
      </c>
      <c r="P791" t="str">
        <f t="shared" si="324"/>
        <v>Low</v>
      </c>
    </row>
    <row r="792" spans="1:16" x14ac:dyDescent="0.25">
      <c r="A792">
        <v>250</v>
      </c>
      <c r="B792">
        <v>7.67</v>
      </c>
      <c r="C792" t="s">
        <v>11</v>
      </c>
      <c r="D792" t="s">
        <v>12</v>
      </c>
      <c r="E792" s="3">
        <v>300</v>
      </c>
      <c r="F792">
        <v>17</v>
      </c>
      <c r="G792">
        <v>13.07</v>
      </c>
      <c r="H792">
        <v>4.5599999999999996</v>
      </c>
      <c r="I792">
        <v>59.45</v>
      </c>
      <c r="J792">
        <v>14</v>
      </c>
      <c r="K792" t="s">
        <v>13</v>
      </c>
      <c r="L792" t="str">
        <f t="shared" si="319"/>
        <v>VALID</v>
      </c>
      <c r="M792">
        <f t="shared" si="321"/>
        <v>0.32571428571428568</v>
      </c>
      <c r="N792" t="str">
        <f t="shared" si="322"/>
        <v>Low</v>
      </c>
      <c r="O792">
        <f t="shared" si="323"/>
        <v>36.260000000000005</v>
      </c>
      <c r="P792" t="str">
        <f t="shared" si="324"/>
        <v>Medium</v>
      </c>
    </row>
    <row r="793" spans="1:16" hidden="1" x14ac:dyDescent="0.25">
      <c r="A793">
        <v>100</v>
      </c>
      <c r="B793">
        <v>5.1100000000000003</v>
      </c>
      <c r="C793" t="s">
        <v>14</v>
      </c>
      <c r="D793" t="s">
        <v>18</v>
      </c>
      <c r="E793">
        <v>300</v>
      </c>
      <c r="F793">
        <v>29.8</v>
      </c>
      <c r="G793">
        <v>9.35</v>
      </c>
      <c r="H793">
        <v>8.5399999999999991</v>
      </c>
      <c r="I793">
        <v>167.12</v>
      </c>
      <c r="J793">
        <v>12</v>
      </c>
      <c r="K793" t="s">
        <v>16</v>
      </c>
      <c r="L793" t="str">
        <f t="shared" si="319"/>
        <v>INVALID</v>
      </c>
    </row>
    <row r="794" spans="1:16" hidden="1" x14ac:dyDescent="0.25">
      <c r="A794">
        <v>150</v>
      </c>
      <c r="B794">
        <v>5.98</v>
      </c>
      <c r="C794" t="s">
        <v>11</v>
      </c>
      <c r="D794" t="s">
        <v>12</v>
      </c>
      <c r="E794">
        <v>150</v>
      </c>
      <c r="F794">
        <v>30</v>
      </c>
      <c r="G794">
        <v>16</v>
      </c>
      <c r="H794">
        <v>8.4700000000000006</v>
      </c>
      <c r="I794">
        <v>141.63999999999999</v>
      </c>
      <c r="J794">
        <v>2</v>
      </c>
      <c r="K794" t="s">
        <v>16</v>
      </c>
      <c r="L794" t="str">
        <f t="shared" si="319"/>
        <v>INVALID</v>
      </c>
    </row>
    <row r="795" spans="1:16" x14ac:dyDescent="0.25">
      <c r="A795">
        <v>500</v>
      </c>
      <c r="B795">
        <v>11.8</v>
      </c>
      <c r="C795" t="s">
        <v>22</v>
      </c>
      <c r="D795" t="s">
        <v>18</v>
      </c>
      <c r="E795" s="3">
        <v>1500</v>
      </c>
      <c r="F795">
        <v>9</v>
      </c>
      <c r="G795">
        <v>4.58</v>
      </c>
      <c r="H795">
        <v>7.75</v>
      </c>
      <c r="I795">
        <v>65.680000000000007</v>
      </c>
      <c r="J795">
        <v>7</v>
      </c>
      <c r="K795" t="s">
        <v>16</v>
      </c>
      <c r="L795" t="str">
        <f t="shared" si="319"/>
        <v>VALID</v>
      </c>
      <c r="M795">
        <f t="shared" ref="M795:M813" si="325">IF(J795&gt;0,H795/J795," ")</f>
        <v>1.1071428571428572</v>
      </c>
      <c r="N795" t="str">
        <f t="shared" ref="N795:N813" si="326">IF(ISNUMBER(E795),IF(E795&lt;1000,"Low",IF(E795&lt;3000,"Medium","High")),"Unknown")</f>
        <v>Medium</v>
      </c>
      <c r="O795">
        <f t="shared" ref="O795:O813" si="327">(G795+I795)/2</f>
        <v>35.130000000000003</v>
      </c>
      <c r="P795" t="str">
        <f t="shared" ref="P795:P813" si="328">IF(O795&lt;30,"Low",IF(O795&lt;60,"Medium","High"))</f>
        <v>Medium</v>
      </c>
    </row>
    <row r="796" spans="1:16" x14ac:dyDescent="0.25">
      <c r="A796">
        <v>100</v>
      </c>
      <c r="B796">
        <v>7.56</v>
      </c>
      <c r="C796" t="s">
        <v>14</v>
      </c>
      <c r="D796" t="s">
        <v>15</v>
      </c>
      <c r="E796" s="3">
        <v>150</v>
      </c>
      <c r="F796">
        <v>38.4</v>
      </c>
      <c r="G796">
        <v>9.0500000000000007</v>
      </c>
      <c r="H796">
        <v>2.2200000000000002</v>
      </c>
      <c r="I796">
        <v>29.37</v>
      </c>
      <c r="J796">
        <v>25</v>
      </c>
      <c r="K796" t="s">
        <v>13</v>
      </c>
      <c r="L796" t="str">
        <f t="shared" si="319"/>
        <v>VALID</v>
      </c>
      <c r="M796">
        <f t="shared" si="325"/>
        <v>8.8800000000000004E-2</v>
      </c>
      <c r="N796" t="str">
        <f t="shared" si="326"/>
        <v>Low</v>
      </c>
      <c r="O796">
        <f t="shared" si="327"/>
        <v>19.21</v>
      </c>
      <c r="P796" t="str">
        <f t="shared" si="328"/>
        <v>Low</v>
      </c>
    </row>
    <row r="797" spans="1:16" x14ac:dyDescent="0.25">
      <c r="A797">
        <v>250</v>
      </c>
      <c r="B797">
        <v>12.07</v>
      </c>
      <c r="C797" t="s">
        <v>19</v>
      </c>
      <c r="D797" t="s">
        <v>17</v>
      </c>
      <c r="E797" s="3">
        <v>600</v>
      </c>
      <c r="F797">
        <v>5.4</v>
      </c>
      <c r="G797">
        <v>2.33</v>
      </c>
      <c r="H797">
        <v>9.1999999999999993</v>
      </c>
      <c r="I797">
        <v>76.22</v>
      </c>
      <c r="J797">
        <v>17</v>
      </c>
      <c r="K797" t="s">
        <v>16</v>
      </c>
      <c r="L797" t="str">
        <f t="shared" si="319"/>
        <v>VALID</v>
      </c>
      <c r="M797">
        <f t="shared" si="325"/>
        <v>0.54117647058823526</v>
      </c>
      <c r="N797" t="str">
        <f t="shared" si="326"/>
        <v>Low</v>
      </c>
      <c r="O797">
        <f t="shared" si="327"/>
        <v>39.274999999999999</v>
      </c>
      <c r="P797" t="str">
        <f t="shared" si="328"/>
        <v>Medium</v>
      </c>
    </row>
    <row r="798" spans="1:16" x14ac:dyDescent="0.25">
      <c r="A798">
        <v>400</v>
      </c>
      <c r="B798">
        <v>15.86</v>
      </c>
      <c r="C798" t="s">
        <v>11</v>
      </c>
      <c r="D798" t="s">
        <v>12</v>
      </c>
      <c r="E798" s="3">
        <v>150</v>
      </c>
      <c r="F798">
        <v>24</v>
      </c>
      <c r="G798">
        <v>1.32</v>
      </c>
      <c r="H798">
        <v>1.06</v>
      </c>
      <c r="I798">
        <v>6.68</v>
      </c>
      <c r="J798">
        <v>1</v>
      </c>
      <c r="K798" t="s">
        <v>23</v>
      </c>
      <c r="L798" t="str">
        <f t="shared" si="319"/>
        <v>VALID</v>
      </c>
      <c r="M798">
        <f t="shared" si="325"/>
        <v>1.06</v>
      </c>
      <c r="N798" t="str">
        <f t="shared" si="326"/>
        <v>Low</v>
      </c>
      <c r="O798">
        <f t="shared" si="327"/>
        <v>4</v>
      </c>
      <c r="P798" t="str">
        <f t="shared" si="328"/>
        <v>Low</v>
      </c>
    </row>
    <row r="799" spans="1:16" x14ac:dyDescent="0.25">
      <c r="A799">
        <v>150</v>
      </c>
      <c r="B799">
        <v>5.86</v>
      </c>
      <c r="C799" t="s">
        <v>14</v>
      </c>
      <c r="D799" t="s">
        <v>12</v>
      </c>
      <c r="E799" s="3">
        <v>900</v>
      </c>
      <c r="F799">
        <v>-9</v>
      </c>
      <c r="G799">
        <v>1.97</v>
      </c>
      <c r="H799">
        <v>4.22</v>
      </c>
      <c r="I799">
        <v>72.010000000000005</v>
      </c>
      <c r="J799">
        <v>7</v>
      </c>
      <c r="K799" t="s">
        <v>13</v>
      </c>
      <c r="L799" t="str">
        <f t="shared" si="319"/>
        <v>VALID</v>
      </c>
      <c r="M799">
        <f t="shared" si="325"/>
        <v>0.60285714285714287</v>
      </c>
      <c r="N799" t="str">
        <f t="shared" si="326"/>
        <v>Low</v>
      </c>
      <c r="O799">
        <f t="shared" si="327"/>
        <v>36.99</v>
      </c>
      <c r="P799" t="str">
        <f t="shared" si="328"/>
        <v>Medium</v>
      </c>
    </row>
    <row r="800" spans="1:16" x14ac:dyDescent="0.25">
      <c r="A800">
        <v>250</v>
      </c>
      <c r="B800">
        <v>10.98</v>
      </c>
      <c r="C800" t="s">
        <v>11</v>
      </c>
      <c r="D800" t="s">
        <v>17</v>
      </c>
      <c r="E800" s="3">
        <v>300</v>
      </c>
      <c r="F800">
        <v>-13</v>
      </c>
      <c r="G800">
        <v>8.3000000000000007</v>
      </c>
      <c r="H800">
        <v>5.05</v>
      </c>
      <c r="I800">
        <v>45.99</v>
      </c>
      <c r="J800">
        <v>23</v>
      </c>
      <c r="K800" t="s">
        <v>16</v>
      </c>
      <c r="L800" t="str">
        <f t="shared" si="319"/>
        <v>VALID</v>
      </c>
      <c r="M800">
        <f t="shared" si="325"/>
        <v>0.21956521739130433</v>
      </c>
      <c r="N800" t="str">
        <f t="shared" si="326"/>
        <v>Low</v>
      </c>
      <c r="O800">
        <f t="shared" si="327"/>
        <v>27.145000000000003</v>
      </c>
      <c r="P800" t="str">
        <f t="shared" si="328"/>
        <v>Low</v>
      </c>
    </row>
    <row r="801" spans="1:16" x14ac:dyDescent="0.25">
      <c r="A801">
        <v>1000</v>
      </c>
      <c r="B801">
        <v>20.36</v>
      </c>
      <c r="C801" t="s">
        <v>22</v>
      </c>
      <c r="D801" t="s">
        <v>18</v>
      </c>
      <c r="E801" s="3">
        <v>600</v>
      </c>
      <c r="F801">
        <v>73.400000000000006</v>
      </c>
      <c r="G801">
        <v>9.77</v>
      </c>
      <c r="H801">
        <v>5.07</v>
      </c>
      <c r="I801">
        <v>24.9</v>
      </c>
      <c r="J801">
        <v>20</v>
      </c>
      <c r="K801" t="s">
        <v>16</v>
      </c>
      <c r="L801" t="str">
        <f t="shared" si="319"/>
        <v>VALID</v>
      </c>
      <c r="M801">
        <f t="shared" si="325"/>
        <v>0.2535</v>
      </c>
      <c r="N801" t="str">
        <f t="shared" si="326"/>
        <v>Low</v>
      </c>
      <c r="O801">
        <f t="shared" si="327"/>
        <v>17.335000000000001</v>
      </c>
      <c r="P801" t="str">
        <f t="shared" si="328"/>
        <v>Low</v>
      </c>
    </row>
    <row r="802" spans="1:16" x14ac:dyDescent="0.25">
      <c r="A802">
        <v>300</v>
      </c>
      <c r="B802">
        <v>9.5</v>
      </c>
      <c r="C802" t="s">
        <v>11</v>
      </c>
      <c r="D802" t="s">
        <v>18</v>
      </c>
      <c r="E802" s="3">
        <v>1500</v>
      </c>
      <c r="F802">
        <v>63.9</v>
      </c>
      <c r="G802">
        <v>1.68</v>
      </c>
      <c r="H802">
        <v>1.77</v>
      </c>
      <c r="I802">
        <v>18.63</v>
      </c>
      <c r="J802">
        <v>20</v>
      </c>
      <c r="K802" t="s">
        <v>23</v>
      </c>
      <c r="L802" t="str">
        <f t="shared" si="319"/>
        <v>VALID</v>
      </c>
      <c r="M802">
        <f t="shared" si="325"/>
        <v>8.8499999999999995E-2</v>
      </c>
      <c r="N802" t="str">
        <f t="shared" si="326"/>
        <v>Medium</v>
      </c>
      <c r="O802">
        <f t="shared" si="327"/>
        <v>10.154999999999999</v>
      </c>
      <c r="P802" t="str">
        <f t="shared" si="328"/>
        <v>Low</v>
      </c>
    </row>
    <row r="803" spans="1:16" x14ac:dyDescent="0.25">
      <c r="A803">
        <v>250</v>
      </c>
      <c r="B803">
        <v>11.93</v>
      </c>
      <c r="C803" t="s">
        <v>22</v>
      </c>
      <c r="D803" t="s">
        <v>12</v>
      </c>
      <c r="E803" s="3">
        <v>900</v>
      </c>
      <c r="F803">
        <v>-1.5</v>
      </c>
      <c r="G803">
        <v>13.99</v>
      </c>
      <c r="H803">
        <v>9.0500000000000007</v>
      </c>
      <c r="I803">
        <v>75.86</v>
      </c>
      <c r="J803">
        <v>1</v>
      </c>
      <c r="K803" t="s">
        <v>16</v>
      </c>
      <c r="L803" t="str">
        <f t="shared" si="319"/>
        <v>VALID</v>
      </c>
      <c r="M803">
        <f t="shared" si="325"/>
        <v>9.0500000000000007</v>
      </c>
      <c r="N803" t="str">
        <f t="shared" si="326"/>
        <v>Low</v>
      </c>
      <c r="O803">
        <f t="shared" si="327"/>
        <v>44.924999999999997</v>
      </c>
      <c r="P803" t="str">
        <f t="shared" si="328"/>
        <v>Medium</v>
      </c>
    </row>
    <row r="804" spans="1:16" x14ac:dyDescent="0.25">
      <c r="A804">
        <v>100</v>
      </c>
      <c r="B804">
        <v>6.48</v>
      </c>
      <c r="C804" t="s">
        <v>11</v>
      </c>
      <c r="D804" t="s">
        <v>15</v>
      </c>
      <c r="E804" s="3">
        <v>1500</v>
      </c>
      <c r="F804">
        <v>25.2</v>
      </c>
      <c r="G804">
        <v>19.86</v>
      </c>
      <c r="H804">
        <v>0.84</v>
      </c>
      <c r="I804">
        <v>12.96</v>
      </c>
      <c r="J804">
        <v>3</v>
      </c>
      <c r="K804" t="s">
        <v>23</v>
      </c>
      <c r="L804" t="str">
        <f t="shared" si="319"/>
        <v>VALID</v>
      </c>
      <c r="M804">
        <f t="shared" si="325"/>
        <v>0.27999999999999997</v>
      </c>
      <c r="N804" t="str">
        <f t="shared" si="326"/>
        <v>Medium</v>
      </c>
      <c r="O804">
        <f t="shared" si="327"/>
        <v>16.41</v>
      </c>
      <c r="P804" t="str">
        <f t="shared" si="328"/>
        <v>Low</v>
      </c>
    </row>
    <row r="805" spans="1:16" x14ac:dyDescent="0.25">
      <c r="A805">
        <v>1500</v>
      </c>
      <c r="B805">
        <v>32.42</v>
      </c>
      <c r="C805" t="s">
        <v>11</v>
      </c>
      <c r="D805" t="s">
        <v>12</v>
      </c>
      <c r="E805" s="3">
        <v>2500</v>
      </c>
      <c r="F805">
        <v>52.5</v>
      </c>
      <c r="G805">
        <v>14.33</v>
      </c>
      <c r="H805">
        <v>0.35</v>
      </c>
      <c r="I805">
        <v>1.08</v>
      </c>
      <c r="J805">
        <v>9</v>
      </c>
      <c r="K805" t="s">
        <v>23</v>
      </c>
      <c r="L805" t="str">
        <f t="shared" si="319"/>
        <v>VALID</v>
      </c>
      <c r="M805">
        <f t="shared" si="325"/>
        <v>3.888888888888889E-2</v>
      </c>
      <c r="N805" t="str">
        <f t="shared" si="326"/>
        <v>Medium</v>
      </c>
      <c r="O805">
        <f t="shared" si="327"/>
        <v>7.7050000000000001</v>
      </c>
      <c r="P805" t="str">
        <f t="shared" si="328"/>
        <v>Low</v>
      </c>
    </row>
    <row r="806" spans="1:16" x14ac:dyDescent="0.25">
      <c r="A806">
        <v>50</v>
      </c>
      <c r="B806">
        <v>5.91</v>
      </c>
      <c r="C806" t="s">
        <v>22</v>
      </c>
      <c r="D806" t="s">
        <v>12</v>
      </c>
      <c r="E806" s="3">
        <v>1500</v>
      </c>
      <c r="F806">
        <v>69.5</v>
      </c>
      <c r="G806">
        <v>12.51</v>
      </c>
      <c r="H806">
        <v>2.88</v>
      </c>
      <c r="I806">
        <v>48.73</v>
      </c>
      <c r="J806">
        <v>3</v>
      </c>
      <c r="K806" t="s">
        <v>13</v>
      </c>
      <c r="L806" t="str">
        <f t="shared" si="319"/>
        <v>VALID</v>
      </c>
      <c r="M806">
        <f t="shared" si="325"/>
        <v>0.96</v>
      </c>
      <c r="N806" t="str">
        <f t="shared" si="326"/>
        <v>Medium</v>
      </c>
      <c r="O806">
        <f t="shared" si="327"/>
        <v>30.619999999999997</v>
      </c>
      <c r="P806" t="str">
        <f t="shared" si="328"/>
        <v>Medium</v>
      </c>
    </row>
    <row r="807" spans="1:16" x14ac:dyDescent="0.25">
      <c r="A807">
        <v>1200</v>
      </c>
      <c r="B807">
        <v>38.4</v>
      </c>
      <c r="C807" t="s">
        <v>11</v>
      </c>
      <c r="D807" t="s">
        <v>15</v>
      </c>
      <c r="E807" s="3">
        <v>150</v>
      </c>
      <c r="F807">
        <v>55.4</v>
      </c>
      <c r="G807">
        <v>4.88</v>
      </c>
      <c r="H807">
        <v>5.01</v>
      </c>
      <c r="I807">
        <v>13.05</v>
      </c>
      <c r="J807">
        <v>4</v>
      </c>
      <c r="K807" t="s">
        <v>16</v>
      </c>
      <c r="L807" t="str">
        <f t="shared" si="319"/>
        <v>VALID</v>
      </c>
      <c r="M807">
        <f t="shared" si="325"/>
        <v>1.2524999999999999</v>
      </c>
      <c r="N807" t="str">
        <f t="shared" si="326"/>
        <v>Low</v>
      </c>
      <c r="O807">
        <f t="shared" si="327"/>
        <v>8.9649999999999999</v>
      </c>
      <c r="P807" t="str">
        <f t="shared" si="328"/>
        <v>Low</v>
      </c>
    </row>
    <row r="808" spans="1:16" x14ac:dyDescent="0.25">
      <c r="A808">
        <v>400</v>
      </c>
      <c r="B808">
        <v>17.670000000000002</v>
      </c>
      <c r="C808" t="s">
        <v>22</v>
      </c>
      <c r="D808" t="s">
        <v>20</v>
      </c>
      <c r="E808" s="3">
        <v>1500</v>
      </c>
      <c r="F808">
        <v>93.7</v>
      </c>
      <c r="G808">
        <v>2.4300000000000002</v>
      </c>
      <c r="H808">
        <v>4.28</v>
      </c>
      <c r="I808">
        <v>24.22</v>
      </c>
      <c r="J808">
        <v>16</v>
      </c>
      <c r="K808" t="s">
        <v>13</v>
      </c>
      <c r="L808" t="str">
        <f t="shared" si="319"/>
        <v>VALID</v>
      </c>
      <c r="M808">
        <f t="shared" si="325"/>
        <v>0.26750000000000002</v>
      </c>
      <c r="N808" t="str">
        <f t="shared" si="326"/>
        <v>Medium</v>
      </c>
      <c r="O808">
        <f t="shared" si="327"/>
        <v>13.324999999999999</v>
      </c>
      <c r="P808" t="str">
        <f t="shared" si="328"/>
        <v>Low</v>
      </c>
    </row>
    <row r="809" spans="1:16" x14ac:dyDescent="0.25">
      <c r="A809">
        <v>1500</v>
      </c>
      <c r="B809">
        <v>32.43</v>
      </c>
      <c r="C809" t="s">
        <v>11</v>
      </c>
      <c r="D809" t="s">
        <v>18</v>
      </c>
      <c r="E809" s="3">
        <v>1500</v>
      </c>
      <c r="F809">
        <v>74.099999999999994</v>
      </c>
      <c r="G809">
        <v>10.62</v>
      </c>
      <c r="H809">
        <v>5.41</v>
      </c>
      <c r="I809">
        <v>16.68</v>
      </c>
      <c r="J809">
        <v>10</v>
      </c>
      <c r="K809" t="s">
        <v>16</v>
      </c>
      <c r="L809" t="str">
        <f t="shared" si="319"/>
        <v>VALID</v>
      </c>
      <c r="M809">
        <f t="shared" si="325"/>
        <v>0.54100000000000004</v>
      </c>
      <c r="N809" t="str">
        <f t="shared" si="326"/>
        <v>Medium</v>
      </c>
      <c r="O809">
        <f t="shared" si="327"/>
        <v>13.649999999999999</v>
      </c>
      <c r="P809" t="str">
        <f t="shared" si="328"/>
        <v>Low</v>
      </c>
    </row>
    <row r="810" spans="1:16" x14ac:dyDescent="0.25">
      <c r="A810">
        <v>50</v>
      </c>
      <c r="B810">
        <v>5.77</v>
      </c>
      <c r="C810" t="s">
        <v>19</v>
      </c>
      <c r="D810" t="s">
        <v>15</v>
      </c>
      <c r="E810" s="3">
        <v>600</v>
      </c>
      <c r="F810">
        <v>145.9</v>
      </c>
      <c r="G810">
        <v>15.87</v>
      </c>
      <c r="H810">
        <v>3.71</v>
      </c>
      <c r="I810">
        <v>64.3</v>
      </c>
      <c r="J810">
        <v>17</v>
      </c>
      <c r="K810" t="s">
        <v>13</v>
      </c>
      <c r="L810" t="str">
        <f t="shared" si="319"/>
        <v>VALID</v>
      </c>
      <c r="M810">
        <f t="shared" si="325"/>
        <v>0.21823529411764706</v>
      </c>
      <c r="N810" t="str">
        <f t="shared" si="326"/>
        <v>Low</v>
      </c>
      <c r="O810">
        <f t="shared" si="327"/>
        <v>40.085000000000001</v>
      </c>
      <c r="P810" t="str">
        <f t="shared" si="328"/>
        <v>Medium</v>
      </c>
    </row>
    <row r="811" spans="1:16" x14ac:dyDescent="0.25">
      <c r="A811">
        <v>500</v>
      </c>
      <c r="B811">
        <v>24.6</v>
      </c>
      <c r="C811" t="s">
        <v>21</v>
      </c>
      <c r="D811" t="s">
        <v>12</v>
      </c>
      <c r="E811" s="3">
        <v>2500</v>
      </c>
      <c r="F811">
        <v>112.2</v>
      </c>
      <c r="G811">
        <v>3.86</v>
      </c>
      <c r="H811">
        <v>4.95</v>
      </c>
      <c r="I811">
        <v>20.12</v>
      </c>
      <c r="J811">
        <v>20</v>
      </c>
      <c r="K811" t="s">
        <v>13</v>
      </c>
      <c r="L811" t="str">
        <f t="shared" si="319"/>
        <v>VALID</v>
      </c>
      <c r="M811">
        <f t="shared" si="325"/>
        <v>0.2475</v>
      </c>
      <c r="N811" t="str">
        <f t="shared" si="326"/>
        <v>Medium</v>
      </c>
      <c r="O811">
        <f t="shared" si="327"/>
        <v>11.99</v>
      </c>
      <c r="P811" t="str">
        <f t="shared" si="328"/>
        <v>Low</v>
      </c>
    </row>
    <row r="812" spans="1:16" x14ac:dyDescent="0.25">
      <c r="A812">
        <v>1000</v>
      </c>
      <c r="B812">
        <v>17.02</v>
      </c>
      <c r="C812" t="s">
        <v>22</v>
      </c>
      <c r="D812" t="s">
        <v>18</v>
      </c>
      <c r="E812" s="3">
        <v>2500</v>
      </c>
      <c r="F812">
        <v>59.2</v>
      </c>
      <c r="G812">
        <v>12.76</v>
      </c>
      <c r="H812">
        <v>4.63</v>
      </c>
      <c r="I812">
        <v>27.2</v>
      </c>
      <c r="J812">
        <v>12</v>
      </c>
      <c r="K812" t="s">
        <v>13</v>
      </c>
      <c r="L812" t="str">
        <f t="shared" si="319"/>
        <v>VALID</v>
      </c>
      <c r="M812">
        <f t="shared" si="325"/>
        <v>0.38583333333333331</v>
      </c>
      <c r="N812" t="str">
        <f t="shared" si="326"/>
        <v>Medium</v>
      </c>
      <c r="O812">
        <f t="shared" si="327"/>
        <v>19.98</v>
      </c>
      <c r="P812" t="str">
        <f t="shared" si="328"/>
        <v>Low</v>
      </c>
    </row>
    <row r="813" spans="1:16" x14ac:dyDescent="0.25">
      <c r="A813">
        <v>500</v>
      </c>
      <c r="B813">
        <v>20.74</v>
      </c>
      <c r="C813" t="s">
        <v>21</v>
      </c>
      <c r="D813" t="s">
        <v>17</v>
      </c>
      <c r="E813" s="3">
        <v>900</v>
      </c>
      <c r="F813">
        <v>76.599999999999994</v>
      </c>
      <c r="G813">
        <v>8.08</v>
      </c>
      <c r="H813">
        <v>6.73</v>
      </c>
      <c r="I813">
        <v>32.450000000000003</v>
      </c>
      <c r="J813">
        <v>21</v>
      </c>
      <c r="K813" t="s">
        <v>16</v>
      </c>
      <c r="L813" t="str">
        <f t="shared" si="319"/>
        <v>VALID</v>
      </c>
      <c r="M813">
        <f t="shared" si="325"/>
        <v>0.32047619047619047</v>
      </c>
      <c r="N813" t="str">
        <f t="shared" si="326"/>
        <v>Low</v>
      </c>
      <c r="O813">
        <f t="shared" si="327"/>
        <v>20.265000000000001</v>
      </c>
      <c r="P813" t="str">
        <f t="shared" si="328"/>
        <v>Low</v>
      </c>
    </row>
    <row r="814" spans="1:16" hidden="1" x14ac:dyDescent="0.25">
      <c r="A814">
        <v>50</v>
      </c>
      <c r="B814">
        <v>4.6399999999999997</v>
      </c>
      <c r="C814" t="s">
        <v>19</v>
      </c>
      <c r="D814" t="s">
        <v>15</v>
      </c>
      <c r="E814">
        <v>300</v>
      </c>
      <c r="F814">
        <v>43.9</v>
      </c>
      <c r="G814">
        <v>10.26</v>
      </c>
      <c r="H814">
        <v>6.19</v>
      </c>
      <c r="I814">
        <v>133.41</v>
      </c>
      <c r="J814">
        <v>12</v>
      </c>
      <c r="K814" t="s">
        <v>16</v>
      </c>
      <c r="L814" t="str">
        <f t="shared" si="319"/>
        <v>INVALID</v>
      </c>
    </row>
    <row r="815" spans="1:16" x14ac:dyDescent="0.25">
      <c r="A815">
        <v>100</v>
      </c>
      <c r="B815">
        <v>7.34</v>
      </c>
      <c r="C815" t="s">
        <v>22</v>
      </c>
      <c r="D815" t="s">
        <v>17</v>
      </c>
      <c r="E815" s="3">
        <v>150</v>
      </c>
      <c r="F815">
        <v>43.4</v>
      </c>
      <c r="G815">
        <v>0.36</v>
      </c>
      <c r="H815">
        <v>5.22</v>
      </c>
      <c r="I815">
        <v>71.12</v>
      </c>
      <c r="J815">
        <v>6</v>
      </c>
      <c r="K815" t="s">
        <v>16</v>
      </c>
      <c r="L815" t="str">
        <f t="shared" si="319"/>
        <v>VALID</v>
      </c>
      <c r="M815">
        <f t="shared" ref="M815" si="329">IF(J815&gt;0,H815/J815," ")</f>
        <v>0.87</v>
      </c>
      <c r="N815" t="str">
        <f>IF(ISNUMBER(E815),IF(E815&lt;1000,"Low",IF(E815&lt;3000,"Medium","High")),"Unknown")</f>
        <v>Low</v>
      </c>
      <c r="O815">
        <f>(G815+I815)/2</f>
        <v>35.74</v>
      </c>
      <c r="P815" t="str">
        <f>IF(O815&lt;30,"Low",IF(O815&lt;60,"Medium","High"))</f>
        <v>Medium</v>
      </c>
    </row>
    <row r="816" spans="1:16" hidden="1" x14ac:dyDescent="0.25">
      <c r="A816">
        <v>200</v>
      </c>
      <c r="B816">
        <v>7.11</v>
      </c>
      <c r="C816" t="s">
        <v>22</v>
      </c>
      <c r="D816" t="s">
        <v>18</v>
      </c>
      <c r="E816">
        <v>900</v>
      </c>
      <c r="F816">
        <v>82.3</v>
      </c>
      <c r="G816">
        <v>19.23</v>
      </c>
      <c r="H816">
        <v>9.02</v>
      </c>
      <c r="I816">
        <v>126.86</v>
      </c>
      <c r="J816">
        <v>8</v>
      </c>
      <c r="K816" t="s">
        <v>16</v>
      </c>
      <c r="L816" t="str">
        <f t="shared" si="319"/>
        <v>INVALID</v>
      </c>
    </row>
    <row r="817" spans="1:16" x14ac:dyDescent="0.25">
      <c r="A817">
        <v>150</v>
      </c>
      <c r="B817">
        <v>8.14</v>
      </c>
      <c r="C817" t="s">
        <v>19</v>
      </c>
      <c r="D817" t="s">
        <v>17</v>
      </c>
      <c r="E817" s="3">
        <v>900</v>
      </c>
      <c r="F817">
        <v>49.4</v>
      </c>
      <c r="G817">
        <v>13.53</v>
      </c>
      <c r="H817">
        <v>1.68</v>
      </c>
      <c r="I817">
        <v>20.64</v>
      </c>
      <c r="J817">
        <v>18</v>
      </c>
      <c r="K817" t="s">
        <v>23</v>
      </c>
      <c r="L817" t="str">
        <f t="shared" si="319"/>
        <v>VALID</v>
      </c>
      <c r="M817">
        <f t="shared" ref="M817:M837" si="330">IF(J817&gt;0,H817/J817," ")</f>
        <v>9.3333333333333324E-2</v>
      </c>
      <c r="N817" t="str">
        <f t="shared" ref="N817:N837" si="331">IF(ISNUMBER(E817),IF(E817&lt;1000,"Low",IF(E817&lt;3000,"Medium","High")),"Unknown")</f>
        <v>Low</v>
      </c>
      <c r="O817">
        <f t="shared" ref="O817:O837" si="332">(G817+I817)/2</f>
        <v>17.085000000000001</v>
      </c>
      <c r="P817" t="str">
        <f t="shared" ref="P817:P837" si="333">IF(O817&lt;30,"Low",IF(O817&lt;60,"Medium","High"))</f>
        <v>Low</v>
      </c>
    </row>
    <row r="818" spans="1:16" x14ac:dyDescent="0.25">
      <c r="A818">
        <v>500</v>
      </c>
      <c r="B818">
        <v>20.14</v>
      </c>
      <c r="C818" t="s">
        <v>21</v>
      </c>
      <c r="D818" t="s">
        <v>12</v>
      </c>
      <c r="E818" s="3">
        <v>2500</v>
      </c>
      <c r="F818">
        <v>-41.4</v>
      </c>
      <c r="G818">
        <v>14.99</v>
      </c>
      <c r="H818">
        <v>7.22</v>
      </c>
      <c r="I818">
        <v>35.85</v>
      </c>
      <c r="J818">
        <v>4</v>
      </c>
      <c r="K818" t="s">
        <v>16</v>
      </c>
      <c r="L818" t="str">
        <f t="shared" si="319"/>
        <v>VALID</v>
      </c>
      <c r="M818">
        <f t="shared" si="330"/>
        <v>1.8049999999999999</v>
      </c>
      <c r="N818" t="str">
        <f t="shared" si="331"/>
        <v>Medium</v>
      </c>
      <c r="O818">
        <f t="shared" si="332"/>
        <v>25.42</v>
      </c>
      <c r="P818" t="str">
        <f t="shared" si="333"/>
        <v>Low</v>
      </c>
    </row>
    <row r="819" spans="1:16" x14ac:dyDescent="0.25">
      <c r="A819">
        <v>250</v>
      </c>
      <c r="B819">
        <v>7.07</v>
      </c>
      <c r="C819" t="s">
        <v>19</v>
      </c>
      <c r="D819" t="s">
        <v>18</v>
      </c>
      <c r="E819" s="3">
        <v>1500</v>
      </c>
      <c r="F819">
        <v>83</v>
      </c>
      <c r="G819">
        <v>0.67</v>
      </c>
      <c r="H819">
        <v>4.25</v>
      </c>
      <c r="I819">
        <v>60.11</v>
      </c>
      <c r="J819">
        <v>11</v>
      </c>
      <c r="K819" t="s">
        <v>13</v>
      </c>
      <c r="L819" t="str">
        <f t="shared" si="319"/>
        <v>VALID</v>
      </c>
      <c r="M819">
        <f t="shared" si="330"/>
        <v>0.38636363636363635</v>
      </c>
      <c r="N819" t="str">
        <f t="shared" si="331"/>
        <v>Medium</v>
      </c>
      <c r="O819">
        <f t="shared" si="332"/>
        <v>30.39</v>
      </c>
      <c r="P819" t="str">
        <f t="shared" si="333"/>
        <v>Medium</v>
      </c>
    </row>
    <row r="820" spans="1:16" x14ac:dyDescent="0.25">
      <c r="A820">
        <v>1500</v>
      </c>
      <c r="B820">
        <v>39.119999999999997</v>
      </c>
      <c r="C820" t="s">
        <v>21</v>
      </c>
      <c r="D820" t="s">
        <v>17</v>
      </c>
      <c r="E820" s="3">
        <v>2500</v>
      </c>
      <c r="F820">
        <v>40.700000000000003</v>
      </c>
      <c r="G820">
        <v>2.54</v>
      </c>
      <c r="H820">
        <v>7.87</v>
      </c>
      <c r="I820">
        <v>20.12</v>
      </c>
      <c r="J820">
        <v>5</v>
      </c>
      <c r="K820" t="s">
        <v>16</v>
      </c>
      <c r="L820" t="str">
        <f t="shared" si="319"/>
        <v>VALID</v>
      </c>
      <c r="M820">
        <f t="shared" si="330"/>
        <v>1.5740000000000001</v>
      </c>
      <c r="N820" t="str">
        <f t="shared" si="331"/>
        <v>Medium</v>
      </c>
      <c r="O820">
        <f t="shared" si="332"/>
        <v>11.33</v>
      </c>
      <c r="P820" t="str">
        <f t="shared" si="333"/>
        <v>Low</v>
      </c>
    </row>
    <row r="821" spans="1:16" x14ac:dyDescent="0.25">
      <c r="A821">
        <v>250</v>
      </c>
      <c r="B821">
        <v>9.86</v>
      </c>
      <c r="C821" t="s">
        <v>19</v>
      </c>
      <c r="D821" t="s">
        <v>20</v>
      </c>
      <c r="E821" s="3">
        <v>600</v>
      </c>
      <c r="F821">
        <v>68.400000000000006</v>
      </c>
      <c r="G821">
        <v>7.98</v>
      </c>
      <c r="H821">
        <v>6.94</v>
      </c>
      <c r="I821">
        <v>70.39</v>
      </c>
      <c r="J821">
        <v>17</v>
      </c>
      <c r="K821" t="s">
        <v>16</v>
      </c>
      <c r="L821" t="str">
        <f t="shared" si="319"/>
        <v>VALID</v>
      </c>
      <c r="M821">
        <f t="shared" si="330"/>
        <v>0.40823529411764709</v>
      </c>
      <c r="N821" t="str">
        <f t="shared" si="331"/>
        <v>Low</v>
      </c>
      <c r="O821">
        <f t="shared" si="332"/>
        <v>39.185000000000002</v>
      </c>
      <c r="P821" t="str">
        <f t="shared" si="333"/>
        <v>Medium</v>
      </c>
    </row>
    <row r="822" spans="1:16" x14ac:dyDescent="0.25">
      <c r="A822">
        <v>1500</v>
      </c>
      <c r="B822">
        <v>29.64</v>
      </c>
      <c r="C822" t="s">
        <v>21</v>
      </c>
      <c r="D822" t="s">
        <v>18</v>
      </c>
      <c r="E822" s="3">
        <v>600</v>
      </c>
      <c r="F822">
        <v>9.4</v>
      </c>
      <c r="G822">
        <v>1.29</v>
      </c>
      <c r="H822">
        <v>8.14</v>
      </c>
      <c r="I822">
        <v>27.46</v>
      </c>
      <c r="J822">
        <v>8</v>
      </c>
      <c r="K822" t="s">
        <v>16</v>
      </c>
      <c r="L822" t="str">
        <f t="shared" si="319"/>
        <v>VALID</v>
      </c>
      <c r="M822">
        <f t="shared" si="330"/>
        <v>1.0175000000000001</v>
      </c>
      <c r="N822" t="str">
        <f t="shared" si="331"/>
        <v>Low</v>
      </c>
      <c r="O822">
        <f t="shared" si="332"/>
        <v>14.375</v>
      </c>
      <c r="P822" t="str">
        <f t="shared" si="333"/>
        <v>Low</v>
      </c>
    </row>
    <row r="823" spans="1:16" x14ac:dyDescent="0.25">
      <c r="A823">
        <v>1000</v>
      </c>
      <c r="B823">
        <v>20.64</v>
      </c>
      <c r="C823" t="s">
        <v>21</v>
      </c>
      <c r="D823" t="s">
        <v>20</v>
      </c>
      <c r="E823" s="3">
        <v>150</v>
      </c>
      <c r="F823">
        <v>11.9</v>
      </c>
      <c r="G823">
        <v>15.55</v>
      </c>
      <c r="H823">
        <v>9.0299999999999994</v>
      </c>
      <c r="I823">
        <v>43.75</v>
      </c>
      <c r="J823">
        <v>24</v>
      </c>
      <c r="K823" t="s">
        <v>16</v>
      </c>
      <c r="L823" t="str">
        <f t="shared" si="319"/>
        <v>VALID</v>
      </c>
      <c r="M823">
        <f t="shared" si="330"/>
        <v>0.37624999999999997</v>
      </c>
      <c r="N823" t="str">
        <f t="shared" si="331"/>
        <v>Low</v>
      </c>
      <c r="O823">
        <f t="shared" si="332"/>
        <v>29.65</v>
      </c>
      <c r="P823" t="str">
        <f t="shared" si="333"/>
        <v>Low</v>
      </c>
    </row>
    <row r="824" spans="1:16" x14ac:dyDescent="0.25">
      <c r="A824">
        <v>500</v>
      </c>
      <c r="B824">
        <v>10.34</v>
      </c>
      <c r="C824" t="s">
        <v>22</v>
      </c>
      <c r="D824" t="s">
        <v>17</v>
      </c>
      <c r="E824" s="3">
        <v>300</v>
      </c>
      <c r="F824">
        <v>84</v>
      </c>
      <c r="G824">
        <v>6.19</v>
      </c>
      <c r="H824">
        <v>9.7100000000000009</v>
      </c>
      <c r="I824">
        <v>93.91</v>
      </c>
      <c r="J824">
        <v>20</v>
      </c>
      <c r="K824" t="s">
        <v>16</v>
      </c>
      <c r="L824" t="str">
        <f t="shared" si="319"/>
        <v>VALID</v>
      </c>
      <c r="M824">
        <f t="shared" si="330"/>
        <v>0.48550000000000004</v>
      </c>
      <c r="N824" t="str">
        <f t="shared" si="331"/>
        <v>Low</v>
      </c>
      <c r="O824">
        <f t="shared" si="332"/>
        <v>50.05</v>
      </c>
      <c r="P824" t="str">
        <f t="shared" si="333"/>
        <v>Medium</v>
      </c>
    </row>
    <row r="825" spans="1:16" x14ac:dyDescent="0.25">
      <c r="A825">
        <v>1500</v>
      </c>
      <c r="B825">
        <v>44.48</v>
      </c>
      <c r="C825" t="s">
        <v>21</v>
      </c>
      <c r="D825" t="s">
        <v>17</v>
      </c>
      <c r="E825" s="3">
        <v>1500</v>
      </c>
      <c r="F825">
        <v>-29.6</v>
      </c>
      <c r="G825">
        <v>13.89</v>
      </c>
      <c r="H825">
        <v>0.34</v>
      </c>
      <c r="I825">
        <v>0.76</v>
      </c>
      <c r="J825">
        <v>16</v>
      </c>
      <c r="K825" t="s">
        <v>23</v>
      </c>
      <c r="L825" t="str">
        <f t="shared" si="319"/>
        <v>VALID</v>
      </c>
      <c r="M825">
        <f t="shared" si="330"/>
        <v>2.1250000000000002E-2</v>
      </c>
      <c r="N825" t="str">
        <f t="shared" si="331"/>
        <v>Medium</v>
      </c>
      <c r="O825">
        <f t="shared" si="332"/>
        <v>7.3250000000000002</v>
      </c>
      <c r="P825" t="str">
        <f t="shared" si="333"/>
        <v>Low</v>
      </c>
    </row>
    <row r="826" spans="1:16" x14ac:dyDescent="0.25">
      <c r="A826">
        <v>300</v>
      </c>
      <c r="B826">
        <v>16.190000000000001</v>
      </c>
      <c r="C826" t="s">
        <v>22</v>
      </c>
      <c r="D826" t="s">
        <v>18</v>
      </c>
      <c r="E826" s="3">
        <v>300</v>
      </c>
      <c r="F826">
        <v>7.5</v>
      </c>
      <c r="G826">
        <v>5.6</v>
      </c>
      <c r="H826">
        <v>3.21</v>
      </c>
      <c r="I826">
        <v>19.829999999999998</v>
      </c>
      <c r="J826">
        <v>22</v>
      </c>
      <c r="K826" t="s">
        <v>13</v>
      </c>
      <c r="L826" t="str">
        <f t="shared" si="319"/>
        <v>VALID</v>
      </c>
      <c r="M826">
        <f t="shared" si="330"/>
        <v>0.1459090909090909</v>
      </c>
      <c r="N826" t="str">
        <f t="shared" si="331"/>
        <v>Low</v>
      </c>
      <c r="O826">
        <f t="shared" si="332"/>
        <v>12.715</v>
      </c>
      <c r="P826" t="str">
        <f t="shared" si="333"/>
        <v>Low</v>
      </c>
    </row>
    <row r="827" spans="1:16" x14ac:dyDescent="0.25">
      <c r="A827">
        <v>400</v>
      </c>
      <c r="B827">
        <v>10.36</v>
      </c>
      <c r="C827" t="s">
        <v>21</v>
      </c>
      <c r="D827" t="s">
        <v>17</v>
      </c>
      <c r="E827" s="3">
        <v>300</v>
      </c>
      <c r="F827">
        <v>47.7</v>
      </c>
      <c r="G827">
        <v>12.23</v>
      </c>
      <c r="H827">
        <v>8.44</v>
      </c>
      <c r="I827">
        <v>81.47</v>
      </c>
      <c r="J827">
        <v>1</v>
      </c>
      <c r="K827" t="s">
        <v>16</v>
      </c>
      <c r="L827" t="str">
        <f t="shared" si="319"/>
        <v>VALID</v>
      </c>
      <c r="M827">
        <f t="shared" si="330"/>
        <v>8.44</v>
      </c>
      <c r="N827" t="str">
        <f t="shared" si="331"/>
        <v>Low</v>
      </c>
      <c r="O827">
        <f t="shared" si="332"/>
        <v>46.85</v>
      </c>
      <c r="P827" t="str">
        <f t="shared" si="333"/>
        <v>Medium</v>
      </c>
    </row>
    <row r="828" spans="1:16" x14ac:dyDescent="0.25">
      <c r="A828">
        <v>200</v>
      </c>
      <c r="B828">
        <v>11.25</v>
      </c>
      <c r="C828" t="s">
        <v>11</v>
      </c>
      <c r="D828" t="s">
        <v>20</v>
      </c>
      <c r="E828" s="3">
        <v>150</v>
      </c>
      <c r="F828">
        <v>49.9</v>
      </c>
      <c r="G828">
        <v>14.66</v>
      </c>
      <c r="H828">
        <v>0.79</v>
      </c>
      <c r="I828">
        <v>7.02</v>
      </c>
      <c r="J828">
        <v>21</v>
      </c>
      <c r="K828" t="s">
        <v>23</v>
      </c>
      <c r="L828" t="str">
        <f t="shared" si="319"/>
        <v>VALID</v>
      </c>
      <c r="M828">
        <f t="shared" si="330"/>
        <v>3.7619047619047621E-2</v>
      </c>
      <c r="N828" t="str">
        <f t="shared" si="331"/>
        <v>Low</v>
      </c>
      <c r="O828">
        <f t="shared" si="332"/>
        <v>10.84</v>
      </c>
      <c r="P828" t="str">
        <f t="shared" si="333"/>
        <v>Low</v>
      </c>
    </row>
    <row r="829" spans="1:16" x14ac:dyDescent="0.25">
      <c r="A829">
        <v>1500</v>
      </c>
      <c r="B829">
        <v>48.21</v>
      </c>
      <c r="C829" t="s">
        <v>19</v>
      </c>
      <c r="D829" t="s">
        <v>20</v>
      </c>
      <c r="E829" s="3">
        <v>300</v>
      </c>
      <c r="F829">
        <v>-7.8</v>
      </c>
      <c r="G829">
        <v>11.53</v>
      </c>
      <c r="H829">
        <v>4.54</v>
      </c>
      <c r="I829">
        <v>9.42</v>
      </c>
      <c r="J829">
        <v>2</v>
      </c>
      <c r="K829" t="s">
        <v>13</v>
      </c>
      <c r="L829" t="str">
        <f t="shared" si="319"/>
        <v>VALID</v>
      </c>
      <c r="M829">
        <f t="shared" si="330"/>
        <v>2.27</v>
      </c>
      <c r="N829" t="str">
        <f t="shared" si="331"/>
        <v>Low</v>
      </c>
      <c r="O829">
        <f t="shared" si="332"/>
        <v>10.475</v>
      </c>
      <c r="P829" t="str">
        <f t="shared" si="333"/>
        <v>Low</v>
      </c>
    </row>
    <row r="830" spans="1:16" x14ac:dyDescent="0.25">
      <c r="A830">
        <v>500</v>
      </c>
      <c r="B830">
        <v>24.71</v>
      </c>
      <c r="C830" t="s">
        <v>21</v>
      </c>
      <c r="D830" t="s">
        <v>15</v>
      </c>
      <c r="E830" s="3">
        <v>1500</v>
      </c>
      <c r="F830">
        <v>117</v>
      </c>
      <c r="G830">
        <v>15.95</v>
      </c>
      <c r="H830">
        <v>3.69</v>
      </c>
      <c r="I830">
        <v>14.93</v>
      </c>
      <c r="J830">
        <v>13</v>
      </c>
      <c r="K830" t="s">
        <v>13</v>
      </c>
      <c r="L830" t="str">
        <f t="shared" si="319"/>
        <v>VALID</v>
      </c>
      <c r="M830">
        <f t="shared" si="330"/>
        <v>0.28384615384615386</v>
      </c>
      <c r="N830" t="str">
        <f t="shared" si="331"/>
        <v>Medium</v>
      </c>
      <c r="O830">
        <f t="shared" si="332"/>
        <v>15.44</v>
      </c>
      <c r="P830" t="str">
        <f t="shared" si="333"/>
        <v>Low</v>
      </c>
    </row>
    <row r="831" spans="1:16" x14ac:dyDescent="0.25">
      <c r="A831">
        <v>800</v>
      </c>
      <c r="B831">
        <v>24.54</v>
      </c>
      <c r="C831" t="s">
        <v>19</v>
      </c>
      <c r="D831" t="s">
        <v>20</v>
      </c>
      <c r="E831" s="3">
        <v>600</v>
      </c>
      <c r="F831">
        <v>50.1</v>
      </c>
      <c r="G831">
        <v>17.02</v>
      </c>
      <c r="H831">
        <v>6.98</v>
      </c>
      <c r="I831">
        <v>28.44</v>
      </c>
      <c r="J831">
        <v>17</v>
      </c>
      <c r="K831" t="s">
        <v>16</v>
      </c>
      <c r="L831" t="str">
        <f t="shared" si="319"/>
        <v>VALID</v>
      </c>
      <c r="M831">
        <f t="shared" si="330"/>
        <v>0.4105882352941177</v>
      </c>
      <c r="N831" t="str">
        <f t="shared" si="331"/>
        <v>Low</v>
      </c>
      <c r="O831">
        <f t="shared" si="332"/>
        <v>22.73</v>
      </c>
      <c r="P831" t="str">
        <f t="shared" si="333"/>
        <v>Low</v>
      </c>
    </row>
    <row r="832" spans="1:16" x14ac:dyDescent="0.25">
      <c r="A832">
        <v>250</v>
      </c>
      <c r="B832">
        <v>8.64</v>
      </c>
      <c r="C832" t="s">
        <v>11</v>
      </c>
      <c r="D832" t="s">
        <v>17</v>
      </c>
      <c r="E832" s="3">
        <v>1500</v>
      </c>
      <c r="F832">
        <v>21.6</v>
      </c>
      <c r="G832">
        <v>2.68</v>
      </c>
      <c r="H832">
        <v>3.21</v>
      </c>
      <c r="I832">
        <v>37.15</v>
      </c>
      <c r="J832">
        <v>20</v>
      </c>
      <c r="K832" t="s">
        <v>13</v>
      </c>
      <c r="L832" t="str">
        <f t="shared" si="319"/>
        <v>VALID</v>
      </c>
      <c r="M832">
        <f t="shared" si="330"/>
        <v>0.1605</v>
      </c>
      <c r="N832" t="str">
        <f t="shared" si="331"/>
        <v>Medium</v>
      </c>
      <c r="O832">
        <f t="shared" si="332"/>
        <v>19.914999999999999</v>
      </c>
      <c r="P832" t="str">
        <f t="shared" si="333"/>
        <v>Low</v>
      </c>
    </row>
    <row r="833" spans="1:16" x14ac:dyDescent="0.25">
      <c r="A833">
        <v>800</v>
      </c>
      <c r="B833">
        <v>28.92</v>
      </c>
      <c r="C833" t="s">
        <v>22</v>
      </c>
      <c r="D833" t="s">
        <v>20</v>
      </c>
      <c r="E833" s="3">
        <v>900</v>
      </c>
      <c r="F833">
        <v>42.4</v>
      </c>
      <c r="G833">
        <v>10.210000000000001</v>
      </c>
      <c r="H833">
        <v>8.9</v>
      </c>
      <c r="I833">
        <v>30.77</v>
      </c>
      <c r="J833">
        <v>21</v>
      </c>
      <c r="K833" t="s">
        <v>16</v>
      </c>
      <c r="L833" t="str">
        <f t="shared" si="319"/>
        <v>VALID</v>
      </c>
      <c r="M833">
        <f t="shared" si="330"/>
        <v>0.4238095238095238</v>
      </c>
      <c r="N833" t="str">
        <f t="shared" si="331"/>
        <v>Low</v>
      </c>
      <c r="O833">
        <f t="shared" si="332"/>
        <v>20.490000000000002</v>
      </c>
      <c r="P833" t="str">
        <f t="shared" si="333"/>
        <v>Low</v>
      </c>
    </row>
    <row r="834" spans="1:16" x14ac:dyDescent="0.25">
      <c r="A834">
        <v>300</v>
      </c>
      <c r="B834">
        <v>7.69</v>
      </c>
      <c r="C834" t="s">
        <v>19</v>
      </c>
      <c r="D834" t="s">
        <v>17</v>
      </c>
      <c r="E834" s="3">
        <v>300</v>
      </c>
      <c r="F834">
        <v>54.7</v>
      </c>
      <c r="G834">
        <v>18.170000000000002</v>
      </c>
      <c r="H834">
        <v>6.39</v>
      </c>
      <c r="I834">
        <v>83.09</v>
      </c>
      <c r="J834">
        <v>16</v>
      </c>
      <c r="K834" t="s">
        <v>16</v>
      </c>
      <c r="L834" t="str">
        <f t="shared" si="319"/>
        <v>VALID</v>
      </c>
      <c r="M834">
        <f t="shared" si="330"/>
        <v>0.39937499999999998</v>
      </c>
      <c r="N834" t="str">
        <f t="shared" si="331"/>
        <v>Low</v>
      </c>
      <c r="O834">
        <f t="shared" si="332"/>
        <v>50.63</v>
      </c>
      <c r="P834" t="str">
        <f t="shared" si="333"/>
        <v>Medium</v>
      </c>
    </row>
    <row r="835" spans="1:16" x14ac:dyDescent="0.25">
      <c r="A835">
        <v>300</v>
      </c>
      <c r="B835">
        <v>12.66</v>
      </c>
      <c r="C835" t="s">
        <v>21</v>
      </c>
      <c r="D835" t="s">
        <v>15</v>
      </c>
      <c r="E835" s="3">
        <v>1500</v>
      </c>
      <c r="F835">
        <v>135.4</v>
      </c>
      <c r="G835">
        <v>2.77</v>
      </c>
      <c r="H835">
        <v>5.85</v>
      </c>
      <c r="I835">
        <v>46.21</v>
      </c>
      <c r="J835">
        <v>25</v>
      </c>
      <c r="K835" t="s">
        <v>16</v>
      </c>
      <c r="L835" t="str">
        <f t="shared" ref="L835:L898" si="334">IF(H835&gt;B835,"INVALID","VALID")</f>
        <v>VALID</v>
      </c>
      <c r="M835">
        <f t="shared" si="330"/>
        <v>0.23399999999999999</v>
      </c>
      <c r="N835" t="str">
        <f t="shared" si="331"/>
        <v>Medium</v>
      </c>
      <c r="O835">
        <f t="shared" si="332"/>
        <v>24.490000000000002</v>
      </c>
      <c r="P835" t="str">
        <f t="shared" si="333"/>
        <v>Low</v>
      </c>
    </row>
    <row r="836" spans="1:16" x14ac:dyDescent="0.25">
      <c r="A836">
        <v>150</v>
      </c>
      <c r="B836">
        <v>7.37</v>
      </c>
      <c r="C836" t="s">
        <v>19</v>
      </c>
      <c r="D836" t="s">
        <v>20</v>
      </c>
      <c r="E836" s="3">
        <v>300</v>
      </c>
      <c r="F836">
        <v>24</v>
      </c>
      <c r="G836">
        <v>17.39</v>
      </c>
      <c r="H836">
        <v>5.32</v>
      </c>
      <c r="I836">
        <v>72.180000000000007</v>
      </c>
      <c r="J836">
        <v>16</v>
      </c>
      <c r="K836" t="s">
        <v>16</v>
      </c>
      <c r="L836" t="str">
        <f t="shared" si="334"/>
        <v>VALID</v>
      </c>
      <c r="M836">
        <f t="shared" si="330"/>
        <v>0.33250000000000002</v>
      </c>
      <c r="N836" t="str">
        <f t="shared" si="331"/>
        <v>Low</v>
      </c>
      <c r="O836">
        <f t="shared" si="332"/>
        <v>44.785000000000004</v>
      </c>
      <c r="P836" t="str">
        <f t="shared" si="333"/>
        <v>Medium</v>
      </c>
    </row>
    <row r="837" spans="1:16" x14ac:dyDescent="0.25">
      <c r="A837">
        <v>800</v>
      </c>
      <c r="B837">
        <v>29.97</v>
      </c>
      <c r="C837" t="s">
        <v>11</v>
      </c>
      <c r="D837" t="s">
        <v>20</v>
      </c>
      <c r="E837" s="3">
        <v>150</v>
      </c>
      <c r="F837">
        <v>29.2</v>
      </c>
      <c r="G837">
        <v>0.68</v>
      </c>
      <c r="H837">
        <v>8.8800000000000008</v>
      </c>
      <c r="I837">
        <v>29.63</v>
      </c>
      <c r="J837">
        <v>6</v>
      </c>
      <c r="K837" t="s">
        <v>16</v>
      </c>
      <c r="L837" t="str">
        <f t="shared" si="334"/>
        <v>VALID</v>
      </c>
      <c r="M837">
        <f t="shared" si="330"/>
        <v>1.4800000000000002</v>
      </c>
      <c r="N837" t="str">
        <f t="shared" si="331"/>
        <v>Low</v>
      </c>
      <c r="O837">
        <f t="shared" si="332"/>
        <v>15.154999999999999</v>
      </c>
      <c r="P837" t="str">
        <f t="shared" si="333"/>
        <v>Low</v>
      </c>
    </row>
    <row r="838" spans="1:16" hidden="1" x14ac:dyDescent="0.25">
      <c r="A838">
        <v>250</v>
      </c>
      <c r="B838">
        <v>6.91</v>
      </c>
      <c r="C838" t="s">
        <v>11</v>
      </c>
      <c r="D838" t="s">
        <v>20</v>
      </c>
      <c r="E838">
        <v>600</v>
      </c>
      <c r="F838">
        <v>117.5</v>
      </c>
      <c r="G838">
        <v>9.0500000000000007</v>
      </c>
      <c r="H838">
        <v>9.44</v>
      </c>
      <c r="I838">
        <v>136.61000000000001</v>
      </c>
      <c r="J838">
        <v>4</v>
      </c>
      <c r="K838" t="s">
        <v>16</v>
      </c>
      <c r="L838" t="str">
        <f t="shared" si="334"/>
        <v>INVALID</v>
      </c>
    </row>
    <row r="839" spans="1:16" x14ac:dyDescent="0.25">
      <c r="A839">
        <v>1200</v>
      </c>
      <c r="B839">
        <v>23.28</v>
      </c>
      <c r="C839" t="s">
        <v>14</v>
      </c>
      <c r="D839" t="s">
        <v>12</v>
      </c>
      <c r="E839" s="3">
        <v>900</v>
      </c>
      <c r="F839">
        <v>-3.5</v>
      </c>
      <c r="G839">
        <v>5.46</v>
      </c>
      <c r="H839">
        <v>2.8</v>
      </c>
      <c r="I839">
        <v>12.03</v>
      </c>
      <c r="J839">
        <v>2</v>
      </c>
      <c r="K839" t="s">
        <v>13</v>
      </c>
      <c r="L839" t="str">
        <f t="shared" si="334"/>
        <v>VALID</v>
      </c>
      <c r="M839">
        <f t="shared" ref="M839:M841" si="335">IF(J839&gt;0,H839/J839," ")</f>
        <v>1.4</v>
      </c>
      <c r="N839" t="str">
        <f t="shared" ref="N839:N841" si="336">IF(ISNUMBER(E839),IF(E839&lt;1000,"Low",IF(E839&lt;3000,"Medium","High")),"Unknown")</f>
        <v>Low</v>
      </c>
      <c r="O839">
        <f t="shared" ref="O839:O841" si="337">(G839+I839)/2</f>
        <v>8.7449999999999992</v>
      </c>
      <c r="P839" t="str">
        <f t="shared" ref="P839:P841" si="338">IF(O839&lt;30,"Low",IF(O839&lt;60,"Medium","High"))</f>
        <v>Low</v>
      </c>
    </row>
    <row r="840" spans="1:16" x14ac:dyDescent="0.25">
      <c r="A840">
        <v>150</v>
      </c>
      <c r="B840">
        <v>5.13</v>
      </c>
      <c r="C840" t="s">
        <v>22</v>
      </c>
      <c r="D840" t="s">
        <v>17</v>
      </c>
      <c r="E840" s="3">
        <v>300</v>
      </c>
      <c r="F840">
        <v>70.599999999999994</v>
      </c>
      <c r="G840">
        <v>4.04</v>
      </c>
      <c r="H840">
        <v>4.43</v>
      </c>
      <c r="I840">
        <v>86.35</v>
      </c>
      <c r="J840">
        <v>16</v>
      </c>
      <c r="K840" t="s">
        <v>13</v>
      </c>
      <c r="L840" t="str">
        <f t="shared" si="334"/>
        <v>VALID</v>
      </c>
      <c r="M840">
        <f t="shared" si="335"/>
        <v>0.27687499999999998</v>
      </c>
      <c r="N840" t="str">
        <f t="shared" si="336"/>
        <v>Low</v>
      </c>
      <c r="O840">
        <f t="shared" si="337"/>
        <v>45.195</v>
      </c>
      <c r="P840" t="str">
        <f t="shared" si="338"/>
        <v>Medium</v>
      </c>
    </row>
    <row r="841" spans="1:16" x14ac:dyDescent="0.25">
      <c r="A841">
        <v>800</v>
      </c>
      <c r="B841">
        <v>28.48</v>
      </c>
      <c r="C841" t="s">
        <v>11</v>
      </c>
      <c r="D841" t="s">
        <v>17</v>
      </c>
      <c r="E841" s="3">
        <v>2500</v>
      </c>
      <c r="F841">
        <v>73</v>
      </c>
      <c r="G841">
        <v>5.76</v>
      </c>
      <c r="H841">
        <v>1.51</v>
      </c>
      <c r="I841">
        <v>5.3</v>
      </c>
      <c r="J841">
        <v>19</v>
      </c>
      <c r="K841" t="s">
        <v>23</v>
      </c>
      <c r="L841" t="str">
        <f t="shared" si="334"/>
        <v>VALID</v>
      </c>
      <c r="M841">
        <f t="shared" si="335"/>
        <v>7.9473684210526321E-2</v>
      </c>
      <c r="N841" t="str">
        <f t="shared" si="336"/>
        <v>Medium</v>
      </c>
      <c r="O841">
        <f t="shared" si="337"/>
        <v>5.5299999999999994</v>
      </c>
      <c r="P841" t="str">
        <f t="shared" si="338"/>
        <v>Low</v>
      </c>
    </row>
    <row r="842" spans="1:16" hidden="1" x14ac:dyDescent="0.25">
      <c r="A842">
        <v>100</v>
      </c>
      <c r="B842">
        <v>6.36</v>
      </c>
      <c r="C842" t="s">
        <v>11</v>
      </c>
      <c r="D842" t="s">
        <v>17</v>
      </c>
      <c r="E842">
        <v>600</v>
      </c>
      <c r="F842">
        <v>144.69999999999999</v>
      </c>
      <c r="G842">
        <v>19.8</v>
      </c>
      <c r="H842">
        <v>7.5</v>
      </c>
      <c r="I842">
        <v>117.92</v>
      </c>
      <c r="J842">
        <v>9</v>
      </c>
      <c r="K842" t="s">
        <v>16</v>
      </c>
      <c r="L842" t="str">
        <f t="shared" si="334"/>
        <v>INVALID</v>
      </c>
    </row>
    <row r="843" spans="1:16" hidden="1" x14ac:dyDescent="0.25">
      <c r="A843">
        <v>50</v>
      </c>
      <c r="B843">
        <v>3.16</v>
      </c>
      <c r="C843" t="s">
        <v>11</v>
      </c>
      <c r="D843" t="s">
        <v>20</v>
      </c>
      <c r="E843">
        <v>600</v>
      </c>
      <c r="F843">
        <v>40.4</v>
      </c>
      <c r="G843">
        <v>12.22</v>
      </c>
      <c r="H843">
        <v>5.14</v>
      </c>
      <c r="I843">
        <v>162.66</v>
      </c>
      <c r="J843">
        <v>1</v>
      </c>
      <c r="K843" t="s">
        <v>16</v>
      </c>
      <c r="L843" t="str">
        <f t="shared" si="334"/>
        <v>INVALID</v>
      </c>
    </row>
    <row r="844" spans="1:16" x14ac:dyDescent="0.25">
      <c r="A844">
        <v>1000</v>
      </c>
      <c r="B844">
        <v>24.52</v>
      </c>
      <c r="C844" t="s">
        <v>19</v>
      </c>
      <c r="D844" t="s">
        <v>17</v>
      </c>
      <c r="E844" s="3">
        <v>300</v>
      </c>
      <c r="F844">
        <v>42.2</v>
      </c>
      <c r="G844">
        <v>19.14</v>
      </c>
      <c r="H844">
        <v>5.62</v>
      </c>
      <c r="I844">
        <v>22.92</v>
      </c>
      <c r="J844">
        <v>13</v>
      </c>
      <c r="K844" t="s">
        <v>16</v>
      </c>
      <c r="L844" t="str">
        <f t="shared" si="334"/>
        <v>VALID</v>
      </c>
      <c r="M844">
        <f t="shared" ref="M844:M855" si="339">IF(J844&gt;0,H844/J844," ")</f>
        <v>0.43230769230769234</v>
      </c>
      <c r="N844" t="str">
        <f t="shared" ref="N844:N855" si="340">IF(ISNUMBER(E844),IF(E844&lt;1000,"Low",IF(E844&lt;3000,"Medium","High")),"Unknown")</f>
        <v>Low</v>
      </c>
      <c r="O844">
        <f t="shared" ref="O844:O855" si="341">(G844+I844)/2</f>
        <v>21.03</v>
      </c>
      <c r="P844" t="str">
        <f t="shared" ref="P844:P855" si="342">IF(O844&lt;30,"Low",IF(O844&lt;60,"Medium","High"))</f>
        <v>Low</v>
      </c>
    </row>
    <row r="845" spans="1:16" x14ac:dyDescent="0.25">
      <c r="A845">
        <v>500</v>
      </c>
      <c r="B845">
        <v>11.99</v>
      </c>
      <c r="C845" t="s">
        <v>14</v>
      </c>
      <c r="D845" t="s">
        <v>17</v>
      </c>
      <c r="E845" s="3">
        <v>900</v>
      </c>
      <c r="F845">
        <v>24.5</v>
      </c>
      <c r="G845">
        <v>8.1199999999999992</v>
      </c>
      <c r="H845">
        <v>3.88</v>
      </c>
      <c r="I845">
        <v>32.36</v>
      </c>
      <c r="J845">
        <v>16</v>
      </c>
      <c r="K845" t="s">
        <v>13</v>
      </c>
      <c r="L845" t="str">
        <f t="shared" si="334"/>
        <v>VALID</v>
      </c>
      <c r="M845">
        <f t="shared" si="339"/>
        <v>0.24249999999999999</v>
      </c>
      <c r="N845" t="str">
        <f t="shared" si="340"/>
        <v>Low</v>
      </c>
      <c r="O845">
        <f t="shared" si="341"/>
        <v>20.239999999999998</v>
      </c>
      <c r="P845" t="str">
        <f t="shared" si="342"/>
        <v>Low</v>
      </c>
    </row>
    <row r="846" spans="1:16" x14ac:dyDescent="0.25">
      <c r="A846">
        <v>100</v>
      </c>
      <c r="B846">
        <v>5.28</v>
      </c>
      <c r="C846" t="s">
        <v>21</v>
      </c>
      <c r="D846" t="s">
        <v>12</v>
      </c>
      <c r="E846" s="3">
        <v>1500</v>
      </c>
      <c r="F846">
        <v>-15.4</v>
      </c>
      <c r="G846">
        <v>7.52</v>
      </c>
      <c r="H846">
        <v>0.93</v>
      </c>
      <c r="I846">
        <v>17.61</v>
      </c>
      <c r="J846">
        <v>5</v>
      </c>
      <c r="K846" t="s">
        <v>23</v>
      </c>
      <c r="L846" t="str">
        <f t="shared" si="334"/>
        <v>VALID</v>
      </c>
      <c r="M846">
        <f t="shared" si="339"/>
        <v>0.186</v>
      </c>
      <c r="N846" t="str">
        <f t="shared" si="340"/>
        <v>Medium</v>
      </c>
      <c r="O846">
        <f t="shared" si="341"/>
        <v>12.565</v>
      </c>
      <c r="P846" t="str">
        <f t="shared" si="342"/>
        <v>Low</v>
      </c>
    </row>
    <row r="847" spans="1:16" x14ac:dyDescent="0.25">
      <c r="A847">
        <v>300</v>
      </c>
      <c r="B847">
        <v>10.97</v>
      </c>
      <c r="C847" t="s">
        <v>14</v>
      </c>
      <c r="D847" t="s">
        <v>18</v>
      </c>
      <c r="E847" s="3">
        <v>150</v>
      </c>
      <c r="F847">
        <v>-42.6</v>
      </c>
      <c r="G847">
        <v>11.52</v>
      </c>
      <c r="H847">
        <v>4.7</v>
      </c>
      <c r="I847">
        <v>42.84</v>
      </c>
      <c r="J847">
        <v>16</v>
      </c>
      <c r="K847" t="s">
        <v>13</v>
      </c>
      <c r="L847" t="str">
        <f t="shared" si="334"/>
        <v>VALID</v>
      </c>
      <c r="M847">
        <f t="shared" si="339"/>
        <v>0.29375000000000001</v>
      </c>
      <c r="N847" t="str">
        <f t="shared" si="340"/>
        <v>Low</v>
      </c>
      <c r="O847">
        <f t="shared" si="341"/>
        <v>27.18</v>
      </c>
      <c r="P847" t="str">
        <f t="shared" si="342"/>
        <v>Low</v>
      </c>
    </row>
    <row r="848" spans="1:16" x14ac:dyDescent="0.25">
      <c r="A848">
        <v>1200</v>
      </c>
      <c r="B848">
        <v>24.25</v>
      </c>
      <c r="C848" t="s">
        <v>11</v>
      </c>
      <c r="D848" t="s">
        <v>18</v>
      </c>
      <c r="E848" s="3">
        <v>300</v>
      </c>
      <c r="F848">
        <v>59.6</v>
      </c>
      <c r="G848">
        <v>2.35</v>
      </c>
      <c r="H848">
        <v>5.71</v>
      </c>
      <c r="I848">
        <v>23.55</v>
      </c>
      <c r="J848">
        <v>19</v>
      </c>
      <c r="K848" t="s">
        <v>16</v>
      </c>
      <c r="L848" t="str">
        <f t="shared" si="334"/>
        <v>VALID</v>
      </c>
      <c r="M848">
        <f t="shared" si="339"/>
        <v>0.3005263157894737</v>
      </c>
      <c r="N848" t="str">
        <f t="shared" si="340"/>
        <v>Low</v>
      </c>
      <c r="O848">
        <f t="shared" si="341"/>
        <v>12.950000000000001</v>
      </c>
      <c r="P848" t="str">
        <f t="shared" si="342"/>
        <v>Low</v>
      </c>
    </row>
    <row r="849" spans="1:16" x14ac:dyDescent="0.25">
      <c r="A849">
        <v>150</v>
      </c>
      <c r="B849">
        <v>5.58</v>
      </c>
      <c r="C849" t="s">
        <v>14</v>
      </c>
      <c r="D849" t="s">
        <v>17</v>
      </c>
      <c r="E849" s="3">
        <v>900</v>
      </c>
      <c r="F849">
        <v>33.200000000000003</v>
      </c>
      <c r="G849">
        <v>13.73</v>
      </c>
      <c r="H849">
        <v>2.75</v>
      </c>
      <c r="I849">
        <v>49.28</v>
      </c>
      <c r="J849">
        <v>14</v>
      </c>
      <c r="K849" t="s">
        <v>13</v>
      </c>
      <c r="L849" t="str">
        <f t="shared" si="334"/>
        <v>VALID</v>
      </c>
      <c r="M849">
        <f t="shared" si="339"/>
        <v>0.19642857142857142</v>
      </c>
      <c r="N849" t="str">
        <f t="shared" si="340"/>
        <v>Low</v>
      </c>
      <c r="O849">
        <f t="shared" si="341"/>
        <v>31.505000000000003</v>
      </c>
      <c r="P849" t="str">
        <f t="shared" si="342"/>
        <v>Medium</v>
      </c>
    </row>
    <row r="850" spans="1:16" x14ac:dyDescent="0.25">
      <c r="A850">
        <v>1500</v>
      </c>
      <c r="B850">
        <v>49.53</v>
      </c>
      <c r="C850" t="s">
        <v>14</v>
      </c>
      <c r="D850" t="s">
        <v>20</v>
      </c>
      <c r="E850" s="3">
        <v>150</v>
      </c>
      <c r="F850">
        <v>11.1</v>
      </c>
      <c r="G850">
        <v>15.18</v>
      </c>
      <c r="H850">
        <v>0.31</v>
      </c>
      <c r="I850">
        <v>0.63</v>
      </c>
      <c r="J850">
        <v>7</v>
      </c>
      <c r="K850" t="s">
        <v>23</v>
      </c>
      <c r="L850" t="str">
        <f t="shared" si="334"/>
        <v>VALID</v>
      </c>
      <c r="M850">
        <f t="shared" si="339"/>
        <v>4.4285714285714282E-2</v>
      </c>
      <c r="N850" t="str">
        <f t="shared" si="340"/>
        <v>Low</v>
      </c>
      <c r="O850">
        <f t="shared" si="341"/>
        <v>7.9050000000000002</v>
      </c>
      <c r="P850" t="str">
        <f t="shared" si="342"/>
        <v>Low</v>
      </c>
    </row>
    <row r="851" spans="1:16" x14ac:dyDescent="0.25">
      <c r="A851">
        <v>500</v>
      </c>
      <c r="B851">
        <v>24.55</v>
      </c>
      <c r="C851" t="s">
        <v>21</v>
      </c>
      <c r="D851" t="s">
        <v>15</v>
      </c>
      <c r="E851" s="3">
        <v>900</v>
      </c>
      <c r="F851">
        <v>-4</v>
      </c>
      <c r="G851">
        <v>18.89</v>
      </c>
      <c r="H851">
        <v>7.2</v>
      </c>
      <c r="I851">
        <v>29.33</v>
      </c>
      <c r="J851">
        <v>17</v>
      </c>
      <c r="K851" t="s">
        <v>16</v>
      </c>
      <c r="L851" t="str">
        <f t="shared" si="334"/>
        <v>VALID</v>
      </c>
      <c r="M851">
        <f t="shared" si="339"/>
        <v>0.42352941176470588</v>
      </c>
      <c r="N851" t="str">
        <f t="shared" si="340"/>
        <v>Low</v>
      </c>
      <c r="O851">
        <f t="shared" si="341"/>
        <v>24.11</v>
      </c>
      <c r="P851" t="str">
        <f t="shared" si="342"/>
        <v>Low</v>
      </c>
    </row>
    <row r="852" spans="1:16" x14ac:dyDescent="0.25">
      <c r="A852">
        <v>300</v>
      </c>
      <c r="B852">
        <v>16.899999999999999</v>
      </c>
      <c r="C852" t="s">
        <v>21</v>
      </c>
      <c r="D852" t="s">
        <v>18</v>
      </c>
      <c r="E852" s="3">
        <v>2500</v>
      </c>
      <c r="F852">
        <v>102.6</v>
      </c>
      <c r="G852">
        <v>5.0199999999999996</v>
      </c>
      <c r="H852">
        <v>8.27</v>
      </c>
      <c r="I852">
        <v>48.93</v>
      </c>
      <c r="J852">
        <v>3</v>
      </c>
      <c r="K852" t="s">
        <v>16</v>
      </c>
      <c r="L852" t="str">
        <f t="shared" si="334"/>
        <v>VALID</v>
      </c>
      <c r="M852">
        <f t="shared" si="339"/>
        <v>2.7566666666666664</v>
      </c>
      <c r="N852" t="str">
        <f t="shared" si="340"/>
        <v>Medium</v>
      </c>
      <c r="O852">
        <f t="shared" si="341"/>
        <v>26.975000000000001</v>
      </c>
      <c r="P852" t="str">
        <f t="shared" si="342"/>
        <v>Low</v>
      </c>
    </row>
    <row r="853" spans="1:16" x14ac:dyDescent="0.25">
      <c r="A853">
        <v>1200</v>
      </c>
      <c r="B853">
        <v>39.479999999999997</v>
      </c>
      <c r="C853" t="s">
        <v>22</v>
      </c>
      <c r="D853" t="s">
        <v>12</v>
      </c>
      <c r="E853" s="3">
        <v>300</v>
      </c>
      <c r="F853">
        <v>-48.4</v>
      </c>
      <c r="G853">
        <v>18.95</v>
      </c>
      <c r="H853">
        <v>7.62</v>
      </c>
      <c r="I853">
        <v>19.3</v>
      </c>
      <c r="J853">
        <v>15</v>
      </c>
      <c r="K853" t="s">
        <v>16</v>
      </c>
      <c r="L853" t="str">
        <f t="shared" si="334"/>
        <v>VALID</v>
      </c>
      <c r="M853">
        <f t="shared" si="339"/>
        <v>0.50800000000000001</v>
      </c>
      <c r="N853" t="str">
        <f t="shared" si="340"/>
        <v>Low</v>
      </c>
      <c r="O853">
        <f t="shared" si="341"/>
        <v>19.125</v>
      </c>
      <c r="P853" t="str">
        <f t="shared" si="342"/>
        <v>Low</v>
      </c>
    </row>
    <row r="854" spans="1:16" x14ac:dyDescent="0.25">
      <c r="A854">
        <v>400</v>
      </c>
      <c r="B854">
        <v>13.2</v>
      </c>
      <c r="C854" t="s">
        <v>14</v>
      </c>
      <c r="D854" t="s">
        <v>18</v>
      </c>
      <c r="E854" s="3">
        <v>2500</v>
      </c>
      <c r="F854">
        <v>-18.2</v>
      </c>
      <c r="G854">
        <v>17.05</v>
      </c>
      <c r="H854">
        <v>7.78</v>
      </c>
      <c r="I854">
        <v>58.94</v>
      </c>
      <c r="J854">
        <v>2</v>
      </c>
      <c r="K854" t="s">
        <v>16</v>
      </c>
      <c r="L854" t="str">
        <f t="shared" si="334"/>
        <v>VALID</v>
      </c>
      <c r="M854">
        <f t="shared" si="339"/>
        <v>3.89</v>
      </c>
      <c r="N854" t="str">
        <f t="shared" si="340"/>
        <v>Medium</v>
      </c>
      <c r="O854">
        <f t="shared" si="341"/>
        <v>37.994999999999997</v>
      </c>
      <c r="P854" t="str">
        <f t="shared" si="342"/>
        <v>Medium</v>
      </c>
    </row>
    <row r="855" spans="1:16" x14ac:dyDescent="0.25">
      <c r="A855">
        <v>800</v>
      </c>
      <c r="B855">
        <v>23.08</v>
      </c>
      <c r="C855" t="s">
        <v>21</v>
      </c>
      <c r="D855" t="s">
        <v>20</v>
      </c>
      <c r="E855" s="3">
        <v>900</v>
      </c>
      <c r="F855">
        <v>52.5</v>
      </c>
      <c r="G855">
        <v>10.44</v>
      </c>
      <c r="H855">
        <v>4.1500000000000004</v>
      </c>
      <c r="I855">
        <v>17.98</v>
      </c>
      <c r="J855">
        <v>23</v>
      </c>
      <c r="K855" t="s">
        <v>13</v>
      </c>
      <c r="L855" t="str">
        <f t="shared" si="334"/>
        <v>VALID</v>
      </c>
      <c r="M855">
        <f t="shared" si="339"/>
        <v>0.18043478260869567</v>
      </c>
      <c r="N855" t="str">
        <f t="shared" si="340"/>
        <v>Low</v>
      </c>
      <c r="O855">
        <f t="shared" si="341"/>
        <v>14.21</v>
      </c>
      <c r="P855" t="str">
        <f t="shared" si="342"/>
        <v>Low</v>
      </c>
    </row>
    <row r="856" spans="1:16" hidden="1" x14ac:dyDescent="0.25">
      <c r="A856">
        <v>100</v>
      </c>
      <c r="B856">
        <v>7.57</v>
      </c>
      <c r="C856" t="s">
        <v>11</v>
      </c>
      <c r="D856" t="s">
        <v>12</v>
      </c>
      <c r="E856">
        <v>2500</v>
      </c>
      <c r="F856">
        <v>18</v>
      </c>
      <c r="G856">
        <v>4.41</v>
      </c>
      <c r="H856">
        <v>7.7</v>
      </c>
      <c r="I856">
        <v>101.72</v>
      </c>
      <c r="J856">
        <v>18</v>
      </c>
      <c r="K856" t="s">
        <v>16</v>
      </c>
      <c r="L856" t="str">
        <f t="shared" si="334"/>
        <v>INVALID</v>
      </c>
    </row>
    <row r="857" spans="1:16" x14ac:dyDescent="0.25">
      <c r="A857">
        <v>250</v>
      </c>
      <c r="B857">
        <v>11.58</v>
      </c>
      <c r="C857" t="s">
        <v>14</v>
      </c>
      <c r="D857" t="s">
        <v>20</v>
      </c>
      <c r="E857" s="3">
        <v>600</v>
      </c>
      <c r="F857">
        <v>32</v>
      </c>
      <c r="G857">
        <v>1.0900000000000001</v>
      </c>
      <c r="H857">
        <v>1.9</v>
      </c>
      <c r="I857">
        <v>16.41</v>
      </c>
      <c r="J857">
        <v>7</v>
      </c>
      <c r="K857" t="s">
        <v>23</v>
      </c>
      <c r="L857" t="str">
        <f t="shared" si="334"/>
        <v>VALID</v>
      </c>
      <c r="M857">
        <f t="shared" ref="M857:M858" si="343">IF(J857&gt;0,H857/J857," ")</f>
        <v>0.27142857142857141</v>
      </c>
      <c r="N857" t="str">
        <f t="shared" ref="N857:N858" si="344">IF(ISNUMBER(E857),IF(E857&lt;1000,"Low",IF(E857&lt;3000,"Medium","High")),"Unknown")</f>
        <v>Low</v>
      </c>
      <c r="O857">
        <f t="shared" ref="O857:O858" si="345">(G857+I857)/2</f>
        <v>8.75</v>
      </c>
      <c r="P857" t="str">
        <f t="shared" ref="P857:P858" si="346">IF(O857&lt;30,"Low",IF(O857&lt;60,"Medium","High"))</f>
        <v>Low</v>
      </c>
    </row>
    <row r="858" spans="1:16" x14ac:dyDescent="0.25">
      <c r="A858">
        <v>50</v>
      </c>
      <c r="B858">
        <v>4.12</v>
      </c>
      <c r="C858" t="s">
        <v>11</v>
      </c>
      <c r="D858" t="s">
        <v>15</v>
      </c>
      <c r="E858" s="3">
        <v>600</v>
      </c>
      <c r="F858">
        <v>-15.7</v>
      </c>
      <c r="G858">
        <v>18.510000000000002</v>
      </c>
      <c r="H858">
        <v>2.2400000000000002</v>
      </c>
      <c r="I858">
        <v>54.37</v>
      </c>
      <c r="J858">
        <v>1</v>
      </c>
      <c r="K858" t="s">
        <v>13</v>
      </c>
      <c r="L858" t="str">
        <f t="shared" si="334"/>
        <v>VALID</v>
      </c>
      <c r="M858">
        <f t="shared" si="343"/>
        <v>2.2400000000000002</v>
      </c>
      <c r="N858" t="str">
        <f t="shared" si="344"/>
        <v>Low</v>
      </c>
      <c r="O858">
        <f t="shared" si="345"/>
        <v>36.44</v>
      </c>
      <c r="P858" t="str">
        <f t="shared" si="346"/>
        <v>Medium</v>
      </c>
    </row>
    <row r="859" spans="1:16" hidden="1" x14ac:dyDescent="0.25">
      <c r="A859">
        <v>50</v>
      </c>
      <c r="B859">
        <v>3.71</v>
      </c>
      <c r="C859" t="s">
        <v>19</v>
      </c>
      <c r="D859" t="s">
        <v>17</v>
      </c>
      <c r="E859">
        <v>300</v>
      </c>
      <c r="F859">
        <v>-1.3</v>
      </c>
      <c r="G859">
        <v>1.0900000000000001</v>
      </c>
      <c r="H859">
        <v>6.23</v>
      </c>
      <c r="I859">
        <v>167.92</v>
      </c>
      <c r="J859">
        <v>1</v>
      </c>
      <c r="K859" t="s">
        <v>16</v>
      </c>
      <c r="L859" t="str">
        <f t="shared" si="334"/>
        <v>INVALID</v>
      </c>
    </row>
    <row r="860" spans="1:16" x14ac:dyDescent="0.25">
      <c r="A860">
        <v>200</v>
      </c>
      <c r="B860">
        <v>11.79</v>
      </c>
      <c r="C860" t="s">
        <v>14</v>
      </c>
      <c r="D860" t="s">
        <v>12</v>
      </c>
      <c r="E860" s="3">
        <v>900</v>
      </c>
      <c r="F860">
        <v>-24.3</v>
      </c>
      <c r="G860">
        <v>19.29</v>
      </c>
      <c r="H860">
        <v>6.49</v>
      </c>
      <c r="I860">
        <v>55.05</v>
      </c>
      <c r="J860">
        <v>3</v>
      </c>
      <c r="K860" t="s">
        <v>16</v>
      </c>
      <c r="L860" t="str">
        <f t="shared" si="334"/>
        <v>VALID</v>
      </c>
      <c r="M860">
        <f t="shared" ref="M860" si="347">IF(J860&gt;0,H860/J860," ")</f>
        <v>2.1633333333333336</v>
      </c>
      <c r="N860" t="str">
        <f>IF(ISNUMBER(E860),IF(E860&lt;1000,"Low",IF(E860&lt;3000,"Medium","High")),"Unknown")</f>
        <v>Low</v>
      </c>
      <c r="O860">
        <f>(G860+I860)/2</f>
        <v>37.17</v>
      </c>
      <c r="P860" t="str">
        <f>IF(O860&lt;30,"Low",IF(O860&lt;60,"Medium","High"))</f>
        <v>Medium</v>
      </c>
    </row>
    <row r="861" spans="1:16" hidden="1" x14ac:dyDescent="0.25">
      <c r="A861">
        <v>250</v>
      </c>
      <c r="B861">
        <v>7.79</v>
      </c>
      <c r="C861" t="s">
        <v>11</v>
      </c>
      <c r="D861" t="s">
        <v>20</v>
      </c>
      <c r="E861">
        <v>1500</v>
      </c>
      <c r="F861">
        <v>29.1</v>
      </c>
      <c r="G861">
        <v>12.27</v>
      </c>
      <c r="H861">
        <v>9.5500000000000007</v>
      </c>
      <c r="I861">
        <v>122.59</v>
      </c>
      <c r="J861">
        <v>7</v>
      </c>
      <c r="K861" t="s">
        <v>16</v>
      </c>
      <c r="L861" t="str">
        <f t="shared" si="334"/>
        <v>INVALID</v>
      </c>
    </row>
    <row r="862" spans="1:16" x14ac:dyDescent="0.25">
      <c r="A862">
        <v>1200</v>
      </c>
      <c r="B862">
        <v>33.47</v>
      </c>
      <c r="C862" t="s">
        <v>19</v>
      </c>
      <c r="D862" t="s">
        <v>12</v>
      </c>
      <c r="E862" s="3">
        <v>600</v>
      </c>
      <c r="F862">
        <v>32.200000000000003</v>
      </c>
      <c r="G862">
        <v>1.96</v>
      </c>
      <c r="H862">
        <v>4.88</v>
      </c>
      <c r="I862">
        <v>14.58</v>
      </c>
      <c r="J862">
        <v>2</v>
      </c>
      <c r="K862" t="s">
        <v>13</v>
      </c>
      <c r="L862" t="str">
        <f t="shared" si="334"/>
        <v>VALID</v>
      </c>
      <c r="M862">
        <f t="shared" ref="M862:M873" si="348">IF(J862&gt;0,H862/J862," ")</f>
        <v>2.44</v>
      </c>
      <c r="N862" t="str">
        <f t="shared" ref="N862:N873" si="349">IF(ISNUMBER(E862),IF(E862&lt;1000,"Low",IF(E862&lt;3000,"Medium","High")),"Unknown")</f>
        <v>Low</v>
      </c>
      <c r="O862">
        <f t="shared" ref="O862:O873" si="350">(G862+I862)/2</f>
        <v>8.27</v>
      </c>
      <c r="P862" t="str">
        <f t="shared" ref="P862:P873" si="351">IF(O862&lt;30,"Low",IF(O862&lt;60,"Medium","High"))</f>
        <v>Low</v>
      </c>
    </row>
    <row r="863" spans="1:16" x14ac:dyDescent="0.25">
      <c r="A863">
        <v>150</v>
      </c>
      <c r="B863">
        <v>5.79</v>
      </c>
      <c r="C863" t="s">
        <v>21</v>
      </c>
      <c r="D863" t="s">
        <v>17</v>
      </c>
      <c r="E863" s="3">
        <v>150</v>
      </c>
      <c r="F863">
        <v>-1.8</v>
      </c>
      <c r="G863">
        <v>12.67</v>
      </c>
      <c r="H863">
        <v>2.89</v>
      </c>
      <c r="I863">
        <v>49.91</v>
      </c>
      <c r="J863">
        <v>16</v>
      </c>
      <c r="K863" t="s">
        <v>13</v>
      </c>
      <c r="L863" t="str">
        <f t="shared" si="334"/>
        <v>VALID</v>
      </c>
      <c r="M863">
        <f t="shared" si="348"/>
        <v>0.18062500000000001</v>
      </c>
      <c r="N863" t="str">
        <f t="shared" si="349"/>
        <v>Low</v>
      </c>
      <c r="O863">
        <f t="shared" si="350"/>
        <v>31.29</v>
      </c>
      <c r="P863" t="str">
        <f t="shared" si="351"/>
        <v>Medium</v>
      </c>
    </row>
    <row r="864" spans="1:16" x14ac:dyDescent="0.25">
      <c r="A864">
        <v>200</v>
      </c>
      <c r="B864">
        <v>7.88</v>
      </c>
      <c r="C864" t="s">
        <v>14</v>
      </c>
      <c r="D864" t="s">
        <v>12</v>
      </c>
      <c r="E864" s="3">
        <v>150</v>
      </c>
      <c r="F864">
        <v>-44.1</v>
      </c>
      <c r="G864">
        <v>4.0999999999999996</v>
      </c>
      <c r="H864">
        <v>0.69</v>
      </c>
      <c r="I864">
        <v>8.76</v>
      </c>
      <c r="J864">
        <v>17</v>
      </c>
      <c r="K864" t="s">
        <v>23</v>
      </c>
      <c r="L864" t="str">
        <f t="shared" si="334"/>
        <v>VALID</v>
      </c>
      <c r="M864">
        <f t="shared" si="348"/>
        <v>4.0588235294117647E-2</v>
      </c>
      <c r="N864" t="str">
        <f t="shared" si="349"/>
        <v>Low</v>
      </c>
      <c r="O864">
        <f t="shared" si="350"/>
        <v>6.43</v>
      </c>
      <c r="P864" t="str">
        <f t="shared" si="351"/>
        <v>Low</v>
      </c>
    </row>
    <row r="865" spans="1:16" x14ac:dyDescent="0.25">
      <c r="A865">
        <v>500</v>
      </c>
      <c r="B865">
        <v>23.77</v>
      </c>
      <c r="C865" t="s">
        <v>21</v>
      </c>
      <c r="D865" t="s">
        <v>20</v>
      </c>
      <c r="E865" s="3">
        <v>1500</v>
      </c>
      <c r="F865">
        <v>27.2</v>
      </c>
      <c r="G865">
        <v>16.059999999999999</v>
      </c>
      <c r="H865">
        <v>3.02</v>
      </c>
      <c r="I865">
        <v>12.71</v>
      </c>
      <c r="J865">
        <v>20</v>
      </c>
      <c r="K865" t="s">
        <v>13</v>
      </c>
      <c r="L865" t="str">
        <f t="shared" si="334"/>
        <v>VALID</v>
      </c>
      <c r="M865">
        <f t="shared" si="348"/>
        <v>0.151</v>
      </c>
      <c r="N865" t="str">
        <f t="shared" si="349"/>
        <v>Medium</v>
      </c>
      <c r="O865">
        <f t="shared" si="350"/>
        <v>14.385</v>
      </c>
      <c r="P865" t="str">
        <f t="shared" si="351"/>
        <v>Low</v>
      </c>
    </row>
    <row r="866" spans="1:16" x14ac:dyDescent="0.25">
      <c r="A866">
        <v>50</v>
      </c>
      <c r="B866">
        <v>4.47</v>
      </c>
      <c r="C866" t="s">
        <v>21</v>
      </c>
      <c r="D866" t="s">
        <v>12</v>
      </c>
      <c r="E866" s="3">
        <v>1500</v>
      </c>
      <c r="F866">
        <v>-48.4</v>
      </c>
      <c r="G866">
        <v>12.34</v>
      </c>
      <c r="H866">
        <v>0.96</v>
      </c>
      <c r="I866">
        <v>21.48</v>
      </c>
      <c r="J866">
        <v>20</v>
      </c>
      <c r="K866" t="s">
        <v>23</v>
      </c>
      <c r="L866" t="str">
        <f t="shared" si="334"/>
        <v>VALID</v>
      </c>
      <c r="M866">
        <f t="shared" si="348"/>
        <v>4.8000000000000001E-2</v>
      </c>
      <c r="N866" t="str">
        <f t="shared" si="349"/>
        <v>Medium</v>
      </c>
      <c r="O866">
        <f t="shared" si="350"/>
        <v>16.91</v>
      </c>
      <c r="P866" t="str">
        <f t="shared" si="351"/>
        <v>Low</v>
      </c>
    </row>
    <row r="867" spans="1:16" x14ac:dyDescent="0.25">
      <c r="A867">
        <v>1000</v>
      </c>
      <c r="B867">
        <v>22.01</v>
      </c>
      <c r="C867" t="s">
        <v>11</v>
      </c>
      <c r="D867" t="s">
        <v>12</v>
      </c>
      <c r="E867" s="3">
        <v>900</v>
      </c>
      <c r="F867">
        <v>9</v>
      </c>
      <c r="G867">
        <v>1.63</v>
      </c>
      <c r="H867">
        <v>1.29</v>
      </c>
      <c r="I867">
        <v>5.86</v>
      </c>
      <c r="J867">
        <v>14</v>
      </c>
      <c r="K867" t="s">
        <v>23</v>
      </c>
      <c r="L867" t="str">
        <f t="shared" si="334"/>
        <v>VALID</v>
      </c>
      <c r="M867">
        <f t="shared" si="348"/>
        <v>9.2142857142857151E-2</v>
      </c>
      <c r="N867" t="str">
        <f t="shared" si="349"/>
        <v>Low</v>
      </c>
      <c r="O867">
        <f t="shared" si="350"/>
        <v>3.7450000000000001</v>
      </c>
      <c r="P867" t="str">
        <f t="shared" si="351"/>
        <v>Low</v>
      </c>
    </row>
    <row r="868" spans="1:16" x14ac:dyDescent="0.25">
      <c r="A868">
        <v>1000</v>
      </c>
      <c r="B868">
        <v>31.87</v>
      </c>
      <c r="C868" t="s">
        <v>14</v>
      </c>
      <c r="D868" t="s">
        <v>15</v>
      </c>
      <c r="E868" s="3">
        <v>1500</v>
      </c>
      <c r="F868">
        <v>68.599999999999994</v>
      </c>
      <c r="G868">
        <v>11.36</v>
      </c>
      <c r="H868">
        <v>7.71</v>
      </c>
      <c r="I868">
        <v>24.19</v>
      </c>
      <c r="J868">
        <v>20</v>
      </c>
      <c r="K868" t="s">
        <v>16</v>
      </c>
      <c r="L868" t="str">
        <f t="shared" si="334"/>
        <v>VALID</v>
      </c>
      <c r="M868">
        <f t="shared" si="348"/>
        <v>0.38550000000000001</v>
      </c>
      <c r="N868" t="str">
        <f t="shared" si="349"/>
        <v>Medium</v>
      </c>
      <c r="O868">
        <f t="shared" si="350"/>
        <v>17.774999999999999</v>
      </c>
      <c r="P868" t="str">
        <f t="shared" si="351"/>
        <v>Low</v>
      </c>
    </row>
    <row r="869" spans="1:16" x14ac:dyDescent="0.25">
      <c r="A869">
        <v>1200</v>
      </c>
      <c r="B869">
        <v>22.36</v>
      </c>
      <c r="C869" t="s">
        <v>14</v>
      </c>
      <c r="D869" t="s">
        <v>17</v>
      </c>
      <c r="E869" s="3">
        <v>600</v>
      </c>
      <c r="F869">
        <v>-1.7</v>
      </c>
      <c r="G869">
        <v>14.85</v>
      </c>
      <c r="H869">
        <v>0.6</v>
      </c>
      <c r="I869">
        <v>2.68</v>
      </c>
      <c r="J869">
        <v>22</v>
      </c>
      <c r="K869" t="s">
        <v>23</v>
      </c>
      <c r="L869" t="str">
        <f t="shared" si="334"/>
        <v>VALID</v>
      </c>
      <c r="M869">
        <f t="shared" si="348"/>
        <v>2.7272727272727271E-2</v>
      </c>
      <c r="N869" t="str">
        <f t="shared" si="349"/>
        <v>Low</v>
      </c>
      <c r="O869">
        <f t="shared" si="350"/>
        <v>8.7650000000000006</v>
      </c>
      <c r="P869" t="str">
        <f t="shared" si="351"/>
        <v>Low</v>
      </c>
    </row>
    <row r="870" spans="1:16" x14ac:dyDescent="0.25">
      <c r="A870">
        <v>1500</v>
      </c>
      <c r="B870">
        <v>27.94</v>
      </c>
      <c r="C870" t="s">
        <v>22</v>
      </c>
      <c r="D870" t="s">
        <v>12</v>
      </c>
      <c r="E870" s="3">
        <v>2500</v>
      </c>
      <c r="F870">
        <v>12.6</v>
      </c>
      <c r="G870">
        <v>8.0399999999999991</v>
      </c>
      <c r="H870">
        <v>5.84</v>
      </c>
      <c r="I870">
        <v>20.9</v>
      </c>
      <c r="J870">
        <v>8</v>
      </c>
      <c r="K870" t="s">
        <v>16</v>
      </c>
      <c r="L870" t="str">
        <f t="shared" si="334"/>
        <v>VALID</v>
      </c>
      <c r="M870">
        <f t="shared" si="348"/>
        <v>0.73</v>
      </c>
      <c r="N870" t="str">
        <f t="shared" si="349"/>
        <v>Medium</v>
      </c>
      <c r="O870">
        <f t="shared" si="350"/>
        <v>14.469999999999999</v>
      </c>
      <c r="P870" t="str">
        <f t="shared" si="351"/>
        <v>Low</v>
      </c>
    </row>
    <row r="871" spans="1:16" x14ac:dyDescent="0.25">
      <c r="A871">
        <v>500</v>
      </c>
      <c r="B871">
        <v>12.94</v>
      </c>
      <c r="C871" t="s">
        <v>11</v>
      </c>
      <c r="D871" t="s">
        <v>18</v>
      </c>
      <c r="E871" s="3">
        <v>900</v>
      </c>
      <c r="F871">
        <v>92.1</v>
      </c>
      <c r="G871">
        <v>14.83</v>
      </c>
      <c r="H871">
        <v>4.63</v>
      </c>
      <c r="I871">
        <v>35.78</v>
      </c>
      <c r="J871">
        <v>6</v>
      </c>
      <c r="K871" t="s">
        <v>13</v>
      </c>
      <c r="L871" t="str">
        <f t="shared" si="334"/>
        <v>VALID</v>
      </c>
      <c r="M871">
        <f t="shared" si="348"/>
        <v>0.77166666666666661</v>
      </c>
      <c r="N871" t="str">
        <f t="shared" si="349"/>
        <v>Low</v>
      </c>
      <c r="O871">
        <f t="shared" si="350"/>
        <v>25.305</v>
      </c>
      <c r="P871" t="str">
        <f t="shared" si="351"/>
        <v>Low</v>
      </c>
    </row>
    <row r="872" spans="1:16" x14ac:dyDescent="0.25">
      <c r="A872">
        <v>1200</v>
      </c>
      <c r="B872">
        <v>26.41</v>
      </c>
      <c r="C872" t="s">
        <v>21</v>
      </c>
      <c r="D872" t="s">
        <v>15</v>
      </c>
      <c r="E872" s="3">
        <v>2500</v>
      </c>
      <c r="F872">
        <v>-45.4</v>
      </c>
      <c r="G872">
        <v>4.07</v>
      </c>
      <c r="H872">
        <v>4.3</v>
      </c>
      <c r="I872">
        <v>16.28</v>
      </c>
      <c r="J872">
        <v>16</v>
      </c>
      <c r="K872" t="s">
        <v>13</v>
      </c>
      <c r="L872" t="str">
        <f t="shared" si="334"/>
        <v>VALID</v>
      </c>
      <c r="M872">
        <f t="shared" si="348"/>
        <v>0.26874999999999999</v>
      </c>
      <c r="N872" t="str">
        <f t="shared" si="349"/>
        <v>Medium</v>
      </c>
      <c r="O872">
        <f t="shared" si="350"/>
        <v>10.175000000000001</v>
      </c>
      <c r="P872" t="str">
        <f t="shared" si="351"/>
        <v>Low</v>
      </c>
    </row>
    <row r="873" spans="1:16" x14ac:dyDescent="0.25">
      <c r="A873">
        <v>1200</v>
      </c>
      <c r="B873">
        <v>29.7</v>
      </c>
      <c r="C873" t="s">
        <v>14</v>
      </c>
      <c r="D873" t="s">
        <v>20</v>
      </c>
      <c r="E873" s="3">
        <v>2500</v>
      </c>
      <c r="F873">
        <v>88.7</v>
      </c>
      <c r="G873">
        <v>4.04</v>
      </c>
      <c r="H873">
        <v>8.81</v>
      </c>
      <c r="I873">
        <v>29.66</v>
      </c>
      <c r="J873">
        <v>20</v>
      </c>
      <c r="K873" t="s">
        <v>16</v>
      </c>
      <c r="L873" t="str">
        <f t="shared" si="334"/>
        <v>VALID</v>
      </c>
      <c r="M873">
        <f t="shared" si="348"/>
        <v>0.4405</v>
      </c>
      <c r="N873" t="str">
        <f t="shared" si="349"/>
        <v>Medium</v>
      </c>
      <c r="O873">
        <f t="shared" si="350"/>
        <v>16.850000000000001</v>
      </c>
      <c r="P873" t="str">
        <f t="shared" si="351"/>
        <v>Low</v>
      </c>
    </row>
    <row r="874" spans="1:16" hidden="1" x14ac:dyDescent="0.25">
      <c r="A874">
        <v>50</v>
      </c>
      <c r="B874">
        <v>4.74</v>
      </c>
      <c r="C874" t="s">
        <v>19</v>
      </c>
      <c r="D874" t="s">
        <v>12</v>
      </c>
      <c r="E874">
        <v>2500</v>
      </c>
      <c r="F874">
        <v>76.400000000000006</v>
      </c>
      <c r="G874">
        <v>8.8800000000000008</v>
      </c>
      <c r="H874">
        <v>9.94</v>
      </c>
      <c r="I874">
        <v>209.7</v>
      </c>
      <c r="J874">
        <v>23</v>
      </c>
      <c r="K874" t="s">
        <v>16</v>
      </c>
      <c r="L874" t="str">
        <f t="shared" si="334"/>
        <v>INVALID</v>
      </c>
    </row>
    <row r="875" spans="1:16" x14ac:dyDescent="0.25">
      <c r="A875">
        <v>200</v>
      </c>
      <c r="B875">
        <v>10.82</v>
      </c>
      <c r="C875" t="s">
        <v>19</v>
      </c>
      <c r="D875" t="s">
        <v>20</v>
      </c>
      <c r="E875" s="3">
        <v>300</v>
      </c>
      <c r="F875">
        <v>47</v>
      </c>
      <c r="G875">
        <v>10.63</v>
      </c>
      <c r="H875">
        <v>0.19</v>
      </c>
      <c r="I875">
        <v>1.76</v>
      </c>
      <c r="J875">
        <v>3</v>
      </c>
      <c r="K875" t="s">
        <v>23</v>
      </c>
      <c r="L875" t="str">
        <f t="shared" si="334"/>
        <v>VALID</v>
      </c>
      <c r="M875">
        <f t="shared" ref="M875:M884" si="352">IF(J875&gt;0,H875/J875," ")</f>
        <v>6.3333333333333339E-2</v>
      </c>
      <c r="N875" t="str">
        <f t="shared" ref="N875:N884" si="353">IF(ISNUMBER(E875),IF(E875&lt;1000,"Low",IF(E875&lt;3000,"Medium","High")),"Unknown")</f>
        <v>Low</v>
      </c>
      <c r="O875">
        <f t="shared" ref="O875:O884" si="354">(G875+I875)/2</f>
        <v>6.1950000000000003</v>
      </c>
      <c r="P875" t="str">
        <f t="shared" ref="P875:P884" si="355">IF(O875&lt;30,"Low",IF(O875&lt;60,"Medium","High"))</f>
        <v>Low</v>
      </c>
    </row>
    <row r="876" spans="1:16" x14ac:dyDescent="0.25">
      <c r="A876">
        <v>600</v>
      </c>
      <c r="B876">
        <v>27.32</v>
      </c>
      <c r="C876" t="s">
        <v>19</v>
      </c>
      <c r="D876" t="s">
        <v>17</v>
      </c>
      <c r="E876" s="3">
        <v>600</v>
      </c>
      <c r="F876">
        <v>51.3</v>
      </c>
      <c r="G876">
        <v>12.75</v>
      </c>
      <c r="H876">
        <v>0.2</v>
      </c>
      <c r="I876">
        <v>0.73</v>
      </c>
      <c r="J876">
        <v>8</v>
      </c>
      <c r="K876" t="s">
        <v>23</v>
      </c>
      <c r="L876" t="str">
        <f t="shared" si="334"/>
        <v>VALID</v>
      </c>
      <c r="M876">
        <f t="shared" si="352"/>
        <v>2.5000000000000001E-2</v>
      </c>
      <c r="N876" t="str">
        <f t="shared" si="353"/>
        <v>Low</v>
      </c>
      <c r="O876">
        <f t="shared" si="354"/>
        <v>6.74</v>
      </c>
      <c r="P876" t="str">
        <f t="shared" si="355"/>
        <v>Low</v>
      </c>
    </row>
    <row r="877" spans="1:16" x14ac:dyDescent="0.25">
      <c r="A877">
        <v>500</v>
      </c>
      <c r="B877">
        <v>18.36</v>
      </c>
      <c r="C877" t="s">
        <v>11</v>
      </c>
      <c r="D877" t="s">
        <v>18</v>
      </c>
      <c r="E877" s="3">
        <v>150</v>
      </c>
      <c r="F877">
        <v>44.2</v>
      </c>
      <c r="G877">
        <v>2.63</v>
      </c>
      <c r="H877">
        <v>1.32</v>
      </c>
      <c r="I877">
        <v>7.19</v>
      </c>
      <c r="J877">
        <v>20</v>
      </c>
      <c r="K877" t="s">
        <v>23</v>
      </c>
      <c r="L877" t="str">
        <f t="shared" si="334"/>
        <v>VALID</v>
      </c>
      <c r="M877">
        <f t="shared" si="352"/>
        <v>6.6000000000000003E-2</v>
      </c>
      <c r="N877" t="str">
        <f t="shared" si="353"/>
        <v>Low</v>
      </c>
      <c r="O877">
        <f t="shared" si="354"/>
        <v>4.91</v>
      </c>
      <c r="P877" t="str">
        <f t="shared" si="355"/>
        <v>Low</v>
      </c>
    </row>
    <row r="878" spans="1:16" x14ac:dyDescent="0.25">
      <c r="A878">
        <v>250</v>
      </c>
      <c r="B878">
        <v>11.54</v>
      </c>
      <c r="C878" t="s">
        <v>19</v>
      </c>
      <c r="D878" t="s">
        <v>15</v>
      </c>
      <c r="E878" s="3">
        <v>1500</v>
      </c>
      <c r="F878">
        <v>110.5</v>
      </c>
      <c r="G878">
        <v>2.58</v>
      </c>
      <c r="H878">
        <v>5.89</v>
      </c>
      <c r="I878">
        <v>51.04</v>
      </c>
      <c r="J878">
        <v>1</v>
      </c>
      <c r="K878" t="s">
        <v>16</v>
      </c>
      <c r="L878" t="str">
        <f t="shared" si="334"/>
        <v>VALID</v>
      </c>
      <c r="M878">
        <f t="shared" si="352"/>
        <v>5.89</v>
      </c>
      <c r="N878" t="str">
        <f t="shared" si="353"/>
        <v>Medium</v>
      </c>
      <c r="O878">
        <f t="shared" si="354"/>
        <v>26.81</v>
      </c>
      <c r="P878" t="str">
        <f t="shared" si="355"/>
        <v>Low</v>
      </c>
    </row>
    <row r="879" spans="1:16" x14ac:dyDescent="0.25">
      <c r="A879">
        <v>150</v>
      </c>
      <c r="B879">
        <v>8.32</v>
      </c>
      <c r="C879" t="s">
        <v>19</v>
      </c>
      <c r="D879" t="s">
        <v>12</v>
      </c>
      <c r="E879" s="3">
        <v>900</v>
      </c>
      <c r="F879">
        <v>73.5</v>
      </c>
      <c r="G879">
        <v>15.64</v>
      </c>
      <c r="H879">
        <v>3.38</v>
      </c>
      <c r="I879">
        <v>40.619999999999997</v>
      </c>
      <c r="J879">
        <v>10</v>
      </c>
      <c r="K879" t="s">
        <v>13</v>
      </c>
      <c r="L879" t="str">
        <f t="shared" si="334"/>
        <v>VALID</v>
      </c>
      <c r="M879">
        <f t="shared" si="352"/>
        <v>0.33799999999999997</v>
      </c>
      <c r="N879" t="str">
        <f t="shared" si="353"/>
        <v>Low</v>
      </c>
      <c r="O879">
        <f t="shared" si="354"/>
        <v>28.13</v>
      </c>
      <c r="P879" t="str">
        <f t="shared" si="355"/>
        <v>Low</v>
      </c>
    </row>
    <row r="880" spans="1:16" x14ac:dyDescent="0.25">
      <c r="A880">
        <v>100</v>
      </c>
      <c r="B880">
        <v>6.31</v>
      </c>
      <c r="C880" t="s">
        <v>14</v>
      </c>
      <c r="D880" t="s">
        <v>12</v>
      </c>
      <c r="E880" s="3">
        <v>2500</v>
      </c>
      <c r="F880">
        <v>29.2</v>
      </c>
      <c r="G880">
        <v>3.95</v>
      </c>
      <c r="H880">
        <v>0.65</v>
      </c>
      <c r="I880">
        <v>10.3</v>
      </c>
      <c r="J880">
        <v>10</v>
      </c>
      <c r="K880" t="s">
        <v>23</v>
      </c>
      <c r="L880" t="str">
        <f t="shared" si="334"/>
        <v>VALID</v>
      </c>
      <c r="M880">
        <f t="shared" si="352"/>
        <v>6.5000000000000002E-2</v>
      </c>
      <c r="N880" t="str">
        <f t="shared" si="353"/>
        <v>Medium</v>
      </c>
      <c r="O880">
        <f t="shared" si="354"/>
        <v>7.125</v>
      </c>
      <c r="P880" t="str">
        <f t="shared" si="355"/>
        <v>Low</v>
      </c>
    </row>
    <row r="881" spans="1:16" x14ac:dyDescent="0.25">
      <c r="A881">
        <v>300</v>
      </c>
      <c r="B881">
        <v>8.56</v>
      </c>
      <c r="C881" t="s">
        <v>21</v>
      </c>
      <c r="D881" t="s">
        <v>17</v>
      </c>
      <c r="E881" s="3">
        <v>150</v>
      </c>
      <c r="F881">
        <v>114.4</v>
      </c>
      <c r="G881">
        <v>6.52</v>
      </c>
      <c r="H881">
        <v>4.8499999999999996</v>
      </c>
      <c r="I881">
        <v>56.66</v>
      </c>
      <c r="J881">
        <v>13</v>
      </c>
      <c r="K881" t="s">
        <v>13</v>
      </c>
      <c r="L881" t="str">
        <f t="shared" si="334"/>
        <v>VALID</v>
      </c>
      <c r="M881">
        <f t="shared" si="352"/>
        <v>0.37307692307692303</v>
      </c>
      <c r="N881" t="str">
        <f t="shared" si="353"/>
        <v>Low</v>
      </c>
      <c r="O881">
        <f t="shared" si="354"/>
        <v>31.589999999999996</v>
      </c>
      <c r="P881" t="str">
        <f t="shared" si="355"/>
        <v>Medium</v>
      </c>
    </row>
    <row r="882" spans="1:16" x14ac:dyDescent="0.25">
      <c r="A882">
        <v>50</v>
      </c>
      <c r="B882">
        <v>4.45</v>
      </c>
      <c r="C882" t="s">
        <v>14</v>
      </c>
      <c r="D882" t="s">
        <v>18</v>
      </c>
      <c r="E882" s="3">
        <v>1500</v>
      </c>
      <c r="F882">
        <v>55.6</v>
      </c>
      <c r="G882">
        <v>3.31</v>
      </c>
      <c r="H882">
        <v>1.91</v>
      </c>
      <c r="I882">
        <v>42.92</v>
      </c>
      <c r="J882">
        <v>5</v>
      </c>
      <c r="K882" t="s">
        <v>23</v>
      </c>
      <c r="L882" t="str">
        <f t="shared" si="334"/>
        <v>VALID</v>
      </c>
      <c r="M882">
        <f t="shared" si="352"/>
        <v>0.38200000000000001</v>
      </c>
      <c r="N882" t="str">
        <f t="shared" si="353"/>
        <v>Medium</v>
      </c>
      <c r="O882">
        <f t="shared" si="354"/>
        <v>23.115000000000002</v>
      </c>
      <c r="P882" t="str">
        <f t="shared" si="355"/>
        <v>Low</v>
      </c>
    </row>
    <row r="883" spans="1:16" x14ac:dyDescent="0.25">
      <c r="A883">
        <v>100</v>
      </c>
      <c r="B883">
        <v>6.43</v>
      </c>
      <c r="C883" t="s">
        <v>22</v>
      </c>
      <c r="D883" t="s">
        <v>17</v>
      </c>
      <c r="E883" s="3">
        <v>2500</v>
      </c>
      <c r="F883">
        <v>38.5</v>
      </c>
      <c r="G883">
        <v>4.9000000000000004</v>
      </c>
      <c r="H883">
        <v>4.8600000000000003</v>
      </c>
      <c r="I883">
        <v>75.58</v>
      </c>
      <c r="J883">
        <v>13</v>
      </c>
      <c r="K883" t="s">
        <v>13</v>
      </c>
      <c r="L883" t="str">
        <f t="shared" si="334"/>
        <v>VALID</v>
      </c>
      <c r="M883">
        <f t="shared" si="352"/>
        <v>0.37384615384615388</v>
      </c>
      <c r="N883" t="str">
        <f t="shared" si="353"/>
        <v>Medium</v>
      </c>
      <c r="O883">
        <f t="shared" si="354"/>
        <v>40.24</v>
      </c>
      <c r="P883" t="str">
        <f t="shared" si="355"/>
        <v>Medium</v>
      </c>
    </row>
    <row r="884" spans="1:16" x14ac:dyDescent="0.25">
      <c r="A884">
        <v>100</v>
      </c>
      <c r="B884">
        <v>4.3099999999999996</v>
      </c>
      <c r="C884" t="s">
        <v>22</v>
      </c>
      <c r="D884" t="s">
        <v>18</v>
      </c>
      <c r="E884" s="3">
        <v>150</v>
      </c>
      <c r="F884">
        <v>41.2</v>
      </c>
      <c r="G884">
        <v>9.5</v>
      </c>
      <c r="H884">
        <v>3.69</v>
      </c>
      <c r="I884">
        <v>85.61</v>
      </c>
      <c r="J884">
        <v>18</v>
      </c>
      <c r="K884" t="s">
        <v>13</v>
      </c>
      <c r="L884" t="str">
        <f t="shared" si="334"/>
        <v>VALID</v>
      </c>
      <c r="M884">
        <f t="shared" si="352"/>
        <v>0.20499999999999999</v>
      </c>
      <c r="N884" t="str">
        <f t="shared" si="353"/>
        <v>Low</v>
      </c>
      <c r="O884">
        <f t="shared" si="354"/>
        <v>47.555</v>
      </c>
      <c r="P884" t="str">
        <f t="shared" si="355"/>
        <v>Medium</v>
      </c>
    </row>
    <row r="885" spans="1:16" hidden="1" x14ac:dyDescent="0.25">
      <c r="A885">
        <v>300</v>
      </c>
      <c r="B885">
        <v>7.25</v>
      </c>
      <c r="C885" t="s">
        <v>19</v>
      </c>
      <c r="D885" t="s">
        <v>20</v>
      </c>
      <c r="E885">
        <v>150</v>
      </c>
      <c r="F885">
        <v>37.1</v>
      </c>
      <c r="G885">
        <v>2.62</v>
      </c>
      <c r="H885">
        <v>7.58</v>
      </c>
      <c r="I885">
        <v>104.55</v>
      </c>
      <c r="J885">
        <v>18</v>
      </c>
      <c r="K885" t="s">
        <v>16</v>
      </c>
      <c r="L885" t="str">
        <f t="shared" si="334"/>
        <v>INVALID</v>
      </c>
    </row>
    <row r="886" spans="1:16" x14ac:dyDescent="0.25">
      <c r="A886">
        <v>200</v>
      </c>
      <c r="B886">
        <v>9.94</v>
      </c>
      <c r="C886" t="s">
        <v>11</v>
      </c>
      <c r="D886" t="s">
        <v>12</v>
      </c>
      <c r="E886" s="3">
        <v>900</v>
      </c>
      <c r="F886">
        <v>45.4</v>
      </c>
      <c r="G886">
        <v>3.75</v>
      </c>
      <c r="H886">
        <v>1.49</v>
      </c>
      <c r="I886">
        <v>14.99</v>
      </c>
      <c r="J886">
        <v>4</v>
      </c>
      <c r="K886" t="s">
        <v>23</v>
      </c>
      <c r="L886" t="str">
        <f t="shared" si="334"/>
        <v>VALID</v>
      </c>
      <c r="M886">
        <f t="shared" ref="M886:M906" si="356">IF(J886&gt;0,H886/J886," ")</f>
        <v>0.3725</v>
      </c>
      <c r="N886" t="str">
        <f t="shared" ref="N886:N906" si="357">IF(ISNUMBER(E886),IF(E886&lt;1000,"Low",IF(E886&lt;3000,"Medium","High")),"Unknown")</f>
        <v>Low</v>
      </c>
      <c r="O886">
        <f t="shared" ref="O886:O906" si="358">(G886+I886)/2</f>
        <v>9.370000000000001</v>
      </c>
      <c r="P886" t="str">
        <f t="shared" ref="P886:P906" si="359">IF(O886&lt;30,"Low",IF(O886&lt;60,"Medium","High"))</f>
        <v>Low</v>
      </c>
    </row>
    <row r="887" spans="1:16" x14ac:dyDescent="0.25">
      <c r="A887">
        <v>150</v>
      </c>
      <c r="B887">
        <v>7.81</v>
      </c>
      <c r="C887" t="s">
        <v>19</v>
      </c>
      <c r="D887" t="s">
        <v>15</v>
      </c>
      <c r="E887" s="3">
        <v>300</v>
      </c>
      <c r="F887">
        <v>67.2</v>
      </c>
      <c r="G887">
        <v>4.1500000000000004</v>
      </c>
      <c r="H887">
        <v>1.66</v>
      </c>
      <c r="I887">
        <v>21.25</v>
      </c>
      <c r="J887">
        <v>9</v>
      </c>
      <c r="K887" t="s">
        <v>23</v>
      </c>
      <c r="L887" t="str">
        <f t="shared" si="334"/>
        <v>VALID</v>
      </c>
      <c r="M887">
        <f t="shared" si="356"/>
        <v>0.18444444444444444</v>
      </c>
      <c r="N887" t="str">
        <f t="shared" si="357"/>
        <v>Low</v>
      </c>
      <c r="O887">
        <f t="shared" si="358"/>
        <v>12.7</v>
      </c>
      <c r="P887" t="str">
        <f t="shared" si="359"/>
        <v>Low</v>
      </c>
    </row>
    <row r="888" spans="1:16" x14ac:dyDescent="0.25">
      <c r="A888">
        <v>1000</v>
      </c>
      <c r="B888">
        <v>15.99</v>
      </c>
      <c r="C888" t="s">
        <v>11</v>
      </c>
      <c r="D888" t="s">
        <v>15</v>
      </c>
      <c r="E888" s="3">
        <v>900</v>
      </c>
      <c r="F888">
        <v>78.099999999999994</v>
      </c>
      <c r="G888">
        <v>9.93</v>
      </c>
      <c r="H888">
        <v>8.75</v>
      </c>
      <c r="I888">
        <v>54.72</v>
      </c>
      <c r="J888">
        <v>24</v>
      </c>
      <c r="K888" t="s">
        <v>16</v>
      </c>
      <c r="L888" t="str">
        <f t="shared" si="334"/>
        <v>VALID</v>
      </c>
      <c r="M888">
        <f t="shared" si="356"/>
        <v>0.36458333333333331</v>
      </c>
      <c r="N888" t="str">
        <f t="shared" si="357"/>
        <v>Low</v>
      </c>
      <c r="O888">
        <f t="shared" si="358"/>
        <v>32.325000000000003</v>
      </c>
      <c r="P888" t="str">
        <f t="shared" si="359"/>
        <v>Medium</v>
      </c>
    </row>
    <row r="889" spans="1:16" x14ac:dyDescent="0.25">
      <c r="A889">
        <v>1200</v>
      </c>
      <c r="B889">
        <v>22.08</v>
      </c>
      <c r="C889" t="s">
        <v>14</v>
      </c>
      <c r="D889" t="s">
        <v>17</v>
      </c>
      <c r="E889" s="3">
        <v>1500</v>
      </c>
      <c r="F889">
        <v>6.1</v>
      </c>
      <c r="G889">
        <v>3.22</v>
      </c>
      <c r="H889">
        <v>7.37</v>
      </c>
      <c r="I889">
        <v>33.380000000000003</v>
      </c>
      <c r="J889">
        <v>17</v>
      </c>
      <c r="K889" t="s">
        <v>16</v>
      </c>
      <c r="L889" t="str">
        <f t="shared" si="334"/>
        <v>VALID</v>
      </c>
      <c r="M889">
        <f t="shared" si="356"/>
        <v>0.43352941176470589</v>
      </c>
      <c r="N889" t="str">
        <f t="shared" si="357"/>
        <v>Medium</v>
      </c>
      <c r="O889">
        <f t="shared" si="358"/>
        <v>18.3</v>
      </c>
      <c r="P889" t="str">
        <f t="shared" si="359"/>
        <v>Low</v>
      </c>
    </row>
    <row r="890" spans="1:16" x14ac:dyDescent="0.25">
      <c r="A890">
        <v>1200</v>
      </c>
      <c r="B890">
        <v>34.78</v>
      </c>
      <c r="C890" t="s">
        <v>11</v>
      </c>
      <c r="D890" t="s">
        <v>20</v>
      </c>
      <c r="E890" s="3">
        <v>1500</v>
      </c>
      <c r="F890">
        <v>29.1</v>
      </c>
      <c r="G890">
        <v>5.05</v>
      </c>
      <c r="H890">
        <v>6.33</v>
      </c>
      <c r="I890">
        <v>18.2</v>
      </c>
      <c r="J890">
        <v>5</v>
      </c>
      <c r="K890" t="s">
        <v>16</v>
      </c>
      <c r="L890" t="str">
        <f t="shared" si="334"/>
        <v>VALID</v>
      </c>
      <c r="M890">
        <f t="shared" si="356"/>
        <v>1.266</v>
      </c>
      <c r="N890" t="str">
        <f t="shared" si="357"/>
        <v>Medium</v>
      </c>
      <c r="O890">
        <f t="shared" si="358"/>
        <v>11.625</v>
      </c>
      <c r="P890" t="str">
        <f t="shared" si="359"/>
        <v>Low</v>
      </c>
    </row>
    <row r="891" spans="1:16" x14ac:dyDescent="0.25">
      <c r="A891">
        <v>600</v>
      </c>
      <c r="B891">
        <v>16.989999999999998</v>
      </c>
      <c r="C891" t="s">
        <v>21</v>
      </c>
      <c r="D891" t="s">
        <v>17</v>
      </c>
      <c r="E891" s="3">
        <v>300</v>
      </c>
      <c r="F891">
        <v>15.1</v>
      </c>
      <c r="G891">
        <v>8.26</v>
      </c>
      <c r="H891">
        <v>8.26</v>
      </c>
      <c r="I891">
        <v>48.62</v>
      </c>
      <c r="J891">
        <v>8</v>
      </c>
      <c r="K891" t="s">
        <v>16</v>
      </c>
      <c r="L891" t="str">
        <f t="shared" si="334"/>
        <v>VALID</v>
      </c>
      <c r="M891">
        <f t="shared" si="356"/>
        <v>1.0325</v>
      </c>
      <c r="N891" t="str">
        <f t="shared" si="357"/>
        <v>Low</v>
      </c>
      <c r="O891">
        <f t="shared" si="358"/>
        <v>28.439999999999998</v>
      </c>
      <c r="P891" t="str">
        <f t="shared" si="359"/>
        <v>Low</v>
      </c>
    </row>
    <row r="892" spans="1:16" x14ac:dyDescent="0.25">
      <c r="A892">
        <v>250</v>
      </c>
      <c r="B892">
        <v>7.3</v>
      </c>
      <c r="C892" t="s">
        <v>19</v>
      </c>
      <c r="D892" t="s">
        <v>18</v>
      </c>
      <c r="E892" s="3">
        <v>2500</v>
      </c>
      <c r="F892">
        <v>50.5</v>
      </c>
      <c r="G892">
        <v>9.36</v>
      </c>
      <c r="H892">
        <v>1.83</v>
      </c>
      <c r="I892">
        <v>25.07</v>
      </c>
      <c r="J892">
        <v>23</v>
      </c>
      <c r="K892" t="s">
        <v>23</v>
      </c>
      <c r="L892" t="str">
        <f t="shared" si="334"/>
        <v>VALID</v>
      </c>
      <c r="M892">
        <f t="shared" si="356"/>
        <v>7.9565217391304358E-2</v>
      </c>
      <c r="N892" t="str">
        <f t="shared" si="357"/>
        <v>Medium</v>
      </c>
      <c r="O892">
        <f t="shared" si="358"/>
        <v>17.215</v>
      </c>
      <c r="P892" t="str">
        <f t="shared" si="359"/>
        <v>Low</v>
      </c>
    </row>
    <row r="893" spans="1:16" x14ac:dyDescent="0.25">
      <c r="A893">
        <v>300</v>
      </c>
      <c r="B893">
        <v>15.46</v>
      </c>
      <c r="C893" t="s">
        <v>19</v>
      </c>
      <c r="D893" t="s">
        <v>15</v>
      </c>
      <c r="E893" s="3">
        <v>150</v>
      </c>
      <c r="F893">
        <v>-11.8</v>
      </c>
      <c r="G893">
        <v>12.57</v>
      </c>
      <c r="H893">
        <v>7.01</v>
      </c>
      <c r="I893">
        <v>45.34</v>
      </c>
      <c r="J893">
        <v>15</v>
      </c>
      <c r="K893" t="s">
        <v>16</v>
      </c>
      <c r="L893" t="str">
        <f t="shared" si="334"/>
        <v>VALID</v>
      </c>
      <c r="M893">
        <f t="shared" si="356"/>
        <v>0.46733333333333332</v>
      </c>
      <c r="N893" t="str">
        <f t="shared" si="357"/>
        <v>Low</v>
      </c>
      <c r="O893">
        <f t="shared" si="358"/>
        <v>28.955000000000002</v>
      </c>
      <c r="P893" t="str">
        <f t="shared" si="359"/>
        <v>Low</v>
      </c>
    </row>
    <row r="894" spans="1:16" x14ac:dyDescent="0.25">
      <c r="A894">
        <v>1200</v>
      </c>
      <c r="B894">
        <v>33.99</v>
      </c>
      <c r="C894" t="s">
        <v>11</v>
      </c>
      <c r="D894" t="s">
        <v>20</v>
      </c>
      <c r="E894" s="3">
        <v>1500</v>
      </c>
      <c r="F894">
        <v>113.4</v>
      </c>
      <c r="G894">
        <v>17.059999999999999</v>
      </c>
      <c r="H894">
        <v>5.68</v>
      </c>
      <c r="I894">
        <v>16.71</v>
      </c>
      <c r="J894">
        <v>5</v>
      </c>
      <c r="K894" t="s">
        <v>16</v>
      </c>
      <c r="L894" t="str">
        <f t="shared" si="334"/>
        <v>VALID</v>
      </c>
      <c r="M894">
        <f t="shared" si="356"/>
        <v>1.1359999999999999</v>
      </c>
      <c r="N894" t="str">
        <f t="shared" si="357"/>
        <v>Medium</v>
      </c>
      <c r="O894">
        <f t="shared" si="358"/>
        <v>16.884999999999998</v>
      </c>
      <c r="P894" t="str">
        <f t="shared" si="359"/>
        <v>Low</v>
      </c>
    </row>
    <row r="895" spans="1:16" x14ac:dyDescent="0.25">
      <c r="A895">
        <v>300</v>
      </c>
      <c r="B895">
        <v>7.84</v>
      </c>
      <c r="C895" t="s">
        <v>22</v>
      </c>
      <c r="D895" t="s">
        <v>15</v>
      </c>
      <c r="E895" s="3">
        <v>900</v>
      </c>
      <c r="F895">
        <v>65.599999999999994</v>
      </c>
      <c r="G895">
        <v>0.66</v>
      </c>
      <c r="H895">
        <v>4.21</v>
      </c>
      <c r="I895">
        <v>53.7</v>
      </c>
      <c r="J895">
        <v>14</v>
      </c>
      <c r="K895" t="s">
        <v>13</v>
      </c>
      <c r="L895" t="str">
        <f t="shared" si="334"/>
        <v>VALID</v>
      </c>
      <c r="M895">
        <f t="shared" si="356"/>
        <v>0.30071428571428571</v>
      </c>
      <c r="N895" t="str">
        <f t="shared" si="357"/>
        <v>Low</v>
      </c>
      <c r="O895">
        <f t="shared" si="358"/>
        <v>27.18</v>
      </c>
      <c r="P895" t="str">
        <f t="shared" si="359"/>
        <v>Low</v>
      </c>
    </row>
    <row r="896" spans="1:16" x14ac:dyDescent="0.25">
      <c r="A896">
        <v>1500</v>
      </c>
      <c r="B896">
        <v>47.97</v>
      </c>
      <c r="C896" t="s">
        <v>14</v>
      </c>
      <c r="D896" t="s">
        <v>15</v>
      </c>
      <c r="E896" s="3">
        <v>2500</v>
      </c>
      <c r="F896">
        <v>-17.8</v>
      </c>
      <c r="G896">
        <v>2.89</v>
      </c>
      <c r="H896">
        <v>4.41</v>
      </c>
      <c r="I896">
        <v>9.19</v>
      </c>
      <c r="J896">
        <v>15</v>
      </c>
      <c r="K896" t="s">
        <v>13</v>
      </c>
      <c r="L896" t="str">
        <f t="shared" si="334"/>
        <v>VALID</v>
      </c>
      <c r="M896">
        <f t="shared" si="356"/>
        <v>0.29399999999999998</v>
      </c>
      <c r="N896" t="str">
        <f t="shared" si="357"/>
        <v>Medium</v>
      </c>
      <c r="O896">
        <f t="shared" si="358"/>
        <v>6.04</v>
      </c>
      <c r="P896" t="str">
        <f t="shared" si="359"/>
        <v>Low</v>
      </c>
    </row>
    <row r="897" spans="1:16" x14ac:dyDescent="0.25">
      <c r="A897">
        <v>500</v>
      </c>
      <c r="B897">
        <v>20.29</v>
      </c>
      <c r="C897" t="s">
        <v>22</v>
      </c>
      <c r="D897" t="s">
        <v>20</v>
      </c>
      <c r="E897" s="3">
        <v>300</v>
      </c>
      <c r="F897">
        <v>5</v>
      </c>
      <c r="G897">
        <v>15.01</v>
      </c>
      <c r="H897">
        <v>9.06</v>
      </c>
      <c r="I897">
        <v>44.65</v>
      </c>
      <c r="J897">
        <v>23</v>
      </c>
      <c r="K897" t="s">
        <v>16</v>
      </c>
      <c r="L897" t="str">
        <f t="shared" si="334"/>
        <v>VALID</v>
      </c>
      <c r="M897">
        <f t="shared" si="356"/>
        <v>0.39391304347826089</v>
      </c>
      <c r="N897" t="str">
        <f t="shared" si="357"/>
        <v>Low</v>
      </c>
      <c r="O897">
        <f t="shared" si="358"/>
        <v>29.83</v>
      </c>
      <c r="P897" t="str">
        <f t="shared" si="359"/>
        <v>Low</v>
      </c>
    </row>
    <row r="898" spans="1:16" x14ac:dyDescent="0.25">
      <c r="A898">
        <v>1000</v>
      </c>
      <c r="B898">
        <v>23.59</v>
      </c>
      <c r="C898" t="s">
        <v>11</v>
      </c>
      <c r="D898" t="s">
        <v>18</v>
      </c>
      <c r="E898" s="3">
        <v>900</v>
      </c>
      <c r="F898">
        <v>23</v>
      </c>
      <c r="G898">
        <v>5.08</v>
      </c>
      <c r="H898">
        <v>3.46</v>
      </c>
      <c r="I898">
        <v>14.67</v>
      </c>
      <c r="J898">
        <v>23</v>
      </c>
      <c r="K898" t="s">
        <v>13</v>
      </c>
      <c r="L898" t="str">
        <f t="shared" si="334"/>
        <v>VALID</v>
      </c>
      <c r="M898">
        <f t="shared" si="356"/>
        <v>0.15043478260869564</v>
      </c>
      <c r="N898" t="str">
        <f t="shared" si="357"/>
        <v>Low</v>
      </c>
      <c r="O898">
        <f t="shared" si="358"/>
        <v>9.875</v>
      </c>
      <c r="P898" t="str">
        <f t="shared" si="359"/>
        <v>Low</v>
      </c>
    </row>
    <row r="899" spans="1:16" x14ac:dyDescent="0.25">
      <c r="A899">
        <v>400</v>
      </c>
      <c r="B899">
        <v>11.3</v>
      </c>
      <c r="C899" t="s">
        <v>11</v>
      </c>
      <c r="D899" t="s">
        <v>18</v>
      </c>
      <c r="E899" s="3">
        <v>300</v>
      </c>
      <c r="F899">
        <v>41.5</v>
      </c>
      <c r="G899">
        <v>11.66</v>
      </c>
      <c r="H899">
        <v>2.21</v>
      </c>
      <c r="I899">
        <v>19.559999999999999</v>
      </c>
      <c r="J899">
        <v>23</v>
      </c>
      <c r="K899" t="s">
        <v>13</v>
      </c>
      <c r="L899" t="str">
        <f t="shared" ref="L899:L962" si="360">IF(H899&gt;B899,"INVALID","VALID")</f>
        <v>VALID</v>
      </c>
      <c r="M899">
        <f t="shared" si="356"/>
        <v>9.6086956521739125E-2</v>
      </c>
      <c r="N899" t="str">
        <f t="shared" si="357"/>
        <v>Low</v>
      </c>
      <c r="O899">
        <f t="shared" si="358"/>
        <v>15.61</v>
      </c>
      <c r="P899" t="str">
        <f t="shared" si="359"/>
        <v>Low</v>
      </c>
    </row>
    <row r="900" spans="1:16" x14ac:dyDescent="0.25">
      <c r="A900">
        <v>250</v>
      </c>
      <c r="B900">
        <v>14.97</v>
      </c>
      <c r="C900" t="s">
        <v>11</v>
      </c>
      <c r="D900" t="s">
        <v>15</v>
      </c>
      <c r="E900" s="3">
        <v>150</v>
      </c>
      <c r="F900">
        <v>-17.100000000000001</v>
      </c>
      <c r="G900">
        <v>10</v>
      </c>
      <c r="H900">
        <v>4.7300000000000004</v>
      </c>
      <c r="I900">
        <v>31.6</v>
      </c>
      <c r="J900">
        <v>21</v>
      </c>
      <c r="K900" t="s">
        <v>13</v>
      </c>
      <c r="L900" t="str">
        <f t="shared" si="360"/>
        <v>VALID</v>
      </c>
      <c r="M900">
        <f t="shared" si="356"/>
        <v>0.22523809523809527</v>
      </c>
      <c r="N900" t="str">
        <f t="shared" si="357"/>
        <v>Low</v>
      </c>
      <c r="O900">
        <f t="shared" si="358"/>
        <v>20.8</v>
      </c>
      <c r="P900" t="str">
        <f t="shared" si="359"/>
        <v>Low</v>
      </c>
    </row>
    <row r="901" spans="1:16" x14ac:dyDescent="0.25">
      <c r="A901">
        <v>200</v>
      </c>
      <c r="B901">
        <v>8.26</v>
      </c>
      <c r="C901" t="s">
        <v>22</v>
      </c>
      <c r="D901" t="s">
        <v>15</v>
      </c>
      <c r="E901" s="3">
        <v>300</v>
      </c>
      <c r="F901">
        <v>38.200000000000003</v>
      </c>
      <c r="G901">
        <v>14.73</v>
      </c>
      <c r="H901">
        <v>7.27</v>
      </c>
      <c r="I901">
        <v>88.01</v>
      </c>
      <c r="J901">
        <v>6</v>
      </c>
      <c r="K901" t="s">
        <v>16</v>
      </c>
      <c r="L901" t="str">
        <f t="shared" si="360"/>
        <v>VALID</v>
      </c>
      <c r="M901">
        <f t="shared" si="356"/>
        <v>1.2116666666666667</v>
      </c>
      <c r="N901" t="str">
        <f t="shared" si="357"/>
        <v>Low</v>
      </c>
      <c r="O901">
        <f t="shared" si="358"/>
        <v>51.370000000000005</v>
      </c>
      <c r="P901" t="str">
        <f t="shared" si="359"/>
        <v>Medium</v>
      </c>
    </row>
    <row r="902" spans="1:16" x14ac:dyDescent="0.25">
      <c r="A902">
        <v>50</v>
      </c>
      <c r="B902">
        <v>3.43</v>
      </c>
      <c r="C902" t="s">
        <v>19</v>
      </c>
      <c r="D902" t="s">
        <v>12</v>
      </c>
      <c r="E902" s="3">
        <v>1500</v>
      </c>
      <c r="F902">
        <v>6.9</v>
      </c>
      <c r="G902">
        <v>8.99</v>
      </c>
      <c r="H902">
        <v>0.14000000000000001</v>
      </c>
      <c r="I902">
        <v>4.08</v>
      </c>
      <c r="J902">
        <v>22</v>
      </c>
      <c r="K902" t="s">
        <v>23</v>
      </c>
      <c r="L902" t="str">
        <f t="shared" si="360"/>
        <v>VALID</v>
      </c>
      <c r="M902">
        <f t="shared" si="356"/>
        <v>6.3636363636363638E-3</v>
      </c>
      <c r="N902" t="str">
        <f t="shared" si="357"/>
        <v>Medium</v>
      </c>
      <c r="O902">
        <f t="shared" si="358"/>
        <v>6.5350000000000001</v>
      </c>
      <c r="P902" t="str">
        <f t="shared" si="359"/>
        <v>Low</v>
      </c>
    </row>
    <row r="903" spans="1:16" x14ac:dyDescent="0.25">
      <c r="A903">
        <v>50</v>
      </c>
      <c r="B903">
        <v>5.01</v>
      </c>
      <c r="C903" t="s">
        <v>22</v>
      </c>
      <c r="D903" t="s">
        <v>15</v>
      </c>
      <c r="E903" s="3">
        <v>1500</v>
      </c>
      <c r="F903">
        <v>19</v>
      </c>
      <c r="G903">
        <v>19.39</v>
      </c>
      <c r="H903">
        <v>2.58</v>
      </c>
      <c r="I903">
        <v>51.5</v>
      </c>
      <c r="J903">
        <v>15</v>
      </c>
      <c r="K903" t="s">
        <v>13</v>
      </c>
      <c r="L903" t="str">
        <f t="shared" si="360"/>
        <v>VALID</v>
      </c>
      <c r="M903">
        <f t="shared" si="356"/>
        <v>0.17200000000000001</v>
      </c>
      <c r="N903" t="str">
        <f t="shared" si="357"/>
        <v>Medium</v>
      </c>
      <c r="O903">
        <f t="shared" si="358"/>
        <v>35.445</v>
      </c>
      <c r="P903" t="str">
        <f t="shared" si="359"/>
        <v>Medium</v>
      </c>
    </row>
    <row r="904" spans="1:16" x14ac:dyDescent="0.25">
      <c r="A904">
        <v>1000</v>
      </c>
      <c r="B904">
        <v>26.39</v>
      </c>
      <c r="C904" t="s">
        <v>11</v>
      </c>
      <c r="D904" t="s">
        <v>12</v>
      </c>
      <c r="E904" s="3">
        <v>2500</v>
      </c>
      <c r="F904">
        <v>17.3</v>
      </c>
      <c r="G904">
        <v>14.12</v>
      </c>
      <c r="H904">
        <v>0.19</v>
      </c>
      <c r="I904">
        <v>0.72</v>
      </c>
      <c r="J904">
        <v>25</v>
      </c>
      <c r="K904" t="s">
        <v>23</v>
      </c>
      <c r="L904" t="str">
        <f t="shared" si="360"/>
        <v>VALID</v>
      </c>
      <c r="M904">
        <f t="shared" si="356"/>
        <v>7.6E-3</v>
      </c>
      <c r="N904" t="str">
        <f t="shared" si="357"/>
        <v>Medium</v>
      </c>
      <c r="O904">
        <f t="shared" si="358"/>
        <v>7.42</v>
      </c>
      <c r="P904" t="str">
        <f t="shared" si="359"/>
        <v>Low</v>
      </c>
    </row>
    <row r="905" spans="1:16" x14ac:dyDescent="0.25">
      <c r="A905">
        <v>150</v>
      </c>
      <c r="B905">
        <v>7.36</v>
      </c>
      <c r="C905" t="s">
        <v>21</v>
      </c>
      <c r="D905" t="s">
        <v>15</v>
      </c>
      <c r="E905" s="3">
        <v>2500</v>
      </c>
      <c r="F905">
        <v>93.3</v>
      </c>
      <c r="G905">
        <v>19.899999999999999</v>
      </c>
      <c r="H905">
        <v>2.14</v>
      </c>
      <c r="I905">
        <v>29.08</v>
      </c>
      <c r="J905">
        <v>15</v>
      </c>
      <c r="K905" t="s">
        <v>13</v>
      </c>
      <c r="L905" t="str">
        <f t="shared" si="360"/>
        <v>VALID</v>
      </c>
      <c r="M905">
        <f t="shared" si="356"/>
        <v>0.14266666666666666</v>
      </c>
      <c r="N905" t="str">
        <f t="shared" si="357"/>
        <v>Medium</v>
      </c>
      <c r="O905">
        <f t="shared" si="358"/>
        <v>24.49</v>
      </c>
      <c r="P905" t="str">
        <f t="shared" si="359"/>
        <v>Low</v>
      </c>
    </row>
    <row r="906" spans="1:16" x14ac:dyDescent="0.25">
      <c r="A906">
        <v>150</v>
      </c>
      <c r="B906">
        <v>8.92</v>
      </c>
      <c r="C906" t="s">
        <v>11</v>
      </c>
      <c r="D906" t="s">
        <v>20</v>
      </c>
      <c r="E906" s="3">
        <v>1500</v>
      </c>
      <c r="F906">
        <v>45.3</v>
      </c>
      <c r="G906">
        <v>17.739999999999998</v>
      </c>
      <c r="H906">
        <v>1.08</v>
      </c>
      <c r="I906">
        <v>12.11</v>
      </c>
      <c r="J906">
        <v>2</v>
      </c>
      <c r="K906" t="s">
        <v>23</v>
      </c>
      <c r="L906" t="str">
        <f t="shared" si="360"/>
        <v>VALID</v>
      </c>
      <c r="M906">
        <f t="shared" si="356"/>
        <v>0.54</v>
      </c>
      <c r="N906" t="str">
        <f t="shared" si="357"/>
        <v>Medium</v>
      </c>
      <c r="O906">
        <f t="shared" si="358"/>
        <v>14.924999999999999</v>
      </c>
      <c r="P906" t="str">
        <f t="shared" si="359"/>
        <v>Low</v>
      </c>
    </row>
    <row r="907" spans="1:16" hidden="1" x14ac:dyDescent="0.25">
      <c r="A907">
        <v>100</v>
      </c>
      <c r="B907">
        <v>5.16</v>
      </c>
      <c r="C907" t="s">
        <v>11</v>
      </c>
      <c r="D907" t="s">
        <v>20</v>
      </c>
      <c r="E907">
        <v>600</v>
      </c>
      <c r="F907">
        <v>77.7</v>
      </c>
      <c r="G907">
        <v>16.22</v>
      </c>
      <c r="H907">
        <v>8.2100000000000009</v>
      </c>
      <c r="I907">
        <v>159.11000000000001</v>
      </c>
      <c r="J907">
        <v>14</v>
      </c>
      <c r="K907" t="s">
        <v>16</v>
      </c>
      <c r="L907" t="str">
        <f t="shared" si="360"/>
        <v>INVALID</v>
      </c>
    </row>
    <row r="908" spans="1:16" hidden="1" x14ac:dyDescent="0.25">
      <c r="A908">
        <v>100</v>
      </c>
      <c r="B908">
        <v>4.0999999999999996</v>
      </c>
      <c r="C908" t="s">
        <v>14</v>
      </c>
      <c r="D908" t="s">
        <v>17</v>
      </c>
      <c r="E908">
        <v>900</v>
      </c>
      <c r="F908">
        <v>52</v>
      </c>
      <c r="G908">
        <v>12.02</v>
      </c>
      <c r="H908">
        <v>8.56</v>
      </c>
      <c r="I908">
        <v>208.78</v>
      </c>
      <c r="J908">
        <v>21</v>
      </c>
      <c r="K908" t="s">
        <v>16</v>
      </c>
      <c r="L908" t="str">
        <f t="shared" si="360"/>
        <v>INVALID</v>
      </c>
    </row>
    <row r="909" spans="1:16" x14ac:dyDescent="0.25">
      <c r="A909">
        <v>300</v>
      </c>
      <c r="B909">
        <v>15.08</v>
      </c>
      <c r="C909" t="s">
        <v>14</v>
      </c>
      <c r="D909" t="s">
        <v>20</v>
      </c>
      <c r="E909" s="3">
        <v>1500</v>
      </c>
      <c r="F909">
        <v>26.8</v>
      </c>
      <c r="G909">
        <v>11.1</v>
      </c>
      <c r="H909">
        <v>6.99</v>
      </c>
      <c r="I909">
        <v>46.35</v>
      </c>
      <c r="J909">
        <v>8</v>
      </c>
      <c r="K909" t="s">
        <v>16</v>
      </c>
      <c r="L909" t="str">
        <f t="shared" si="360"/>
        <v>VALID</v>
      </c>
      <c r="M909">
        <f t="shared" ref="M909:M923" si="361">IF(J909&gt;0,H909/J909," ")</f>
        <v>0.87375000000000003</v>
      </c>
      <c r="N909" t="str">
        <f t="shared" ref="N909:N923" si="362">IF(ISNUMBER(E909),IF(E909&lt;1000,"Low",IF(E909&lt;3000,"Medium","High")),"Unknown")</f>
        <v>Medium</v>
      </c>
      <c r="O909">
        <f t="shared" ref="O909:O923" si="363">(G909+I909)/2</f>
        <v>28.725000000000001</v>
      </c>
      <c r="P909" t="str">
        <f t="shared" ref="P909:P923" si="364">IF(O909&lt;30,"Low",IF(O909&lt;60,"Medium","High"))</f>
        <v>Low</v>
      </c>
    </row>
    <row r="910" spans="1:16" x14ac:dyDescent="0.25">
      <c r="A910">
        <v>300</v>
      </c>
      <c r="B910">
        <v>12.3</v>
      </c>
      <c r="C910" t="s">
        <v>21</v>
      </c>
      <c r="D910" t="s">
        <v>18</v>
      </c>
      <c r="E910" s="3">
        <v>900</v>
      </c>
      <c r="F910">
        <v>-1.9</v>
      </c>
      <c r="G910">
        <v>0.49</v>
      </c>
      <c r="H910">
        <v>8.94</v>
      </c>
      <c r="I910">
        <v>72.680000000000007</v>
      </c>
      <c r="J910">
        <v>3</v>
      </c>
      <c r="K910" t="s">
        <v>16</v>
      </c>
      <c r="L910" t="str">
        <f t="shared" si="360"/>
        <v>VALID</v>
      </c>
      <c r="M910">
        <f t="shared" si="361"/>
        <v>2.98</v>
      </c>
      <c r="N910" t="str">
        <f t="shared" si="362"/>
        <v>Low</v>
      </c>
      <c r="O910">
        <f t="shared" si="363"/>
        <v>36.585000000000001</v>
      </c>
      <c r="P910" t="str">
        <f t="shared" si="364"/>
        <v>Medium</v>
      </c>
    </row>
    <row r="911" spans="1:16" x14ac:dyDescent="0.25">
      <c r="A911">
        <v>1500</v>
      </c>
      <c r="B911">
        <v>25.42</v>
      </c>
      <c r="C911" t="s">
        <v>22</v>
      </c>
      <c r="D911" t="s">
        <v>17</v>
      </c>
      <c r="E911" s="3">
        <v>1500</v>
      </c>
      <c r="F911">
        <v>12.3</v>
      </c>
      <c r="G911">
        <v>4.53</v>
      </c>
      <c r="H911">
        <v>0.27</v>
      </c>
      <c r="I911">
        <v>1.06</v>
      </c>
      <c r="J911">
        <v>4</v>
      </c>
      <c r="K911" t="s">
        <v>23</v>
      </c>
      <c r="L911" t="str">
        <f t="shared" si="360"/>
        <v>VALID</v>
      </c>
      <c r="M911">
        <f t="shared" si="361"/>
        <v>6.7500000000000004E-2</v>
      </c>
      <c r="N911" t="str">
        <f t="shared" si="362"/>
        <v>Medium</v>
      </c>
      <c r="O911">
        <f t="shared" si="363"/>
        <v>2.7949999999999999</v>
      </c>
      <c r="P911" t="str">
        <f t="shared" si="364"/>
        <v>Low</v>
      </c>
    </row>
    <row r="912" spans="1:16" x14ac:dyDescent="0.25">
      <c r="A912">
        <v>1500</v>
      </c>
      <c r="B912">
        <v>38.49</v>
      </c>
      <c r="C912" t="s">
        <v>11</v>
      </c>
      <c r="D912" t="s">
        <v>17</v>
      </c>
      <c r="E912" s="3">
        <v>1500</v>
      </c>
      <c r="F912">
        <v>47.9</v>
      </c>
      <c r="G912">
        <v>9.7899999999999991</v>
      </c>
      <c r="H912">
        <v>5.75</v>
      </c>
      <c r="I912">
        <v>14.94</v>
      </c>
      <c r="J912">
        <v>13</v>
      </c>
      <c r="K912" t="s">
        <v>16</v>
      </c>
      <c r="L912" t="str">
        <f t="shared" si="360"/>
        <v>VALID</v>
      </c>
      <c r="M912">
        <f t="shared" si="361"/>
        <v>0.44230769230769229</v>
      </c>
      <c r="N912" t="str">
        <f t="shared" si="362"/>
        <v>Medium</v>
      </c>
      <c r="O912">
        <f t="shared" si="363"/>
        <v>12.364999999999998</v>
      </c>
      <c r="P912" t="str">
        <f t="shared" si="364"/>
        <v>Low</v>
      </c>
    </row>
    <row r="913" spans="1:16" x14ac:dyDescent="0.25">
      <c r="A913">
        <v>250</v>
      </c>
      <c r="B913">
        <v>14.81</v>
      </c>
      <c r="C913" t="s">
        <v>19</v>
      </c>
      <c r="D913" t="s">
        <v>12</v>
      </c>
      <c r="E913" s="3">
        <v>2500</v>
      </c>
      <c r="F913">
        <v>70.8</v>
      </c>
      <c r="G913">
        <v>7.22</v>
      </c>
      <c r="H913">
        <v>9.39</v>
      </c>
      <c r="I913">
        <v>63.4</v>
      </c>
      <c r="J913">
        <v>19</v>
      </c>
      <c r="K913" t="s">
        <v>16</v>
      </c>
      <c r="L913" t="str">
        <f t="shared" si="360"/>
        <v>VALID</v>
      </c>
      <c r="M913">
        <f t="shared" si="361"/>
        <v>0.49421052631578949</v>
      </c>
      <c r="N913" t="str">
        <f t="shared" si="362"/>
        <v>Medium</v>
      </c>
      <c r="O913">
        <f t="shared" si="363"/>
        <v>35.31</v>
      </c>
      <c r="P913" t="str">
        <f t="shared" si="364"/>
        <v>Medium</v>
      </c>
    </row>
    <row r="914" spans="1:16" x14ac:dyDescent="0.25">
      <c r="A914">
        <v>100</v>
      </c>
      <c r="B914">
        <v>4.26</v>
      </c>
      <c r="C914" t="s">
        <v>22</v>
      </c>
      <c r="D914" t="s">
        <v>18</v>
      </c>
      <c r="E914" s="3">
        <v>900</v>
      </c>
      <c r="F914">
        <v>17.399999999999999</v>
      </c>
      <c r="G914">
        <v>12.07</v>
      </c>
      <c r="H914">
        <v>0.69</v>
      </c>
      <c r="I914">
        <v>16.2</v>
      </c>
      <c r="J914">
        <v>24</v>
      </c>
      <c r="K914" t="s">
        <v>23</v>
      </c>
      <c r="L914" t="str">
        <f t="shared" si="360"/>
        <v>VALID</v>
      </c>
      <c r="M914">
        <f t="shared" si="361"/>
        <v>2.8749999999999998E-2</v>
      </c>
      <c r="N914" t="str">
        <f t="shared" si="362"/>
        <v>Low</v>
      </c>
      <c r="O914">
        <f t="shared" si="363"/>
        <v>14.135</v>
      </c>
      <c r="P914" t="str">
        <f t="shared" si="364"/>
        <v>Low</v>
      </c>
    </row>
    <row r="915" spans="1:16" x14ac:dyDescent="0.25">
      <c r="A915">
        <v>150</v>
      </c>
      <c r="B915">
        <v>6.8</v>
      </c>
      <c r="C915" t="s">
        <v>22</v>
      </c>
      <c r="D915" t="s">
        <v>17</v>
      </c>
      <c r="E915" s="3">
        <v>900</v>
      </c>
      <c r="F915">
        <v>-0.7</v>
      </c>
      <c r="G915">
        <v>17.579999999999998</v>
      </c>
      <c r="H915">
        <v>3.43</v>
      </c>
      <c r="I915">
        <v>50.44</v>
      </c>
      <c r="J915">
        <v>7</v>
      </c>
      <c r="K915" t="s">
        <v>13</v>
      </c>
      <c r="L915" t="str">
        <f t="shared" si="360"/>
        <v>VALID</v>
      </c>
      <c r="M915">
        <f t="shared" si="361"/>
        <v>0.49000000000000005</v>
      </c>
      <c r="N915" t="str">
        <f t="shared" si="362"/>
        <v>Low</v>
      </c>
      <c r="O915">
        <f t="shared" si="363"/>
        <v>34.01</v>
      </c>
      <c r="P915" t="str">
        <f t="shared" si="364"/>
        <v>Medium</v>
      </c>
    </row>
    <row r="916" spans="1:16" x14ac:dyDescent="0.25">
      <c r="A916">
        <v>600</v>
      </c>
      <c r="B916">
        <v>15.01</v>
      </c>
      <c r="C916" t="s">
        <v>19</v>
      </c>
      <c r="D916" t="s">
        <v>18</v>
      </c>
      <c r="E916" s="3">
        <v>300</v>
      </c>
      <c r="F916">
        <v>105.3</v>
      </c>
      <c r="G916">
        <v>0.89</v>
      </c>
      <c r="H916">
        <v>7.62</v>
      </c>
      <c r="I916">
        <v>50.77</v>
      </c>
      <c r="J916">
        <v>2</v>
      </c>
      <c r="K916" t="s">
        <v>16</v>
      </c>
      <c r="L916" t="str">
        <f t="shared" si="360"/>
        <v>VALID</v>
      </c>
      <c r="M916">
        <f t="shared" si="361"/>
        <v>3.81</v>
      </c>
      <c r="N916" t="str">
        <f t="shared" si="362"/>
        <v>Low</v>
      </c>
      <c r="O916">
        <f t="shared" si="363"/>
        <v>25.830000000000002</v>
      </c>
      <c r="P916" t="str">
        <f t="shared" si="364"/>
        <v>Low</v>
      </c>
    </row>
    <row r="917" spans="1:16" x14ac:dyDescent="0.25">
      <c r="A917">
        <v>500</v>
      </c>
      <c r="B917">
        <v>16.93</v>
      </c>
      <c r="C917" t="s">
        <v>21</v>
      </c>
      <c r="D917" t="s">
        <v>18</v>
      </c>
      <c r="E917" s="3">
        <v>1500</v>
      </c>
      <c r="F917">
        <v>56.6</v>
      </c>
      <c r="G917">
        <v>3.99</v>
      </c>
      <c r="H917">
        <v>9.35</v>
      </c>
      <c r="I917">
        <v>55.23</v>
      </c>
      <c r="J917">
        <v>1</v>
      </c>
      <c r="K917" t="s">
        <v>16</v>
      </c>
      <c r="L917" t="str">
        <f t="shared" si="360"/>
        <v>VALID</v>
      </c>
      <c r="M917">
        <f t="shared" si="361"/>
        <v>9.35</v>
      </c>
      <c r="N917" t="str">
        <f t="shared" si="362"/>
        <v>Medium</v>
      </c>
      <c r="O917">
        <f t="shared" si="363"/>
        <v>29.61</v>
      </c>
      <c r="P917" t="str">
        <f t="shared" si="364"/>
        <v>Low</v>
      </c>
    </row>
    <row r="918" spans="1:16" x14ac:dyDescent="0.25">
      <c r="A918">
        <v>200</v>
      </c>
      <c r="B918">
        <v>8.15</v>
      </c>
      <c r="C918" t="s">
        <v>21</v>
      </c>
      <c r="D918" t="s">
        <v>18</v>
      </c>
      <c r="E918" s="3">
        <v>150</v>
      </c>
      <c r="F918">
        <v>-38.299999999999997</v>
      </c>
      <c r="G918">
        <v>8.1199999999999992</v>
      </c>
      <c r="H918">
        <v>4.0199999999999996</v>
      </c>
      <c r="I918">
        <v>49.33</v>
      </c>
      <c r="J918">
        <v>17</v>
      </c>
      <c r="K918" t="s">
        <v>13</v>
      </c>
      <c r="L918" t="str">
        <f t="shared" si="360"/>
        <v>VALID</v>
      </c>
      <c r="M918">
        <f t="shared" si="361"/>
        <v>0.2364705882352941</v>
      </c>
      <c r="N918" t="str">
        <f t="shared" si="362"/>
        <v>Low</v>
      </c>
      <c r="O918">
        <f t="shared" si="363"/>
        <v>28.724999999999998</v>
      </c>
      <c r="P918" t="str">
        <f t="shared" si="364"/>
        <v>Low</v>
      </c>
    </row>
    <row r="919" spans="1:16" x14ac:dyDescent="0.25">
      <c r="A919">
        <v>200</v>
      </c>
      <c r="B919">
        <v>11.54</v>
      </c>
      <c r="C919" t="s">
        <v>21</v>
      </c>
      <c r="D919" t="s">
        <v>15</v>
      </c>
      <c r="E919" s="3">
        <v>150</v>
      </c>
      <c r="F919">
        <v>-18.600000000000001</v>
      </c>
      <c r="G919">
        <v>9.17</v>
      </c>
      <c r="H919">
        <v>5.72</v>
      </c>
      <c r="I919">
        <v>49.57</v>
      </c>
      <c r="J919">
        <v>12</v>
      </c>
      <c r="K919" t="s">
        <v>16</v>
      </c>
      <c r="L919" t="str">
        <f t="shared" si="360"/>
        <v>VALID</v>
      </c>
      <c r="M919">
        <f t="shared" si="361"/>
        <v>0.47666666666666663</v>
      </c>
      <c r="N919" t="str">
        <f t="shared" si="362"/>
        <v>Low</v>
      </c>
      <c r="O919">
        <f t="shared" si="363"/>
        <v>29.37</v>
      </c>
      <c r="P919" t="str">
        <f t="shared" si="364"/>
        <v>Low</v>
      </c>
    </row>
    <row r="920" spans="1:16" x14ac:dyDescent="0.25">
      <c r="A920">
        <v>1000</v>
      </c>
      <c r="B920">
        <v>21.38</v>
      </c>
      <c r="C920" t="s">
        <v>14</v>
      </c>
      <c r="D920" t="s">
        <v>18</v>
      </c>
      <c r="E920" s="3">
        <v>600</v>
      </c>
      <c r="F920">
        <v>23.1</v>
      </c>
      <c r="G920">
        <v>14.04</v>
      </c>
      <c r="H920">
        <v>8.89</v>
      </c>
      <c r="I920">
        <v>41.58</v>
      </c>
      <c r="J920">
        <v>6</v>
      </c>
      <c r="K920" t="s">
        <v>16</v>
      </c>
      <c r="L920" t="str">
        <f t="shared" si="360"/>
        <v>VALID</v>
      </c>
      <c r="M920">
        <f t="shared" si="361"/>
        <v>1.4816666666666667</v>
      </c>
      <c r="N920" t="str">
        <f t="shared" si="362"/>
        <v>Low</v>
      </c>
      <c r="O920">
        <f t="shared" si="363"/>
        <v>27.81</v>
      </c>
      <c r="P920" t="str">
        <f t="shared" si="364"/>
        <v>Low</v>
      </c>
    </row>
    <row r="921" spans="1:16" x14ac:dyDescent="0.25">
      <c r="A921">
        <v>100</v>
      </c>
      <c r="B921">
        <v>7.35</v>
      </c>
      <c r="C921" t="s">
        <v>11</v>
      </c>
      <c r="D921" t="s">
        <v>18</v>
      </c>
      <c r="E921" s="3">
        <v>600</v>
      </c>
      <c r="F921">
        <v>131.19999999999999</v>
      </c>
      <c r="G921">
        <v>3.24</v>
      </c>
      <c r="H921">
        <v>4.92</v>
      </c>
      <c r="I921">
        <v>66.94</v>
      </c>
      <c r="J921">
        <v>5</v>
      </c>
      <c r="K921" t="s">
        <v>13</v>
      </c>
      <c r="L921" t="str">
        <f t="shared" si="360"/>
        <v>VALID</v>
      </c>
      <c r="M921">
        <f t="shared" si="361"/>
        <v>0.98399999999999999</v>
      </c>
      <c r="N921" t="str">
        <f t="shared" si="362"/>
        <v>Low</v>
      </c>
      <c r="O921">
        <f t="shared" si="363"/>
        <v>35.089999999999996</v>
      </c>
      <c r="P921" t="str">
        <f t="shared" si="364"/>
        <v>Medium</v>
      </c>
    </row>
    <row r="922" spans="1:16" x14ac:dyDescent="0.25">
      <c r="A922">
        <v>1500</v>
      </c>
      <c r="B922">
        <v>41.08</v>
      </c>
      <c r="C922" t="s">
        <v>21</v>
      </c>
      <c r="D922" t="s">
        <v>17</v>
      </c>
      <c r="E922" s="3">
        <v>1500</v>
      </c>
      <c r="F922">
        <v>16.600000000000001</v>
      </c>
      <c r="G922">
        <v>9.56</v>
      </c>
      <c r="H922">
        <v>2.27</v>
      </c>
      <c r="I922">
        <v>5.53</v>
      </c>
      <c r="J922">
        <v>14</v>
      </c>
      <c r="K922" t="s">
        <v>13</v>
      </c>
      <c r="L922" t="str">
        <f t="shared" si="360"/>
        <v>VALID</v>
      </c>
      <c r="M922">
        <f t="shared" si="361"/>
        <v>0.16214285714285714</v>
      </c>
      <c r="N922" t="str">
        <f t="shared" si="362"/>
        <v>Medium</v>
      </c>
      <c r="O922">
        <f t="shared" si="363"/>
        <v>7.5449999999999999</v>
      </c>
      <c r="P922" t="str">
        <f t="shared" si="364"/>
        <v>Low</v>
      </c>
    </row>
    <row r="923" spans="1:16" x14ac:dyDescent="0.25">
      <c r="A923">
        <v>1200</v>
      </c>
      <c r="B923">
        <v>36.4</v>
      </c>
      <c r="C923" t="s">
        <v>19</v>
      </c>
      <c r="D923" t="s">
        <v>17</v>
      </c>
      <c r="E923" s="3">
        <v>150</v>
      </c>
      <c r="F923">
        <v>33.200000000000003</v>
      </c>
      <c r="G923">
        <v>4.5599999999999996</v>
      </c>
      <c r="H923">
        <v>2.09</v>
      </c>
      <c r="I923">
        <v>5.74</v>
      </c>
      <c r="J923">
        <v>21</v>
      </c>
      <c r="K923" t="s">
        <v>13</v>
      </c>
      <c r="L923" t="str">
        <f t="shared" si="360"/>
        <v>VALID</v>
      </c>
      <c r="M923">
        <f t="shared" si="361"/>
        <v>9.9523809523809514E-2</v>
      </c>
      <c r="N923" t="str">
        <f t="shared" si="362"/>
        <v>Low</v>
      </c>
      <c r="O923">
        <f t="shared" si="363"/>
        <v>5.15</v>
      </c>
      <c r="P923" t="str">
        <f t="shared" si="364"/>
        <v>Low</v>
      </c>
    </row>
    <row r="924" spans="1:16" hidden="1" x14ac:dyDescent="0.25">
      <c r="A924">
        <v>100</v>
      </c>
      <c r="B924">
        <v>4.3499999999999996</v>
      </c>
      <c r="C924" t="s">
        <v>14</v>
      </c>
      <c r="D924" t="s">
        <v>17</v>
      </c>
      <c r="E924">
        <v>1500</v>
      </c>
      <c r="F924">
        <v>16.899999999999999</v>
      </c>
      <c r="G924">
        <v>11.22</v>
      </c>
      <c r="H924">
        <v>9.5299999999999994</v>
      </c>
      <c r="I924">
        <v>219.08</v>
      </c>
      <c r="J924">
        <v>10</v>
      </c>
      <c r="K924" t="s">
        <v>16</v>
      </c>
      <c r="L924" t="str">
        <f t="shared" si="360"/>
        <v>INVALID</v>
      </c>
    </row>
    <row r="925" spans="1:16" x14ac:dyDescent="0.25">
      <c r="A925">
        <v>250</v>
      </c>
      <c r="B925">
        <v>7.87</v>
      </c>
      <c r="C925" t="s">
        <v>11</v>
      </c>
      <c r="D925" t="s">
        <v>20</v>
      </c>
      <c r="E925" s="3">
        <v>2500</v>
      </c>
      <c r="F925">
        <v>8.1</v>
      </c>
      <c r="G925">
        <v>1.97</v>
      </c>
      <c r="H925">
        <v>7.41</v>
      </c>
      <c r="I925">
        <v>94.16</v>
      </c>
      <c r="J925">
        <v>16</v>
      </c>
      <c r="K925" t="s">
        <v>16</v>
      </c>
      <c r="L925" t="str">
        <f t="shared" si="360"/>
        <v>VALID</v>
      </c>
      <c r="M925">
        <f t="shared" ref="M925:M927" si="365">IF(J925&gt;0,H925/J925," ")</f>
        <v>0.46312500000000001</v>
      </c>
      <c r="N925" t="str">
        <f t="shared" ref="N925:N927" si="366">IF(ISNUMBER(E925),IF(E925&lt;1000,"Low",IF(E925&lt;3000,"Medium","High")),"Unknown")</f>
        <v>Medium</v>
      </c>
      <c r="O925">
        <f t="shared" ref="O925:O927" si="367">(G925+I925)/2</f>
        <v>48.064999999999998</v>
      </c>
      <c r="P925" t="str">
        <f t="shared" ref="P925:P927" si="368">IF(O925&lt;30,"Low",IF(O925&lt;60,"Medium","High"))</f>
        <v>Medium</v>
      </c>
    </row>
    <row r="926" spans="1:16" x14ac:dyDescent="0.25">
      <c r="A926">
        <v>800</v>
      </c>
      <c r="B926">
        <v>24.15</v>
      </c>
      <c r="C926" t="s">
        <v>21</v>
      </c>
      <c r="D926" t="s">
        <v>18</v>
      </c>
      <c r="E926" s="3">
        <v>900</v>
      </c>
      <c r="F926">
        <v>-50</v>
      </c>
      <c r="G926">
        <v>17.82</v>
      </c>
      <c r="H926">
        <v>1.27</v>
      </c>
      <c r="I926">
        <v>5.26</v>
      </c>
      <c r="J926">
        <v>24</v>
      </c>
      <c r="K926" t="s">
        <v>23</v>
      </c>
      <c r="L926" t="str">
        <f t="shared" si="360"/>
        <v>VALID</v>
      </c>
      <c r="M926">
        <f t="shared" si="365"/>
        <v>5.2916666666666667E-2</v>
      </c>
      <c r="N926" t="str">
        <f t="shared" si="366"/>
        <v>Low</v>
      </c>
      <c r="O926">
        <f t="shared" si="367"/>
        <v>11.54</v>
      </c>
      <c r="P926" t="str">
        <f t="shared" si="368"/>
        <v>Low</v>
      </c>
    </row>
    <row r="927" spans="1:16" x14ac:dyDescent="0.25">
      <c r="A927">
        <v>200</v>
      </c>
      <c r="B927">
        <v>8.1</v>
      </c>
      <c r="C927" t="s">
        <v>21</v>
      </c>
      <c r="D927" t="s">
        <v>12</v>
      </c>
      <c r="E927" s="3">
        <v>150</v>
      </c>
      <c r="F927">
        <v>-19.2</v>
      </c>
      <c r="G927">
        <v>2.78</v>
      </c>
      <c r="H927">
        <v>4.34</v>
      </c>
      <c r="I927">
        <v>53.58</v>
      </c>
      <c r="J927">
        <v>1</v>
      </c>
      <c r="K927" t="s">
        <v>13</v>
      </c>
      <c r="L927" t="str">
        <f t="shared" si="360"/>
        <v>VALID</v>
      </c>
      <c r="M927">
        <f t="shared" si="365"/>
        <v>4.34</v>
      </c>
      <c r="N927" t="str">
        <f t="shared" si="366"/>
        <v>Low</v>
      </c>
      <c r="O927">
        <f t="shared" si="367"/>
        <v>28.18</v>
      </c>
      <c r="P927" t="str">
        <f t="shared" si="368"/>
        <v>Low</v>
      </c>
    </row>
    <row r="928" spans="1:16" hidden="1" x14ac:dyDescent="0.25">
      <c r="A928">
        <v>100</v>
      </c>
      <c r="B928">
        <v>4.08</v>
      </c>
      <c r="C928" t="s">
        <v>19</v>
      </c>
      <c r="D928" t="s">
        <v>15</v>
      </c>
      <c r="E928">
        <v>2500</v>
      </c>
      <c r="F928">
        <v>66.900000000000006</v>
      </c>
      <c r="G928">
        <v>1.39</v>
      </c>
      <c r="H928">
        <v>9.4499999999999993</v>
      </c>
      <c r="I928">
        <v>231.62</v>
      </c>
      <c r="J928">
        <v>20</v>
      </c>
      <c r="K928" t="s">
        <v>16</v>
      </c>
      <c r="L928" t="str">
        <f t="shared" si="360"/>
        <v>INVALID</v>
      </c>
    </row>
    <row r="929" spans="1:16" x14ac:dyDescent="0.25">
      <c r="A929">
        <v>1500</v>
      </c>
      <c r="B929">
        <v>23.13</v>
      </c>
      <c r="C929" t="s">
        <v>19</v>
      </c>
      <c r="D929" t="s">
        <v>20</v>
      </c>
      <c r="E929" s="3">
        <v>900</v>
      </c>
      <c r="F929">
        <v>147</v>
      </c>
      <c r="G929">
        <v>16.41</v>
      </c>
      <c r="H929">
        <v>9.6300000000000008</v>
      </c>
      <c r="I929">
        <v>41.63</v>
      </c>
      <c r="J929">
        <v>22</v>
      </c>
      <c r="K929" t="s">
        <v>16</v>
      </c>
      <c r="L929" t="str">
        <f t="shared" si="360"/>
        <v>VALID</v>
      </c>
      <c r="M929">
        <f t="shared" ref="M929:M930" si="369">IF(J929&gt;0,H929/J929," ")</f>
        <v>0.43772727272727274</v>
      </c>
      <c r="N929" t="str">
        <f t="shared" ref="N929:N930" si="370">IF(ISNUMBER(E929),IF(E929&lt;1000,"Low",IF(E929&lt;3000,"Medium","High")),"Unknown")</f>
        <v>Low</v>
      </c>
      <c r="O929">
        <f t="shared" ref="O929:O930" si="371">(G929+I929)/2</f>
        <v>29.020000000000003</v>
      </c>
      <c r="P929" t="str">
        <f t="shared" ref="P929:P930" si="372">IF(O929&lt;30,"Low",IF(O929&lt;60,"Medium","High"))</f>
        <v>Low</v>
      </c>
    </row>
    <row r="930" spans="1:16" x14ac:dyDescent="0.25">
      <c r="A930">
        <v>800</v>
      </c>
      <c r="B930">
        <v>14.72</v>
      </c>
      <c r="C930" t="s">
        <v>11</v>
      </c>
      <c r="D930" t="s">
        <v>15</v>
      </c>
      <c r="E930" s="3">
        <v>1500</v>
      </c>
      <c r="F930">
        <v>16.3</v>
      </c>
      <c r="G930">
        <v>3.1</v>
      </c>
      <c r="H930">
        <v>3.54</v>
      </c>
      <c r="I930">
        <v>24.05</v>
      </c>
      <c r="J930">
        <v>2</v>
      </c>
      <c r="K930" t="s">
        <v>13</v>
      </c>
      <c r="L930" t="str">
        <f t="shared" si="360"/>
        <v>VALID</v>
      </c>
      <c r="M930">
        <f t="shared" si="369"/>
        <v>1.77</v>
      </c>
      <c r="N930" t="str">
        <f t="shared" si="370"/>
        <v>Medium</v>
      </c>
      <c r="O930">
        <f t="shared" si="371"/>
        <v>13.575000000000001</v>
      </c>
      <c r="P930" t="str">
        <f t="shared" si="372"/>
        <v>Low</v>
      </c>
    </row>
    <row r="931" spans="1:16" hidden="1" x14ac:dyDescent="0.25">
      <c r="A931">
        <v>200</v>
      </c>
      <c r="B931">
        <v>6.68</v>
      </c>
      <c r="C931" t="s">
        <v>21</v>
      </c>
      <c r="D931" t="s">
        <v>20</v>
      </c>
      <c r="E931">
        <v>900</v>
      </c>
      <c r="F931">
        <v>85.8</v>
      </c>
      <c r="G931">
        <v>18.29</v>
      </c>
      <c r="H931">
        <v>6.76</v>
      </c>
      <c r="I931">
        <v>101.2</v>
      </c>
      <c r="J931">
        <v>12</v>
      </c>
      <c r="K931" t="s">
        <v>16</v>
      </c>
      <c r="L931" t="str">
        <f t="shared" si="360"/>
        <v>INVALID</v>
      </c>
    </row>
    <row r="932" spans="1:16" x14ac:dyDescent="0.25">
      <c r="A932">
        <v>50</v>
      </c>
      <c r="B932">
        <v>4.3499999999999996</v>
      </c>
      <c r="C932" t="s">
        <v>21</v>
      </c>
      <c r="D932" t="s">
        <v>17</v>
      </c>
      <c r="E932" s="3">
        <v>300</v>
      </c>
      <c r="F932">
        <v>17.7</v>
      </c>
      <c r="G932">
        <v>19.18</v>
      </c>
      <c r="H932">
        <v>3.69</v>
      </c>
      <c r="I932">
        <v>84.83</v>
      </c>
      <c r="J932">
        <v>17</v>
      </c>
      <c r="K932" t="s">
        <v>13</v>
      </c>
      <c r="L932" t="str">
        <f t="shared" si="360"/>
        <v>VALID</v>
      </c>
      <c r="M932">
        <f t="shared" ref="M932:M968" si="373">IF(J932&gt;0,H932/J932," ")</f>
        <v>0.21705882352941175</v>
      </c>
      <c r="N932" t="str">
        <f t="shared" ref="N932:N968" si="374">IF(ISNUMBER(E932),IF(E932&lt;1000,"Low",IF(E932&lt;3000,"Medium","High")),"Unknown")</f>
        <v>Low</v>
      </c>
      <c r="O932">
        <f t="shared" ref="O932:O968" si="375">(G932+I932)/2</f>
        <v>52.004999999999995</v>
      </c>
      <c r="P932" t="str">
        <f t="shared" ref="P932:P968" si="376">IF(O932&lt;30,"Low",IF(O932&lt;60,"Medium","High"))</f>
        <v>Medium</v>
      </c>
    </row>
    <row r="933" spans="1:16" x14ac:dyDescent="0.25">
      <c r="A933">
        <v>400</v>
      </c>
      <c r="B933">
        <v>16.149999999999999</v>
      </c>
      <c r="C933" t="s">
        <v>14</v>
      </c>
      <c r="D933" t="s">
        <v>20</v>
      </c>
      <c r="E933" s="3">
        <v>600</v>
      </c>
      <c r="F933">
        <v>89.6</v>
      </c>
      <c r="G933">
        <v>3.36</v>
      </c>
      <c r="H933">
        <v>6.01</v>
      </c>
      <c r="I933">
        <v>37.21</v>
      </c>
      <c r="J933">
        <v>3</v>
      </c>
      <c r="K933" t="s">
        <v>16</v>
      </c>
      <c r="L933" t="str">
        <f t="shared" si="360"/>
        <v>VALID</v>
      </c>
      <c r="M933">
        <f t="shared" si="373"/>
        <v>2.0033333333333334</v>
      </c>
      <c r="N933" t="str">
        <f t="shared" si="374"/>
        <v>Low</v>
      </c>
      <c r="O933">
        <f t="shared" si="375"/>
        <v>20.285</v>
      </c>
      <c r="P933" t="str">
        <f t="shared" si="376"/>
        <v>Low</v>
      </c>
    </row>
    <row r="934" spans="1:16" x14ac:dyDescent="0.25">
      <c r="A934">
        <v>800</v>
      </c>
      <c r="B934">
        <v>28.05</v>
      </c>
      <c r="C934" t="s">
        <v>19</v>
      </c>
      <c r="D934" t="s">
        <v>17</v>
      </c>
      <c r="E934" s="3">
        <v>150</v>
      </c>
      <c r="F934">
        <v>52</v>
      </c>
      <c r="G934">
        <v>8.76</v>
      </c>
      <c r="H934">
        <v>0.42</v>
      </c>
      <c r="I934">
        <v>1.5</v>
      </c>
      <c r="J934">
        <v>4</v>
      </c>
      <c r="K934" t="s">
        <v>23</v>
      </c>
      <c r="L934" t="str">
        <f t="shared" si="360"/>
        <v>VALID</v>
      </c>
      <c r="M934">
        <f t="shared" si="373"/>
        <v>0.105</v>
      </c>
      <c r="N934" t="str">
        <f t="shared" si="374"/>
        <v>Low</v>
      </c>
      <c r="O934">
        <f t="shared" si="375"/>
        <v>5.13</v>
      </c>
      <c r="P934" t="str">
        <f t="shared" si="376"/>
        <v>Low</v>
      </c>
    </row>
    <row r="935" spans="1:16" x14ac:dyDescent="0.25">
      <c r="A935">
        <v>1200</v>
      </c>
      <c r="B935">
        <v>18.36</v>
      </c>
      <c r="C935" t="s">
        <v>21</v>
      </c>
      <c r="D935" t="s">
        <v>18</v>
      </c>
      <c r="E935" s="3">
        <v>900</v>
      </c>
      <c r="F935">
        <v>-2.2000000000000002</v>
      </c>
      <c r="G935">
        <v>16.53</v>
      </c>
      <c r="H935">
        <v>6.54</v>
      </c>
      <c r="I935">
        <v>35.619999999999997</v>
      </c>
      <c r="J935">
        <v>21</v>
      </c>
      <c r="K935" t="s">
        <v>16</v>
      </c>
      <c r="L935" t="str">
        <f t="shared" si="360"/>
        <v>VALID</v>
      </c>
      <c r="M935">
        <f t="shared" si="373"/>
        <v>0.31142857142857144</v>
      </c>
      <c r="N935" t="str">
        <f t="shared" si="374"/>
        <v>Low</v>
      </c>
      <c r="O935">
        <f t="shared" si="375"/>
        <v>26.074999999999999</v>
      </c>
      <c r="P935" t="str">
        <f t="shared" si="376"/>
        <v>Low</v>
      </c>
    </row>
    <row r="936" spans="1:16" x14ac:dyDescent="0.25">
      <c r="A936">
        <v>100</v>
      </c>
      <c r="B936">
        <v>5.83</v>
      </c>
      <c r="C936" t="s">
        <v>11</v>
      </c>
      <c r="D936" t="s">
        <v>12</v>
      </c>
      <c r="E936" s="3">
        <v>150</v>
      </c>
      <c r="F936">
        <v>46.4</v>
      </c>
      <c r="G936">
        <v>15.07</v>
      </c>
      <c r="H936">
        <v>1.24</v>
      </c>
      <c r="I936">
        <v>21.27</v>
      </c>
      <c r="J936">
        <v>5</v>
      </c>
      <c r="K936" t="s">
        <v>23</v>
      </c>
      <c r="L936" t="str">
        <f t="shared" si="360"/>
        <v>VALID</v>
      </c>
      <c r="M936">
        <f t="shared" si="373"/>
        <v>0.248</v>
      </c>
      <c r="N936" t="str">
        <f t="shared" si="374"/>
        <v>Low</v>
      </c>
      <c r="O936">
        <f t="shared" si="375"/>
        <v>18.170000000000002</v>
      </c>
      <c r="P936" t="str">
        <f t="shared" si="376"/>
        <v>Low</v>
      </c>
    </row>
    <row r="937" spans="1:16" x14ac:dyDescent="0.25">
      <c r="A937">
        <v>1000</v>
      </c>
      <c r="B937">
        <v>22.79</v>
      </c>
      <c r="C937" t="s">
        <v>21</v>
      </c>
      <c r="D937" t="s">
        <v>20</v>
      </c>
      <c r="E937" s="3">
        <v>600</v>
      </c>
      <c r="F937">
        <v>24.3</v>
      </c>
      <c r="G937">
        <v>11.82</v>
      </c>
      <c r="H937">
        <v>8.2200000000000006</v>
      </c>
      <c r="I937">
        <v>36.07</v>
      </c>
      <c r="J937">
        <v>2</v>
      </c>
      <c r="K937" t="s">
        <v>16</v>
      </c>
      <c r="L937" t="str">
        <f t="shared" si="360"/>
        <v>VALID</v>
      </c>
      <c r="M937">
        <f t="shared" si="373"/>
        <v>4.1100000000000003</v>
      </c>
      <c r="N937" t="str">
        <f t="shared" si="374"/>
        <v>Low</v>
      </c>
      <c r="O937">
        <f t="shared" si="375"/>
        <v>23.945</v>
      </c>
      <c r="P937" t="str">
        <f t="shared" si="376"/>
        <v>Low</v>
      </c>
    </row>
    <row r="938" spans="1:16" x14ac:dyDescent="0.25">
      <c r="A938">
        <v>300</v>
      </c>
      <c r="B938">
        <v>12.24</v>
      </c>
      <c r="C938" t="s">
        <v>21</v>
      </c>
      <c r="D938" t="s">
        <v>18</v>
      </c>
      <c r="E938" s="3">
        <v>300</v>
      </c>
      <c r="F938">
        <v>24.6</v>
      </c>
      <c r="G938">
        <v>9.5299999999999994</v>
      </c>
      <c r="H938">
        <v>4.75</v>
      </c>
      <c r="I938">
        <v>38.81</v>
      </c>
      <c r="J938">
        <v>20</v>
      </c>
      <c r="K938" t="s">
        <v>13</v>
      </c>
      <c r="L938" t="str">
        <f t="shared" si="360"/>
        <v>VALID</v>
      </c>
      <c r="M938">
        <f t="shared" si="373"/>
        <v>0.23749999999999999</v>
      </c>
      <c r="N938" t="str">
        <f t="shared" si="374"/>
        <v>Low</v>
      </c>
      <c r="O938">
        <f t="shared" si="375"/>
        <v>24.17</v>
      </c>
      <c r="P938" t="str">
        <f t="shared" si="376"/>
        <v>Low</v>
      </c>
    </row>
    <row r="939" spans="1:16" x14ac:dyDescent="0.25">
      <c r="A939">
        <v>100</v>
      </c>
      <c r="B939">
        <v>4.29</v>
      </c>
      <c r="C939" t="s">
        <v>21</v>
      </c>
      <c r="D939" t="s">
        <v>15</v>
      </c>
      <c r="E939" s="3">
        <v>600</v>
      </c>
      <c r="F939">
        <v>142.69999999999999</v>
      </c>
      <c r="G939">
        <v>14.33</v>
      </c>
      <c r="H939">
        <v>4.17</v>
      </c>
      <c r="I939">
        <v>97.2</v>
      </c>
      <c r="J939">
        <v>17</v>
      </c>
      <c r="K939" t="s">
        <v>13</v>
      </c>
      <c r="L939" t="str">
        <f t="shared" si="360"/>
        <v>VALID</v>
      </c>
      <c r="M939">
        <f t="shared" si="373"/>
        <v>0.24529411764705883</v>
      </c>
      <c r="N939" t="str">
        <f t="shared" si="374"/>
        <v>Low</v>
      </c>
      <c r="O939">
        <f t="shared" si="375"/>
        <v>55.765000000000001</v>
      </c>
      <c r="P939" t="str">
        <f t="shared" si="376"/>
        <v>Medium</v>
      </c>
    </row>
    <row r="940" spans="1:16" x14ac:dyDescent="0.25">
      <c r="A940">
        <v>400</v>
      </c>
      <c r="B940">
        <v>11.94</v>
      </c>
      <c r="C940" t="s">
        <v>14</v>
      </c>
      <c r="D940" t="s">
        <v>12</v>
      </c>
      <c r="E940" s="3">
        <v>300</v>
      </c>
      <c r="F940">
        <v>11.7</v>
      </c>
      <c r="G940">
        <v>15.29</v>
      </c>
      <c r="H940">
        <v>1.67</v>
      </c>
      <c r="I940">
        <v>13.99</v>
      </c>
      <c r="J940">
        <v>12</v>
      </c>
      <c r="K940" t="s">
        <v>23</v>
      </c>
      <c r="L940" t="str">
        <f t="shared" si="360"/>
        <v>VALID</v>
      </c>
      <c r="M940">
        <f t="shared" si="373"/>
        <v>0.13916666666666666</v>
      </c>
      <c r="N940" t="str">
        <f t="shared" si="374"/>
        <v>Low</v>
      </c>
      <c r="O940">
        <f t="shared" si="375"/>
        <v>14.64</v>
      </c>
      <c r="P940" t="str">
        <f t="shared" si="376"/>
        <v>Low</v>
      </c>
    </row>
    <row r="941" spans="1:16" x14ac:dyDescent="0.25">
      <c r="A941">
        <v>200</v>
      </c>
      <c r="B941">
        <v>7.19</v>
      </c>
      <c r="C941" t="s">
        <v>11</v>
      </c>
      <c r="D941" t="s">
        <v>15</v>
      </c>
      <c r="E941" s="3">
        <v>300</v>
      </c>
      <c r="F941">
        <v>11.7</v>
      </c>
      <c r="G941">
        <v>1.68</v>
      </c>
      <c r="H941">
        <v>3.99</v>
      </c>
      <c r="I941">
        <v>55.49</v>
      </c>
      <c r="J941">
        <v>7</v>
      </c>
      <c r="K941" t="s">
        <v>13</v>
      </c>
      <c r="L941" t="str">
        <f t="shared" si="360"/>
        <v>VALID</v>
      </c>
      <c r="M941">
        <f t="shared" si="373"/>
        <v>0.57000000000000006</v>
      </c>
      <c r="N941" t="str">
        <f t="shared" si="374"/>
        <v>Low</v>
      </c>
      <c r="O941">
        <f t="shared" si="375"/>
        <v>28.585000000000001</v>
      </c>
      <c r="P941" t="str">
        <f t="shared" si="376"/>
        <v>Low</v>
      </c>
    </row>
    <row r="942" spans="1:16" x14ac:dyDescent="0.25">
      <c r="A942">
        <v>600</v>
      </c>
      <c r="B942">
        <v>23.85</v>
      </c>
      <c r="C942" t="s">
        <v>21</v>
      </c>
      <c r="D942" t="s">
        <v>15</v>
      </c>
      <c r="E942" s="3">
        <v>2500</v>
      </c>
      <c r="F942">
        <v>49.6</v>
      </c>
      <c r="G942">
        <v>5.78</v>
      </c>
      <c r="H942">
        <v>1.82</v>
      </c>
      <c r="I942">
        <v>7.63</v>
      </c>
      <c r="J942">
        <v>1</v>
      </c>
      <c r="K942" t="s">
        <v>23</v>
      </c>
      <c r="L942" t="str">
        <f t="shared" si="360"/>
        <v>VALID</v>
      </c>
      <c r="M942">
        <f t="shared" si="373"/>
        <v>1.82</v>
      </c>
      <c r="N942" t="str">
        <f t="shared" si="374"/>
        <v>Medium</v>
      </c>
      <c r="O942">
        <f t="shared" si="375"/>
        <v>6.7050000000000001</v>
      </c>
      <c r="P942" t="str">
        <f t="shared" si="376"/>
        <v>Low</v>
      </c>
    </row>
    <row r="943" spans="1:16" x14ac:dyDescent="0.25">
      <c r="A943">
        <v>1500</v>
      </c>
      <c r="B943">
        <v>48.84</v>
      </c>
      <c r="C943" t="s">
        <v>21</v>
      </c>
      <c r="D943" t="s">
        <v>18</v>
      </c>
      <c r="E943" s="3">
        <v>2500</v>
      </c>
      <c r="F943">
        <v>52.1</v>
      </c>
      <c r="G943">
        <v>3.51</v>
      </c>
      <c r="H943">
        <v>9.8000000000000007</v>
      </c>
      <c r="I943">
        <v>20.07</v>
      </c>
      <c r="J943">
        <v>23</v>
      </c>
      <c r="K943" t="s">
        <v>16</v>
      </c>
      <c r="L943" t="str">
        <f t="shared" si="360"/>
        <v>VALID</v>
      </c>
      <c r="M943">
        <f t="shared" si="373"/>
        <v>0.42608695652173917</v>
      </c>
      <c r="N943" t="str">
        <f t="shared" si="374"/>
        <v>Medium</v>
      </c>
      <c r="O943">
        <f t="shared" si="375"/>
        <v>11.79</v>
      </c>
      <c r="P943" t="str">
        <f t="shared" si="376"/>
        <v>Low</v>
      </c>
    </row>
    <row r="944" spans="1:16" x14ac:dyDescent="0.25">
      <c r="A944">
        <v>250</v>
      </c>
      <c r="B944">
        <v>9.25</v>
      </c>
      <c r="C944" t="s">
        <v>11</v>
      </c>
      <c r="D944" t="s">
        <v>15</v>
      </c>
      <c r="E944" s="3">
        <v>300</v>
      </c>
      <c r="F944">
        <v>74.2</v>
      </c>
      <c r="G944">
        <v>3.69</v>
      </c>
      <c r="H944">
        <v>2.64</v>
      </c>
      <c r="I944">
        <v>28.54</v>
      </c>
      <c r="J944">
        <v>6</v>
      </c>
      <c r="K944" t="s">
        <v>13</v>
      </c>
      <c r="L944" t="str">
        <f t="shared" si="360"/>
        <v>VALID</v>
      </c>
      <c r="M944">
        <f t="shared" si="373"/>
        <v>0.44</v>
      </c>
      <c r="N944" t="str">
        <f t="shared" si="374"/>
        <v>Low</v>
      </c>
      <c r="O944">
        <f t="shared" si="375"/>
        <v>16.114999999999998</v>
      </c>
      <c r="P944" t="str">
        <f t="shared" si="376"/>
        <v>Low</v>
      </c>
    </row>
    <row r="945" spans="1:16" x14ac:dyDescent="0.25">
      <c r="A945">
        <v>600</v>
      </c>
      <c r="B945">
        <v>29.46</v>
      </c>
      <c r="C945" t="s">
        <v>14</v>
      </c>
      <c r="D945" t="s">
        <v>12</v>
      </c>
      <c r="E945" s="3">
        <v>600</v>
      </c>
      <c r="F945">
        <v>46.6</v>
      </c>
      <c r="G945">
        <v>11.64</v>
      </c>
      <c r="H945">
        <v>0.45</v>
      </c>
      <c r="I945">
        <v>1.53</v>
      </c>
      <c r="J945">
        <v>5</v>
      </c>
      <c r="K945" t="s">
        <v>23</v>
      </c>
      <c r="L945" t="str">
        <f t="shared" si="360"/>
        <v>VALID</v>
      </c>
      <c r="M945">
        <f t="shared" si="373"/>
        <v>0.09</v>
      </c>
      <c r="N945" t="str">
        <f t="shared" si="374"/>
        <v>Low</v>
      </c>
      <c r="O945">
        <f t="shared" si="375"/>
        <v>6.585</v>
      </c>
      <c r="P945" t="str">
        <f t="shared" si="376"/>
        <v>Low</v>
      </c>
    </row>
    <row r="946" spans="1:16" x14ac:dyDescent="0.25">
      <c r="A946">
        <v>500</v>
      </c>
      <c r="B946">
        <v>11.26</v>
      </c>
      <c r="C946" t="s">
        <v>22</v>
      </c>
      <c r="D946" t="s">
        <v>18</v>
      </c>
      <c r="E946" s="3">
        <v>1500</v>
      </c>
      <c r="F946">
        <v>77.900000000000006</v>
      </c>
      <c r="G946">
        <v>14.86</v>
      </c>
      <c r="H946">
        <v>8.67</v>
      </c>
      <c r="I946">
        <v>77</v>
      </c>
      <c r="J946">
        <v>14</v>
      </c>
      <c r="K946" t="s">
        <v>16</v>
      </c>
      <c r="L946" t="str">
        <f t="shared" si="360"/>
        <v>VALID</v>
      </c>
      <c r="M946">
        <f t="shared" si="373"/>
        <v>0.61928571428571433</v>
      </c>
      <c r="N946" t="str">
        <f t="shared" si="374"/>
        <v>Medium</v>
      </c>
      <c r="O946">
        <f t="shared" si="375"/>
        <v>45.93</v>
      </c>
      <c r="P946" t="str">
        <f t="shared" si="376"/>
        <v>Medium</v>
      </c>
    </row>
    <row r="947" spans="1:16" x14ac:dyDescent="0.25">
      <c r="A947">
        <v>200</v>
      </c>
      <c r="B947">
        <v>12</v>
      </c>
      <c r="C947" t="s">
        <v>14</v>
      </c>
      <c r="D947" t="s">
        <v>17</v>
      </c>
      <c r="E947" s="3">
        <v>2500</v>
      </c>
      <c r="F947">
        <v>1</v>
      </c>
      <c r="G947">
        <v>6.49</v>
      </c>
      <c r="H947">
        <v>8.7799999999999994</v>
      </c>
      <c r="I947">
        <v>73.17</v>
      </c>
      <c r="J947">
        <v>17</v>
      </c>
      <c r="K947" t="s">
        <v>16</v>
      </c>
      <c r="L947" t="str">
        <f t="shared" si="360"/>
        <v>VALID</v>
      </c>
      <c r="M947">
        <f t="shared" si="373"/>
        <v>0.51647058823529413</v>
      </c>
      <c r="N947" t="str">
        <f t="shared" si="374"/>
        <v>Medium</v>
      </c>
      <c r="O947">
        <f t="shared" si="375"/>
        <v>39.83</v>
      </c>
      <c r="P947" t="str">
        <f t="shared" si="376"/>
        <v>Medium</v>
      </c>
    </row>
    <row r="948" spans="1:16" x14ac:dyDescent="0.25">
      <c r="A948">
        <v>250</v>
      </c>
      <c r="B948">
        <v>10.56</v>
      </c>
      <c r="C948" t="s">
        <v>11</v>
      </c>
      <c r="D948" t="s">
        <v>18</v>
      </c>
      <c r="E948" s="3">
        <v>150</v>
      </c>
      <c r="F948">
        <v>116.2</v>
      </c>
      <c r="G948">
        <v>7.59</v>
      </c>
      <c r="H948">
        <v>4.16</v>
      </c>
      <c r="I948">
        <v>39.39</v>
      </c>
      <c r="J948">
        <v>24</v>
      </c>
      <c r="K948" t="s">
        <v>13</v>
      </c>
      <c r="L948" t="str">
        <f t="shared" si="360"/>
        <v>VALID</v>
      </c>
      <c r="M948">
        <f t="shared" si="373"/>
        <v>0.17333333333333334</v>
      </c>
      <c r="N948" t="str">
        <f t="shared" si="374"/>
        <v>Low</v>
      </c>
      <c r="O948">
        <f t="shared" si="375"/>
        <v>23.490000000000002</v>
      </c>
      <c r="P948" t="str">
        <f t="shared" si="376"/>
        <v>Low</v>
      </c>
    </row>
    <row r="949" spans="1:16" x14ac:dyDescent="0.25">
      <c r="A949">
        <v>600</v>
      </c>
      <c r="B949">
        <v>10.09</v>
      </c>
      <c r="C949" t="s">
        <v>22</v>
      </c>
      <c r="D949" t="s">
        <v>12</v>
      </c>
      <c r="E949" s="3">
        <v>300</v>
      </c>
      <c r="F949">
        <v>-20.100000000000001</v>
      </c>
      <c r="G949">
        <v>3.04</v>
      </c>
      <c r="H949">
        <v>6.15</v>
      </c>
      <c r="I949">
        <v>60.95</v>
      </c>
      <c r="J949">
        <v>14</v>
      </c>
      <c r="K949" t="s">
        <v>16</v>
      </c>
      <c r="L949" t="str">
        <f t="shared" si="360"/>
        <v>VALID</v>
      </c>
      <c r="M949">
        <f t="shared" si="373"/>
        <v>0.43928571428571433</v>
      </c>
      <c r="N949" t="str">
        <f t="shared" si="374"/>
        <v>Low</v>
      </c>
      <c r="O949">
        <f t="shared" si="375"/>
        <v>31.995000000000001</v>
      </c>
      <c r="P949" t="str">
        <f t="shared" si="376"/>
        <v>Medium</v>
      </c>
    </row>
    <row r="950" spans="1:16" x14ac:dyDescent="0.25">
      <c r="A950">
        <v>200</v>
      </c>
      <c r="B950">
        <v>10.57</v>
      </c>
      <c r="C950" t="s">
        <v>11</v>
      </c>
      <c r="D950" t="s">
        <v>17</v>
      </c>
      <c r="E950" s="3">
        <v>900</v>
      </c>
      <c r="F950">
        <v>98.1</v>
      </c>
      <c r="G950">
        <v>0.33</v>
      </c>
      <c r="H950">
        <v>6.77</v>
      </c>
      <c r="I950">
        <v>64.05</v>
      </c>
      <c r="J950">
        <v>12</v>
      </c>
      <c r="K950" t="s">
        <v>16</v>
      </c>
      <c r="L950" t="str">
        <f t="shared" si="360"/>
        <v>VALID</v>
      </c>
      <c r="M950">
        <f t="shared" si="373"/>
        <v>0.56416666666666659</v>
      </c>
      <c r="N950" t="str">
        <f t="shared" si="374"/>
        <v>Low</v>
      </c>
      <c r="O950">
        <f t="shared" si="375"/>
        <v>32.19</v>
      </c>
      <c r="P950" t="str">
        <f t="shared" si="376"/>
        <v>Medium</v>
      </c>
    </row>
    <row r="951" spans="1:16" x14ac:dyDescent="0.25">
      <c r="A951">
        <v>1500</v>
      </c>
      <c r="B951">
        <v>45.56</v>
      </c>
      <c r="C951" t="s">
        <v>21</v>
      </c>
      <c r="D951" t="s">
        <v>15</v>
      </c>
      <c r="E951" s="3">
        <v>600</v>
      </c>
      <c r="F951">
        <v>138.5</v>
      </c>
      <c r="G951">
        <v>15.72</v>
      </c>
      <c r="H951">
        <v>8.7899999999999991</v>
      </c>
      <c r="I951">
        <v>19.29</v>
      </c>
      <c r="J951">
        <v>4</v>
      </c>
      <c r="K951" t="s">
        <v>16</v>
      </c>
      <c r="L951" t="str">
        <f t="shared" si="360"/>
        <v>VALID</v>
      </c>
      <c r="M951">
        <f t="shared" si="373"/>
        <v>2.1974999999999998</v>
      </c>
      <c r="N951" t="str">
        <f t="shared" si="374"/>
        <v>Low</v>
      </c>
      <c r="O951">
        <f t="shared" si="375"/>
        <v>17.504999999999999</v>
      </c>
      <c r="P951" t="str">
        <f t="shared" si="376"/>
        <v>Low</v>
      </c>
    </row>
    <row r="952" spans="1:16" x14ac:dyDescent="0.25">
      <c r="A952">
        <v>250</v>
      </c>
      <c r="B952">
        <v>8.27</v>
      </c>
      <c r="C952" t="s">
        <v>21</v>
      </c>
      <c r="D952" t="s">
        <v>15</v>
      </c>
      <c r="E952" s="3">
        <v>1500</v>
      </c>
      <c r="F952">
        <v>38.700000000000003</v>
      </c>
      <c r="G952">
        <v>3.44</v>
      </c>
      <c r="H952">
        <v>8.0399999999999991</v>
      </c>
      <c r="I952">
        <v>97.22</v>
      </c>
      <c r="J952">
        <v>17</v>
      </c>
      <c r="K952" t="s">
        <v>16</v>
      </c>
      <c r="L952" t="str">
        <f t="shared" si="360"/>
        <v>VALID</v>
      </c>
      <c r="M952">
        <f t="shared" si="373"/>
        <v>0.4729411764705882</v>
      </c>
      <c r="N952" t="str">
        <f t="shared" si="374"/>
        <v>Medium</v>
      </c>
      <c r="O952">
        <f t="shared" si="375"/>
        <v>50.33</v>
      </c>
      <c r="P952" t="str">
        <f t="shared" si="376"/>
        <v>Medium</v>
      </c>
    </row>
    <row r="953" spans="1:16" x14ac:dyDescent="0.25">
      <c r="A953">
        <v>1500</v>
      </c>
      <c r="B953">
        <v>48.66</v>
      </c>
      <c r="C953" t="s">
        <v>14</v>
      </c>
      <c r="D953" t="s">
        <v>17</v>
      </c>
      <c r="E953" s="3">
        <v>150</v>
      </c>
      <c r="F953">
        <v>-6.2</v>
      </c>
      <c r="G953">
        <v>5.48</v>
      </c>
      <c r="H953">
        <v>5.24</v>
      </c>
      <c r="I953">
        <v>10.77</v>
      </c>
      <c r="J953">
        <v>6</v>
      </c>
      <c r="K953" t="s">
        <v>16</v>
      </c>
      <c r="L953" t="str">
        <f t="shared" si="360"/>
        <v>VALID</v>
      </c>
      <c r="M953">
        <f t="shared" si="373"/>
        <v>0.87333333333333341</v>
      </c>
      <c r="N953" t="str">
        <f t="shared" si="374"/>
        <v>Low</v>
      </c>
      <c r="O953">
        <f t="shared" si="375"/>
        <v>8.125</v>
      </c>
      <c r="P953" t="str">
        <f t="shared" si="376"/>
        <v>Low</v>
      </c>
    </row>
    <row r="954" spans="1:16" x14ac:dyDescent="0.25">
      <c r="A954">
        <v>50</v>
      </c>
      <c r="B954">
        <v>5.24</v>
      </c>
      <c r="C954" t="s">
        <v>21</v>
      </c>
      <c r="D954" t="s">
        <v>20</v>
      </c>
      <c r="E954" s="3">
        <v>150</v>
      </c>
      <c r="F954">
        <v>79.599999999999994</v>
      </c>
      <c r="G954">
        <v>12.7</v>
      </c>
      <c r="H954">
        <v>0.08</v>
      </c>
      <c r="I954">
        <v>1.53</v>
      </c>
      <c r="J954">
        <v>7</v>
      </c>
      <c r="K954" t="s">
        <v>23</v>
      </c>
      <c r="L954" t="str">
        <f t="shared" si="360"/>
        <v>VALID</v>
      </c>
      <c r="M954">
        <f t="shared" si="373"/>
        <v>1.1428571428571429E-2</v>
      </c>
      <c r="N954" t="str">
        <f t="shared" si="374"/>
        <v>Low</v>
      </c>
      <c r="O954">
        <f t="shared" si="375"/>
        <v>7.1149999999999993</v>
      </c>
      <c r="P954" t="str">
        <f t="shared" si="376"/>
        <v>Low</v>
      </c>
    </row>
    <row r="955" spans="1:16" x14ac:dyDescent="0.25">
      <c r="A955">
        <v>150</v>
      </c>
      <c r="B955">
        <v>8.31</v>
      </c>
      <c r="C955" t="s">
        <v>11</v>
      </c>
      <c r="D955" t="s">
        <v>18</v>
      </c>
      <c r="E955" s="3">
        <v>900</v>
      </c>
      <c r="F955">
        <v>-16.7</v>
      </c>
      <c r="G955">
        <v>2.76</v>
      </c>
      <c r="H955">
        <v>7.64</v>
      </c>
      <c r="I955">
        <v>91.94</v>
      </c>
      <c r="J955">
        <v>4</v>
      </c>
      <c r="K955" t="s">
        <v>16</v>
      </c>
      <c r="L955" t="str">
        <f t="shared" si="360"/>
        <v>VALID</v>
      </c>
      <c r="M955">
        <f t="shared" si="373"/>
        <v>1.91</v>
      </c>
      <c r="N955" t="str">
        <f t="shared" si="374"/>
        <v>Low</v>
      </c>
      <c r="O955">
        <f t="shared" si="375"/>
        <v>47.35</v>
      </c>
      <c r="P955" t="str">
        <f t="shared" si="376"/>
        <v>Medium</v>
      </c>
    </row>
    <row r="956" spans="1:16" x14ac:dyDescent="0.25">
      <c r="A956">
        <v>250</v>
      </c>
      <c r="B956">
        <v>9.3699999999999992</v>
      </c>
      <c r="C956" t="s">
        <v>14</v>
      </c>
      <c r="D956" t="s">
        <v>12</v>
      </c>
      <c r="E956" s="3">
        <v>2500</v>
      </c>
      <c r="F956">
        <v>54.6</v>
      </c>
      <c r="G956">
        <v>7.99</v>
      </c>
      <c r="H956">
        <v>8.9600000000000009</v>
      </c>
      <c r="I956">
        <v>95.62</v>
      </c>
      <c r="J956">
        <v>16</v>
      </c>
      <c r="K956" t="s">
        <v>16</v>
      </c>
      <c r="L956" t="str">
        <f t="shared" si="360"/>
        <v>VALID</v>
      </c>
      <c r="M956">
        <f t="shared" si="373"/>
        <v>0.56000000000000005</v>
      </c>
      <c r="N956" t="str">
        <f t="shared" si="374"/>
        <v>Medium</v>
      </c>
      <c r="O956">
        <f t="shared" si="375"/>
        <v>51.805</v>
      </c>
      <c r="P956" t="str">
        <f t="shared" si="376"/>
        <v>Medium</v>
      </c>
    </row>
    <row r="957" spans="1:16" x14ac:dyDescent="0.25">
      <c r="A957">
        <v>400</v>
      </c>
      <c r="B957">
        <v>19.059999999999999</v>
      </c>
      <c r="C957" t="s">
        <v>21</v>
      </c>
      <c r="D957" t="s">
        <v>12</v>
      </c>
      <c r="E957" s="3">
        <v>2500</v>
      </c>
      <c r="F957">
        <v>63.1</v>
      </c>
      <c r="G957">
        <v>2.78</v>
      </c>
      <c r="H957">
        <v>2.1800000000000002</v>
      </c>
      <c r="I957">
        <v>11.44</v>
      </c>
      <c r="J957">
        <v>23</v>
      </c>
      <c r="K957" t="s">
        <v>13</v>
      </c>
      <c r="L957" t="str">
        <f t="shared" si="360"/>
        <v>VALID</v>
      </c>
      <c r="M957">
        <f t="shared" si="373"/>
        <v>9.4782608695652179E-2</v>
      </c>
      <c r="N957" t="str">
        <f t="shared" si="374"/>
        <v>Medium</v>
      </c>
      <c r="O957">
        <f t="shared" si="375"/>
        <v>7.1099999999999994</v>
      </c>
      <c r="P957" t="str">
        <f t="shared" si="376"/>
        <v>Low</v>
      </c>
    </row>
    <row r="958" spans="1:16" x14ac:dyDescent="0.25">
      <c r="A958">
        <v>1000</v>
      </c>
      <c r="B958">
        <v>22.01</v>
      </c>
      <c r="C958" t="s">
        <v>21</v>
      </c>
      <c r="D958" t="s">
        <v>12</v>
      </c>
      <c r="E958" s="3">
        <v>300</v>
      </c>
      <c r="F958">
        <v>12.7</v>
      </c>
      <c r="G958">
        <v>9.65</v>
      </c>
      <c r="H958">
        <v>8.81</v>
      </c>
      <c r="I958">
        <v>40.03</v>
      </c>
      <c r="J958">
        <v>15</v>
      </c>
      <c r="K958" t="s">
        <v>16</v>
      </c>
      <c r="L958" t="str">
        <f t="shared" si="360"/>
        <v>VALID</v>
      </c>
      <c r="M958">
        <f t="shared" si="373"/>
        <v>0.58733333333333337</v>
      </c>
      <c r="N958" t="str">
        <f t="shared" si="374"/>
        <v>Low</v>
      </c>
      <c r="O958">
        <f t="shared" si="375"/>
        <v>24.84</v>
      </c>
      <c r="P958" t="str">
        <f t="shared" si="376"/>
        <v>Low</v>
      </c>
    </row>
    <row r="959" spans="1:16" x14ac:dyDescent="0.25">
      <c r="A959">
        <v>1200</v>
      </c>
      <c r="B959">
        <v>30.98</v>
      </c>
      <c r="C959" t="s">
        <v>21</v>
      </c>
      <c r="D959" t="s">
        <v>17</v>
      </c>
      <c r="E959" s="3">
        <v>300</v>
      </c>
      <c r="F959">
        <v>82.6</v>
      </c>
      <c r="G959">
        <v>12.91</v>
      </c>
      <c r="H959">
        <v>2.38</v>
      </c>
      <c r="I959">
        <v>7.68</v>
      </c>
      <c r="J959">
        <v>18</v>
      </c>
      <c r="K959" t="s">
        <v>13</v>
      </c>
      <c r="L959" t="str">
        <f t="shared" si="360"/>
        <v>VALID</v>
      </c>
      <c r="M959">
        <f t="shared" si="373"/>
        <v>0.13222222222222221</v>
      </c>
      <c r="N959" t="str">
        <f t="shared" si="374"/>
        <v>Low</v>
      </c>
      <c r="O959">
        <f t="shared" si="375"/>
        <v>10.295</v>
      </c>
      <c r="P959" t="str">
        <f t="shared" si="376"/>
        <v>Low</v>
      </c>
    </row>
    <row r="960" spans="1:16" x14ac:dyDescent="0.25">
      <c r="A960">
        <v>1000</v>
      </c>
      <c r="B960">
        <v>21.91</v>
      </c>
      <c r="C960" t="s">
        <v>19</v>
      </c>
      <c r="D960" t="s">
        <v>17</v>
      </c>
      <c r="E960" s="3">
        <v>150</v>
      </c>
      <c r="F960">
        <v>105.7</v>
      </c>
      <c r="G960">
        <v>14.23</v>
      </c>
      <c r="H960">
        <v>0.76</v>
      </c>
      <c r="I960">
        <v>3.47</v>
      </c>
      <c r="J960">
        <v>7</v>
      </c>
      <c r="K960" t="s">
        <v>23</v>
      </c>
      <c r="L960" t="str">
        <f t="shared" si="360"/>
        <v>VALID</v>
      </c>
      <c r="M960">
        <f t="shared" si="373"/>
        <v>0.10857142857142857</v>
      </c>
      <c r="N960" t="str">
        <f t="shared" si="374"/>
        <v>Low</v>
      </c>
      <c r="O960">
        <f t="shared" si="375"/>
        <v>8.85</v>
      </c>
      <c r="P960" t="str">
        <f t="shared" si="376"/>
        <v>Low</v>
      </c>
    </row>
    <row r="961" spans="1:16" x14ac:dyDescent="0.25">
      <c r="A961">
        <v>800</v>
      </c>
      <c r="B961">
        <v>24.25</v>
      </c>
      <c r="C961" t="s">
        <v>11</v>
      </c>
      <c r="D961" t="s">
        <v>17</v>
      </c>
      <c r="E961" s="3">
        <v>150</v>
      </c>
      <c r="F961">
        <v>-28.4</v>
      </c>
      <c r="G961">
        <v>8.1</v>
      </c>
      <c r="H961">
        <v>8.0399999999999991</v>
      </c>
      <c r="I961">
        <v>33.15</v>
      </c>
      <c r="J961">
        <v>9</v>
      </c>
      <c r="K961" t="s">
        <v>16</v>
      </c>
      <c r="L961" t="str">
        <f t="shared" si="360"/>
        <v>VALID</v>
      </c>
      <c r="M961">
        <f t="shared" si="373"/>
        <v>0.8933333333333332</v>
      </c>
      <c r="N961" t="str">
        <f t="shared" si="374"/>
        <v>Low</v>
      </c>
      <c r="O961">
        <f t="shared" si="375"/>
        <v>20.625</v>
      </c>
      <c r="P961" t="str">
        <f t="shared" si="376"/>
        <v>Low</v>
      </c>
    </row>
    <row r="962" spans="1:16" x14ac:dyDescent="0.25">
      <c r="A962">
        <v>300</v>
      </c>
      <c r="B962">
        <v>17.77</v>
      </c>
      <c r="C962" t="s">
        <v>14</v>
      </c>
      <c r="D962" t="s">
        <v>12</v>
      </c>
      <c r="E962" s="3">
        <v>600</v>
      </c>
      <c r="F962">
        <v>74</v>
      </c>
      <c r="G962">
        <v>12.62</v>
      </c>
      <c r="H962">
        <v>5.54</v>
      </c>
      <c r="I962">
        <v>31.18</v>
      </c>
      <c r="J962">
        <v>9</v>
      </c>
      <c r="K962" t="s">
        <v>16</v>
      </c>
      <c r="L962" t="str">
        <f t="shared" si="360"/>
        <v>VALID</v>
      </c>
      <c r="M962">
        <f t="shared" si="373"/>
        <v>0.61555555555555552</v>
      </c>
      <c r="N962" t="str">
        <f t="shared" si="374"/>
        <v>Low</v>
      </c>
      <c r="O962">
        <f t="shared" si="375"/>
        <v>21.9</v>
      </c>
      <c r="P962" t="str">
        <f t="shared" si="376"/>
        <v>Low</v>
      </c>
    </row>
    <row r="963" spans="1:16" x14ac:dyDescent="0.25">
      <c r="A963">
        <v>800</v>
      </c>
      <c r="B963">
        <v>30.5</v>
      </c>
      <c r="C963" t="s">
        <v>22</v>
      </c>
      <c r="D963" t="s">
        <v>17</v>
      </c>
      <c r="E963" s="3">
        <v>2500</v>
      </c>
      <c r="F963">
        <v>60.4</v>
      </c>
      <c r="G963">
        <v>9.08</v>
      </c>
      <c r="H963">
        <v>3.44</v>
      </c>
      <c r="I963">
        <v>11.28</v>
      </c>
      <c r="J963">
        <v>23</v>
      </c>
      <c r="K963" t="s">
        <v>13</v>
      </c>
      <c r="L963" t="str">
        <f t="shared" ref="L963:L1001" si="377">IF(H963&gt;B963,"INVALID","VALID")</f>
        <v>VALID</v>
      </c>
      <c r="M963">
        <f t="shared" si="373"/>
        <v>0.14956521739130435</v>
      </c>
      <c r="N963" t="str">
        <f t="shared" si="374"/>
        <v>Medium</v>
      </c>
      <c r="O963">
        <f t="shared" si="375"/>
        <v>10.18</v>
      </c>
      <c r="P963" t="str">
        <f t="shared" si="376"/>
        <v>Low</v>
      </c>
    </row>
    <row r="964" spans="1:16" x14ac:dyDescent="0.25">
      <c r="A964">
        <v>1500</v>
      </c>
      <c r="B964">
        <v>47.92</v>
      </c>
      <c r="C964" t="s">
        <v>21</v>
      </c>
      <c r="D964" t="s">
        <v>17</v>
      </c>
      <c r="E964" s="3">
        <v>600</v>
      </c>
      <c r="F964">
        <v>63.2</v>
      </c>
      <c r="G964">
        <v>1.66</v>
      </c>
      <c r="H964">
        <v>7.53</v>
      </c>
      <c r="I964">
        <v>15.71</v>
      </c>
      <c r="J964">
        <v>17</v>
      </c>
      <c r="K964" t="s">
        <v>16</v>
      </c>
      <c r="L964" t="str">
        <f t="shared" si="377"/>
        <v>VALID</v>
      </c>
      <c r="M964">
        <f t="shared" si="373"/>
        <v>0.44294117647058823</v>
      </c>
      <c r="N964" t="str">
        <f t="shared" si="374"/>
        <v>Low</v>
      </c>
      <c r="O964">
        <f t="shared" si="375"/>
        <v>8.6850000000000005</v>
      </c>
      <c r="P964" t="str">
        <f t="shared" si="376"/>
        <v>Low</v>
      </c>
    </row>
    <row r="965" spans="1:16" x14ac:dyDescent="0.25">
      <c r="A965">
        <v>600</v>
      </c>
      <c r="B965">
        <v>29.21</v>
      </c>
      <c r="C965" t="s">
        <v>14</v>
      </c>
      <c r="D965" t="s">
        <v>20</v>
      </c>
      <c r="E965" s="3">
        <v>900</v>
      </c>
      <c r="F965">
        <v>1.6</v>
      </c>
      <c r="G965">
        <v>14.94</v>
      </c>
      <c r="H965">
        <v>5.67</v>
      </c>
      <c r="I965">
        <v>19.41</v>
      </c>
      <c r="J965">
        <v>3</v>
      </c>
      <c r="K965" t="s">
        <v>16</v>
      </c>
      <c r="L965" t="str">
        <f t="shared" si="377"/>
        <v>VALID</v>
      </c>
      <c r="M965">
        <f t="shared" si="373"/>
        <v>1.89</v>
      </c>
      <c r="N965" t="str">
        <f t="shared" si="374"/>
        <v>Low</v>
      </c>
      <c r="O965">
        <f t="shared" si="375"/>
        <v>17.175000000000001</v>
      </c>
      <c r="P965" t="str">
        <f t="shared" si="376"/>
        <v>Low</v>
      </c>
    </row>
    <row r="966" spans="1:16" x14ac:dyDescent="0.25">
      <c r="A966">
        <v>100</v>
      </c>
      <c r="B966">
        <v>4.3099999999999996</v>
      </c>
      <c r="C966" t="s">
        <v>19</v>
      </c>
      <c r="D966" t="s">
        <v>15</v>
      </c>
      <c r="E966" s="3">
        <v>600</v>
      </c>
      <c r="F966">
        <v>30.5</v>
      </c>
      <c r="G966">
        <v>15.37</v>
      </c>
      <c r="H966">
        <v>2.58</v>
      </c>
      <c r="I966">
        <v>59.86</v>
      </c>
      <c r="J966">
        <v>11</v>
      </c>
      <c r="K966" t="s">
        <v>13</v>
      </c>
      <c r="L966" t="str">
        <f t="shared" si="377"/>
        <v>VALID</v>
      </c>
      <c r="M966">
        <f t="shared" si="373"/>
        <v>0.23454545454545456</v>
      </c>
      <c r="N966" t="str">
        <f t="shared" si="374"/>
        <v>Low</v>
      </c>
      <c r="O966">
        <f t="shared" si="375"/>
        <v>37.615000000000002</v>
      </c>
      <c r="P966" t="str">
        <f t="shared" si="376"/>
        <v>Medium</v>
      </c>
    </row>
    <row r="967" spans="1:16" x14ac:dyDescent="0.25">
      <c r="A967">
        <v>800</v>
      </c>
      <c r="B967">
        <v>29.61</v>
      </c>
      <c r="C967" t="s">
        <v>21</v>
      </c>
      <c r="D967" t="s">
        <v>15</v>
      </c>
      <c r="E967" s="3">
        <v>2500</v>
      </c>
      <c r="F967">
        <v>-7.2</v>
      </c>
      <c r="G967">
        <v>5.57</v>
      </c>
      <c r="H967">
        <v>9.94</v>
      </c>
      <c r="I967">
        <v>33.57</v>
      </c>
      <c r="J967">
        <v>11</v>
      </c>
      <c r="K967" t="s">
        <v>16</v>
      </c>
      <c r="L967" t="str">
        <f t="shared" si="377"/>
        <v>VALID</v>
      </c>
      <c r="M967">
        <f t="shared" si="373"/>
        <v>0.90363636363636357</v>
      </c>
      <c r="N967" t="str">
        <f t="shared" si="374"/>
        <v>Medium</v>
      </c>
      <c r="O967">
        <f t="shared" si="375"/>
        <v>19.57</v>
      </c>
      <c r="P967" t="str">
        <f t="shared" si="376"/>
        <v>Low</v>
      </c>
    </row>
    <row r="968" spans="1:16" x14ac:dyDescent="0.25">
      <c r="A968">
        <v>250</v>
      </c>
      <c r="B968">
        <v>7.35</v>
      </c>
      <c r="C968" t="s">
        <v>14</v>
      </c>
      <c r="D968" t="s">
        <v>20</v>
      </c>
      <c r="E968" s="3">
        <v>900</v>
      </c>
      <c r="F968">
        <v>43.5</v>
      </c>
      <c r="G968">
        <v>14.63</v>
      </c>
      <c r="H968">
        <v>2.84</v>
      </c>
      <c r="I968">
        <v>38.64</v>
      </c>
      <c r="J968">
        <v>6</v>
      </c>
      <c r="K968" t="s">
        <v>13</v>
      </c>
      <c r="L968" t="str">
        <f t="shared" si="377"/>
        <v>VALID</v>
      </c>
      <c r="M968">
        <f t="shared" si="373"/>
        <v>0.47333333333333333</v>
      </c>
      <c r="N968" t="str">
        <f t="shared" si="374"/>
        <v>Low</v>
      </c>
      <c r="O968">
        <f t="shared" si="375"/>
        <v>26.635000000000002</v>
      </c>
      <c r="P968" t="str">
        <f t="shared" si="376"/>
        <v>Low</v>
      </c>
    </row>
    <row r="969" spans="1:16" hidden="1" x14ac:dyDescent="0.25">
      <c r="A969">
        <v>100</v>
      </c>
      <c r="B969">
        <v>6.37</v>
      </c>
      <c r="C969" t="s">
        <v>11</v>
      </c>
      <c r="D969" t="s">
        <v>18</v>
      </c>
      <c r="E969">
        <v>900</v>
      </c>
      <c r="F969">
        <v>37.799999999999997</v>
      </c>
      <c r="G969">
        <v>2.89</v>
      </c>
      <c r="H969">
        <v>7.99</v>
      </c>
      <c r="I969">
        <v>125.43</v>
      </c>
      <c r="J969">
        <v>13</v>
      </c>
      <c r="K969" t="s">
        <v>16</v>
      </c>
      <c r="L969" t="str">
        <f t="shared" si="377"/>
        <v>INVALID</v>
      </c>
    </row>
    <row r="970" spans="1:16" x14ac:dyDescent="0.25">
      <c r="A970">
        <v>600</v>
      </c>
      <c r="B970">
        <v>23.46</v>
      </c>
      <c r="C970" t="s">
        <v>21</v>
      </c>
      <c r="D970" t="s">
        <v>18</v>
      </c>
      <c r="E970" s="3">
        <v>900</v>
      </c>
      <c r="F970">
        <v>2.8</v>
      </c>
      <c r="G970">
        <v>13.95</v>
      </c>
      <c r="H970">
        <v>6.4</v>
      </c>
      <c r="I970">
        <v>27.28</v>
      </c>
      <c r="J970">
        <v>1</v>
      </c>
      <c r="K970" t="s">
        <v>16</v>
      </c>
      <c r="L970" t="str">
        <f t="shared" si="377"/>
        <v>VALID</v>
      </c>
      <c r="M970">
        <f t="shared" ref="M970:M974" si="378">IF(J970&gt;0,H970/J970," ")</f>
        <v>6.4</v>
      </c>
      <c r="N970" t="str">
        <f t="shared" ref="N970:N974" si="379">IF(ISNUMBER(E970),IF(E970&lt;1000,"Low",IF(E970&lt;3000,"Medium","High")),"Unknown")</f>
        <v>Low</v>
      </c>
      <c r="O970">
        <f t="shared" ref="O970:O974" si="380">(G970+I970)/2</f>
        <v>20.615000000000002</v>
      </c>
      <c r="P970" t="str">
        <f t="shared" ref="P970:P974" si="381">IF(O970&lt;30,"Low",IF(O970&lt;60,"Medium","High"))</f>
        <v>Low</v>
      </c>
    </row>
    <row r="971" spans="1:16" x14ac:dyDescent="0.25">
      <c r="A971">
        <v>300</v>
      </c>
      <c r="B971">
        <v>8.9600000000000009</v>
      </c>
      <c r="C971" t="s">
        <v>21</v>
      </c>
      <c r="D971" t="s">
        <v>17</v>
      </c>
      <c r="E971" s="3">
        <v>2500</v>
      </c>
      <c r="F971">
        <v>43.2</v>
      </c>
      <c r="G971">
        <v>3.8</v>
      </c>
      <c r="H971">
        <v>1.19</v>
      </c>
      <c r="I971">
        <v>13.28</v>
      </c>
      <c r="J971">
        <v>12</v>
      </c>
      <c r="K971" t="s">
        <v>23</v>
      </c>
      <c r="L971" t="str">
        <f t="shared" si="377"/>
        <v>VALID</v>
      </c>
      <c r="M971">
        <f t="shared" si="378"/>
        <v>9.9166666666666667E-2</v>
      </c>
      <c r="N971" t="str">
        <f t="shared" si="379"/>
        <v>Medium</v>
      </c>
      <c r="O971">
        <f t="shared" si="380"/>
        <v>8.5399999999999991</v>
      </c>
      <c r="P971" t="str">
        <f t="shared" si="381"/>
        <v>Low</v>
      </c>
    </row>
    <row r="972" spans="1:16" x14ac:dyDescent="0.25">
      <c r="A972">
        <v>300</v>
      </c>
      <c r="B972">
        <v>9.7100000000000009</v>
      </c>
      <c r="C972" t="s">
        <v>21</v>
      </c>
      <c r="D972" t="s">
        <v>15</v>
      </c>
      <c r="E972" s="3">
        <v>1500</v>
      </c>
      <c r="F972">
        <v>-22.9</v>
      </c>
      <c r="G972">
        <v>8.9</v>
      </c>
      <c r="H972">
        <v>4.1500000000000004</v>
      </c>
      <c r="I972">
        <v>42.74</v>
      </c>
      <c r="J972">
        <v>10</v>
      </c>
      <c r="K972" t="s">
        <v>13</v>
      </c>
      <c r="L972" t="str">
        <f t="shared" si="377"/>
        <v>VALID</v>
      </c>
      <c r="M972">
        <f t="shared" si="378"/>
        <v>0.41500000000000004</v>
      </c>
      <c r="N972" t="str">
        <f t="shared" si="379"/>
        <v>Medium</v>
      </c>
      <c r="O972">
        <f t="shared" si="380"/>
        <v>25.82</v>
      </c>
      <c r="P972" t="str">
        <f t="shared" si="381"/>
        <v>Low</v>
      </c>
    </row>
    <row r="973" spans="1:16" x14ac:dyDescent="0.25">
      <c r="A973">
        <v>400</v>
      </c>
      <c r="B973">
        <v>9.89</v>
      </c>
      <c r="C973" t="s">
        <v>19</v>
      </c>
      <c r="D973" t="s">
        <v>15</v>
      </c>
      <c r="E973" s="3">
        <v>1500</v>
      </c>
      <c r="F973">
        <v>11</v>
      </c>
      <c r="G973">
        <v>16.309999999999999</v>
      </c>
      <c r="H973">
        <v>0.86</v>
      </c>
      <c r="I973">
        <v>8.6999999999999993</v>
      </c>
      <c r="J973">
        <v>19</v>
      </c>
      <c r="K973" t="s">
        <v>23</v>
      </c>
      <c r="L973" t="str">
        <f t="shared" si="377"/>
        <v>VALID</v>
      </c>
      <c r="M973">
        <f t="shared" si="378"/>
        <v>4.5263157894736838E-2</v>
      </c>
      <c r="N973" t="str">
        <f t="shared" si="379"/>
        <v>Medium</v>
      </c>
      <c r="O973">
        <f t="shared" si="380"/>
        <v>12.504999999999999</v>
      </c>
      <c r="P973" t="str">
        <f t="shared" si="381"/>
        <v>Low</v>
      </c>
    </row>
    <row r="974" spans="1:16" x14ac:dyDescent="0.25">
      <c r="A974">
        <v>150</v>
      </c>
      <c r="B974">
        <v>7.34</v>
      </c>
      <c r="C974" t="s">
        <v>21</v>
      </c>
      <c r="D974" t="s">
        <v>17</v>
      </c>
      <c r="E974" s="3">
        <v>1500</v>
      </c>
      <c r="F974">
        <v>16.899999999999999</v>
      </c>
      <c r="G974">
        <v>6.6</v>
      </c>
      <c r="H974">
        <v>3.21</v>
      </c>
      <c r="I974">
        <v>43.73</v>
      </c>
      <c r="J974">
        <v>16</v>
      </c>
      <c r="K974" t="s">
        <v>13</v>
      </c>
      <c r="L974" t="str">
        <f t="shared" si="377"/>
        <v>VALID</v>
      </c>
      <c r="M974">
        <f t="shared" si="378"/>
        <v>0.200625</v>
      </c>
      <c r="N974" t="str">
        <f t="shared" si="379"/>
        <v>Medium</v>
      </c>
      <c r="O974">
        <f t="shared" si="380"/>
        <v>25.164999999999999</v>
      </c>
      <c r="P974" t="str">
        <f t="shared" si="381"/>
        <v>Low</v>
      </c>
    </row>
    <row r="975" spans="1:16" hidden="1" x14ac:dyDescent="0.25">
      <c r="A975">
        <v>150</v>
      </c>
      <c r="B975">
        <v>5.98</v>
      </c>
      <c r="C975" t="s">
        <v>11</v>
      </c>
      <c r="D975" t="s">
        <v>18</v>
      </c>
      <c r="E975">
        <v>1500</v>
      </c>
      <c r="F975">
        <v>-7.2</v>
      </c>
      <c r="G975">
        <v>11.61</v>
      </c>
      <c r="H975">
        <v>6.32</v>
      </c>
      <c r="I975">
        <v>105.69</v>
      </c>
      <c r="J975">
        <v>1</v>
      </c>
      <c r="K975" t="s">
        <v>16</v>
      </c>
      <c r="L975" t="str">
        <f t="shared" si="377"/>
        <v>INVALID</v>
      </c>
    </row>
    <row r="976" spans="1:16" x14ac:dyDescent="0.25">
      <c r="A976">
        <v>500</v>
      </c>
      <c r="B976">
        <v>17.559999999999999</v>
      </c>
      <c r="C976" t="s">
        <v>22</v>
      </c>
      <c r="D976" t="s">
        <v>20</v>
      </c>
      <c r="E976" s="3">
        <v>300</v>
      </c>
      <c r="F976">
        <v>19.399999999999999</v>
      </c>
      <c r="G976">
        <v>17.52</v>
      </c>
      <c r="H976">
        <v>6.12</v>
      </c>
      <c r="I976">
        <v>34.85</v>
      </c>
      <c r="J976">
        <v>20</v>
      </c>
      <c r="K976" t="s">
        <v>16</v>
      </c>
      <c r="L976" t="str">
        <f t="shared" si="377"/>
        <v>VALID</v>
      </c>
      <c r="M976">
        <f t="shared" ref="M976:M982" si="382">IF(J976&gt;0,H976/J976," ")</f>
        <v>0.30599999999999999</v>
      </c>
      <c r="N976" t="str">
        <f t="shared" ref="N976:N982" si="383">IF(ISNUMBER(E976),IF(E976&lt;1000,"Low",IF(E976&lt;3000,"Medium","High")),"Unknown")</f>
        <v>Low</v>
      </c>
      <c r="O976">
        <f t="shared" ref="O976:O982" si="384">(G976+I976)/2</f>
        <v>26.185000000000002</v>
      </c>
      <c r="P976" t="str">
        <f t="shared" ref="P976:P982" si="385">IF(O976&lt;30,"Low",IF(O976&lt;60,"Medium","High"))</f>
        <v>Low</v>
      </c>
    </row>
    <row r="977" spans="1:16" x14ac:dyDescent="0.25">
      <c r="A977">
        <v>400</v>
      </c>
      <c r="B977">
        <v>18.18</v>
      </c>
      <c r="C977" t="s">
        <v>11</v>
      </c>
      <c r="D977" t="s">
        <v>17</v>
      </c>
      <c r="E977" s="3">
        <v>600</v>
      </c>
      <c r="F977">
        <v>133.9</v>
      </c>
      <c r="G977">
        <v>2.06</v>
      </c>
      <c r="H977">
        <v>1.64</v>
      </c>
      <c r="I977">
        <v>9.02</v>
      </c>
      <c r="J977">
        <v>23</v>
      </c>
      <c r="K977" t="s">
        <v>23</v>
      </c>
      <c r="L977" t="str">
        <f t="shared" si="377"/>
        <v>VALID</v>
      </c>
      <c r="M977">
        <f t="shared" si="382"/>
        <v>7.1304347826086953E-2</v>
      </c>
      <c r="N977" t="str">
        <f t="shared" si="383"/>
        <v>Low</v>
      </c>
      <c r="O977">
        <f t="shared" si="384"/>
        <v>5.54</v>
      </c>
      <c r="P977" t="str">
        <f t="shared" si="385"/>
        <v>Low</v>
      </c>
    </row>
    <row r="978" spans="1:16" x14ac:dyDescent="0.25">
      <c r="A978">
        <v>200</v>
      </c>
      <c r="B978">
        <v>8.2899999999999991</v>
      </c>
      <c r="C978" t="s">
        <v>14</v>
      </c>
      <c r="D978" t="s">
        <v>12</v>
      </c>
      <c r="E978" s="3">
        <v>1500</v>
      </c>
      <c r="F978">
        <v>58</v>
      </c>
      <c r="G978">
        <v>4.7300000000000004</v>
      </c>
      <c r="H978">
        <v>1.65</v>
      </c>
      <c r="I978">
        <v>19.899999999999999</v>
      </c>
      <c r="J978">
        <v>10</v>
      </c>
      <c r="K978" t="s">
        <v>23</v>
      </c>
      <c r="L978" t="str">
        <f t="shared" si="377"/>
        <v>VALID</v>
      </c>
      <c r="M978">
        <f t="shared" si="382"/>
        <v>0.16499999999999998</v>
      </c>
      <c r="N978" t="str">
        <f t="shared" si="383"/>
        <v>Medium</v>
      </c>
      <c r="O978">
        <f t="shared" si="384"/>
        <v>12.315</v>
      </c>
      <c r="P978" t="str">
        <f t="shared" si="385"/>
        <v>Low</v>
      </c>
    </row>
    <row r="979" spans="1:16" x14ac:dyDescent="0.25">
      <c r="A979">
        <v>500</v>
      </c>
      <c r="B979">
        <v>22.11</v>
      </c>
      <c r="C979" t="s">
        <v>21</v>
      </c>
      <c r="D979" t="s">
        <v>15</v>
      </c>
      <c r="E979" s="3">
        <v>600</v>
      </c>
      <c r="F979">
        <v>35.1</v>
      </c>
      <c r="G979">
        <v>10.4</v>
      </c>
      <c r="H979">
        <v>3</v>
      </c>
      <c r="I979">
        <v>13.57</v>
      </c>
      <c r="J979">
        <v>8</v>
      </c>
      <c r="K979" t="s">
        <v>13</v>
      </c>
      <c r="L979" t="str">
        <f t="shared" si="377"/>
        <v>VALID</v>
      </c>
      <c r="M979">
        <f t="shared" si="382"/>
        <v>0.375</v>
      </c>
      <c r="N979" t="str">
        <f t="shared" si="383"/>
        <v>Low</v>
      </c>
      <c r="O979">
        <f t="shared" si="384"/>
        <v>11.984999999999999</v>
      </c>
      <c r="P979" t="str">
        <f t="shared" si="385"/>
        <v>Low</v>
      </c>
    </row>
    <row r="980" spans="1:16" x14ac:dyDescent="0.25">
      <c r="A980">
        <v>1500</v>
      </c>
      <c r="B980">
        <v>47.99</v>
      </c>
      <c r="C980" t="s">
        <v>21</v>
      </c>
      <c r="D980" t="s">
        <v>20</v>
      </c>
      <c r="E980" s="3">
        <v>150</v>
      </c>
      <c r="F980">
        <v>51.8</v>
      </c>
      <c r="G980">
        <v>2.0099999999999998</v>
      </c>
      <c r="H980">
        <v>5.34</v>
      </c>
      <c r="I980">
        <v>11.13</v>
      </c>
      <c r="J980">
        <v>5</v>
      </c>
      <c r="K980" t="s">
        <v>16</v>
      </c>
      <c r="L980" t="str">
        <f t="shared" si="377"/>
        <v>VALID</v>
      </c>
      <c r="M980">
        <f t="shared" si="382"/>
        <v>1.0680000000000001</v>
      </c>
      <c r="N980" t="str">
        <f t="shared" si="383"/>
        <v>Low</v>
      </c>
      <c r="O980">
        <f t="shared" si="384"/>
        <v>6.57</v>
      </c>
      <c r="P980" t="str">
        <f t="shared" si="385"/>
        <v>Low</v>
      </c>
    </row>
    <row r="981" spans="1:16" x14ac:dyDescent="0.25">
      <c r="A981">
        <v>600</v>
      </c>
      <c r="B981">
        <v>25.19</v>
      </c>
      <c r="C981" t="s">
        <v>21</v>
      </c>
      <c r="D981" t="s">
        <v>17</v>
      </c>
      <c r="E981" s="3">
        <v>600</v>
      </c>
      <c r="F981">
        <v>-40.9</v>
      </c>
      <c r="G981">
        <v>1.9</v>
      </c>
      <c r="H981">
        <v>5.63</v>
      </c>
      <c r="I981">
        <v>22.35</v>
      </c>
      <c r="J981">
        <v>25</v>
      </c>
      <c r="K981" t="s">
        <v>16</v>
      </c>
      <c r="L981" t="str">
        <f t="shared" si="377"/>
        <v>VALID</v>
      </c>
      <c r="M981">
        <f t="shared" si="382"/>
        <v>0.22519999999999998</v>
      </c>
      <c r="N981" t="str">
        <f t="shared" si="383"/>
        <v>Low</v>
      </c>
      <c r="O981">
        <f t="shared" si="384"/>
        <v>12.125</v>
      </c>
      <c r="P981" t="str">
        <f t="shared" si="385"/>
        <v>Low</v>
      </c>
    </row>
    <row r="982" spans="1:16" x14ac:dyDescent="0.25">
      <c r="A982">
        <v>1200</v>
      </c>
      <c r="B982">
        <v>36.86</v>
      </c>
      <c r="C982" t="s">
        <v>11</v>
      </c>
      <c r="D982" t="s">
        <v>18</v>
      </c>
      <c r="E982" s="3">
        <v>1500</v>
      </c>
      <c r="F982">
        <v>54.1</v>
      </c>
      <c r="G982">
        <v>3.7</v>
      </c>
      <c r="H982">
        <v>7.92</v>
      </c>
      <c r="I982">
        <v>21.49</v>
      </c>
      <c r="J982">
        <v>15</v>
      </c>
      <c r="K982" t="s">
        <v>16</v>
      </c>
      <c r="L982" t="str">
        <f t="shared" si="377"/>
        <v>VALID</v>
      </c>
      <c r="M982">
        <f t="shared" si="382"/>
        <v>0.52800000000000002</v>
      </c>
      <c r="N982" t="str">
        <f t="shared" si="383"/>
        <v>Medium</v>
      </c>
      <c r="O982">
        <f t="shared" si="384"/>
        <v>12.594999999999999</v>
      </c>
      <c r="P982" t="str">
        <f t="shared" si="385"/>
        <v>Low</v>
      </c>
    </row>
    <row r="983" spans="1:16" hidden="1" x14ac:dyDescent="0.25">
      <c r="A983">
        <v>200</v>
      </c>
      <c r="B983">
        <v>7.28</v>
      </c>
      <c r="C983" t="s">
        <v>14</v>
      </c>
      <c r="D983" t="s">
        <v>20</v>
      </c>
      <c r="E983">
        <v>600</v>
      </c>
      <c r="F983">
        <v>54.1</v>
      </c>
      <c r="G983">
        <v>19.07</v>
      </c>
      <c r="H983">
        <v>9.18</v>
      </c>
      <c r="I983">
        <v>126.1</v>
      </c>
      <c r="J983">
        <v>11</v>
      </c>
      <c r="K983" t="s">
        <v>16</v>
      </c>
      <c r="L983" t="str">
        <f t="shared" si="377"/>
        <v>INVALID</v>
      </c>
    </row>
    <row r="984" spans="1:16" x14ac:dyDescent="0.25">
      <c r="A984">
        <v>500</v>
      </c>
      <c r="B984">
        <v>15.64</v>
      </c>
      <c r="C984" t="s">
        <v>21</v>
      </c>
      <c r="D984" t="s">
        <v>20</v>
      </c>
      <c r="E984" s="3">
        <v>300</v>
      </c>
      <c r="F984">
        <v>41.6</v>
      </c>
      <c r="G984">
        <v>3.71</v>
      </c>
      <c r="H984">
        <v>3.73</v>
      </c>
      <c r="I984">
        <v>23.85</v>
      </c>
      <c r="J984">
        <v>22</v>
      </c>
      <c r="K984" t="s">
        <v>13</v>
      </c>
      <c r="L984" t="str">
        <f t="shared" si="377"/>
        <v>VALID</v>
      </c>
      <c r="M984">
        <f t="shared" ref="M984:M988" si="386">IF(J984&gt;0,H984/J984," ")</f>
        <v>0.16954545454545455</v>
      </c>
      <c r="N984" t="str">
        <f t="shared" ref="N984:N988" si="387">IF(ISNUMBER(E984),IF(E984&lt;1000,"Low",IF(E984&lt;3000,"Medium","High")),"Unknown")</f>
        <v>Low</v>
      </c>
      <c r="O984">
        <f t="shared" ref="O984:O988" si="388">(G984+I984)/2</f>
        <v>13.780000000000001</v>
      </c>
      <c r="P984" t="str">
        <f t="shared" ref="P984:P988" si="389">IF(O984&lt;30,"Low",IF(O984&lt;60,"Medium","High"))</f>
        <v>Low</v>
      </c>
    </row>
    <row r="985" spans="1:16" x14ac:dyDescent="0.25">
      <c r="A985">
        <v>200</v>
      </c>
      <c r="B985">
        <v>11.87</v>
      </c>
      <c r="C985" t="s">
        <v>22</v>
      </c>
      <c r="D985" t="s">
        <v>12</v>
      </c>
      <c r="E985" s="3">
        <v>600</v>
      </c>
      <c r="F985">
        <v>35.4</v>
      </c>
      <c r="G985">
        <v>19.72</v>
      </c>
      <c r="H985">
        <v>9.6</v>
      </c>
      <c r="I985">
        <v>80.88</v>
      </c>
      <c r="J985">
        <v>8</v>
      </c>
      <c r="K985" t="s">
        <v>16</v>
      </c>
      <c r="L985" t="str">
        <f t="shared" si="377"/>
        <v>VALID</v>
      </c>
      <c r="M985">
        <f t="shared" si="386"/>
        <v>1.2</v>
      </c>
      <c r="N985" t="str">
        <f t="shared" si="387"/>
        <v>Low</v>
      </c>
      <c r="O985">
        <f t="shared" si="388"/>
        <v>50.3</v>
      </c>
      <c r="P985" t="str">
        <f t="shared" si="389"/>
        <v>Medium</v>
      </c>
    </row>
    <row r="986" spans="1:16" x14ac:dyDescent="0.25">
      <c r="A986">
        <v>150</v>
      </c>
      <c r="B986">
        <v>9.2799999999999994</v>
      </c>
      <c r="C986" t="s">
        <v>19</v>
      </c>
      <c r="D986" t="s">
        <v>20</v>
      </c>
      <c r="E986" s="3">
        <v>600</v>
      </c>
      <c r="F986">
        <v>-23.7</v>
      </c>
      <c r="G986">
        <v>16.37</v>
      </c>
      <c r="H986">
        <v>2.7</v>
      </c>
      <c r="I986">
        <v>29.09</v>
      </c>
      <c r="J986">
        <v>7</v>
      </c>
      <c r="K986" t="s">
        <v>13</v>
      </c>
      <c r="L986" t="str">
        <f t="shared" si="377"/>
        <v>VALID</v>
      </c>
      <c r="M986">
        <f t="shared" si="386"/>
        <v>0.38571428571428573</v>
      </c>
      <c r="N986" t="str">
        <f t="shared" si="387"/>
        <v>Low</v>
      </c>
      <c r="O986">
        <f t="shared" si="388"/>
        <v>22.73</v>
      </c>
      <c r="P986" t="str">
        <f t="shared" si="389"/>
        <v>Low</v>
      </c>
    </row>
    <row r="987" spans="1:16" x14ac:dyDescent="0.25">
      <c r="A987">
        <v>800</v>
      </c>
      <c r="B987">
        <v>30.78</v>
      </c>
      <c r="C987" t="s">
        <v>21</v>
      </c>
      <c r="D987" t="s">
        <v>20</v>
      </c>
      <c r="E987" s="3">
        <v>900</v>
      </c>
      <c r="F987">
        <v>87.8</v>
      </c>
      <c r="G987">
        <v>18.36</v>
      </c>
      <c r="H987">
        <v>4.88</v>
      </c>
      <c r="I987">
        <v>15.85</v>
      </c>
      <c r="J987">
        <v>4</v>
      </c>
      <c r="K987" t="s">
        <v>13</v>
      </c>
      <c r="L987" t="str">
        <f t="shared" si="377"/>
        <v>VALID</v>
      </c>
      <c r="M987">
        <f t="shared" si="386"/>
        <v>1.22</v>
      </c>
      <c r="N987" t="str">
        <f t="shared" si="387"/>
        <v>Low</v>
      </c>
      <c r="O987">
        <f t="shared" si="388"/>
        <v>17.105</v>
      </c>
      <c r="P987" t="str">
        <f t="shared" si="389"/>
        <v>Low</v>
      </c>
    </row>
    <row r="988" spans="1:16" x14ac:dyDescent="0.25">
      <c r="A988">
        <v>150</v>
      </c>
      <c r="B988">
        <v>8.2899999999999991</v>
      </c>
      <c r="C988" t="s">
        <v>22</v>
      </c>
      <c r="D988" t="s">
        <v>17</v>
      </c>
      <c r="E988" s="3">
        <v>2500</v>
      </c>
      <c r="F988">
        <v>13.4</v>
      </c>
      <c r="G988">
        <v>19.59</v>
      </c>
      <c r="H988">
        <v>5.66</v>
      </c>
      <c r="I988">
        <v>68.28</v>
      </c>
      <c r="J988">
        <v>2</v>
      </c>
      <c r="K988" t="s">
        <v>16</v>
      </c>
      <c r="L988" t="str">
        <f t="shared" si="377"/>
        <v>VALID</v>
      </c>
      <c r="M988">
        <f t="shared" si="386"/>
        <v>2.83</v>
      </c>
      <c r="N988" t="str">
        <f t="shared" si="387"/>
        <v>Medium</v>
      </c>
      <c r="O988">
        <f t="shared" si="388"/>
        <v>43.935000000000002</v>
      </c>
      <c r="P988" t="str">
        <f t="shared" si="389"/>
        <v>Medium</v>
      </c>
    </row>
    <row r="989" spans="1:16" hidden="1" x14ac:dyDescent="0.25">
      <c r="A989">
        <v>100</v>
      </c>
      <c r="B989">
        <v>4.2300000000000004</v>
      </c>
      <c r="C989" t="s">
        <v>21</v>
      </c>
      <c r="D989" t="s">
        <v>17</v>
      </c>
      <c r="E989">
        <v>300</v>
      </c>
      <c r="F989">
        <v>24.2</v>
      </c>
      <c r="G989">
        <v>17.16</v>
      </c>
      <c r="H989">
        <v>6.84</v>
      </c>
      <c r="I989">
        <v>161.69999999999999</v>
      </c>
      <c r="J989">
        <v>17</v>
      </c>
      <c r="K989" t="s">
        <v>16</v>
      </c>
      <c r="L989" t="str">
        <f t="shared" si="377"/>
        <v>INVALID</v>
      </c>
    </row>
    <row r="990" spans="1:16" x14ac:dyDescent="0.25">
      <c r="A990">
        <v>150</v>
      </c>
      <c r="B990">
        <v>8.26</v>
      </c>
      <c r="C990" t="s">
        <v>21</v>
      </c>
      <c r="D990" t="s">
        <v>18</v>
      </c>
      <c r="E990" s="3">
        <v>900</v>
      </c>
      <c r="F990">
        <v>107.8</v>
      </c>
      <c r="G990">
        <v>16.91</v>
      </c>
      <c r="H990">
        <v>1.18</v>
      </c>
      <c r="I990">
        <v>14.29</v>
      </c>
      <c r="J990">
        <v>10</v>
      </c>
      <c r="K990" t="s">
        <v>23</v>
      </c>
      <c r="L990" t="str">
        <f t="shared" si="377"/>
        <v>VALID</v>
      </c>
      <c r="M990">
        <f t="shared" ref="M990:M992" si="390">IF(J990&gt;0,H990/J990," ")</f>
        <v>0.11799999999999999</v>
      </c>
      <c r="N990" t="str">
        <f t="shared" ref="N990:N992" si="391">IF(ISNUMBER(E990),IF(E990&lt;1000,"Low",IF(E990&lt;3000,"Medium","High")),"Unknown")</f>
        <v>Low</v>
      </c>
      <c r="O990">
        <f t="shared" ref="O990:O992" si="392">(G990+I990)/2</f>
        <v>15.6</v>
      </c>
      <c r="P990" t="str">
        <f t="shared" ref="P990:P992" si="393">IF(O990&lt;30,"Low",IF(O990&lt;60,"Medium","High"))</f>
        <v>Low</v>
      </c>
    </row>
    <row r="991" spans="1:16" x14ac:dyDescent="0.25">
      <c r="A991">
        <v>150</v>
      </c>
      <c r="B991">
        <v>9.4700000000000006</v>
      </c>
      <c r="C991" t="s">
        <v>22</v>
      </c>
      <c r="D991" t="s">
        <v>20</v>
      </c>
      <c r="E991" s="3">
        <v>150</v>
      </c>
      <c r="F991">
        <v>85.9</v>
      </c>
      <c r="G991">
        <v>15.5</v>
      </c>
      <c r="H991">
        <v>5.94</v>
      </c>
      <c r="I991">
        <v>62.72</v>
      </c>
      <c r="J991">
        <v>12</v>
      </c>
      <c r="K991" t="s">
        <v>16</v>
      </c>
      <c r="L991" t="str">
        <f t="shared" si="377"/>
        <v>VALID</v>
      </c>
      <c r="M991">
        <f t="shared" si="390"/>
        <v>0.49500000000000005</v>
      </c>
      <c r="N991" t="str">
        <f t="shared" si="391"/>
        <v>Low</v>
      </c>
      <c r="O991">
        <f t="shared" si="392"/>
        <v>39.11</v>
      </c>
      <c r="P991" t="str">
        <f t="shared" si="393"/>
        <v>Medium</v>
      </c>
    </row>
    <row r="992" spans="1:16" x14ac:dyDescent="0.25">
      <c r="A992">
        <v>300</v>
      </c>
      <c r="B992">
        <v>11.52</v>
      </c>
      <c r="C992" t="s">
        <v>19</v>
      </c>
      <c r="D992" t="s">
        <v>20</v>
      </c>
      <c r="E992" s="3">
        <v>900</v>
      </c>
      <c r="F992">
        <v>-11</v>
      </c>
      <c r="G992">
        <v>12</v>
      </c>
      <c r="H992">
        <v>4.9800000000000004</v>
      </c>
      <c r="I992">
        <v>43.23</v>
      </c>
      <c r="J992">
        <v>5</v>
      </c>
      <c r="K992" t="s">
        <v>13</v>
      </c>
      <c r="L992" t="str">
        <f t="shared" si="377"/>
        <v>VALID</v>
      </c>
      <c r="M992">
        <f t="shared" si="390"/>
        <v>0.99600000000000011</v>
      </c>
      <c r="N992" t="str">
        <f t="shared" si="391"/>
        <v>Low</v>
      </c>
      <c r="O992">
        <f t="shared" si="392"/>
        <v>27.614999999999998</v>
      </c>
      <c r="P992" t="str">
        <f t="shared" si="393"/>
        <v>Low</v>
      </c>
    </row>
    <row r="993" spans="1:16" hidden="1" x14ac:dyDescent="0.25">
      <c r="A993">
        <v>50</v>
      </c>
      <c r="B993">
        <v>5.95</v>
      </c>
      <c r="C993" t="s">
        <v>22</v>
      </c>
      <c r="D993" t="s">
        <v>12</v>
      </c>
      <c r="E993">
        <v>1500</v>
      </c>
      <c r="F993">
        <v>14.8</v>
      </c>
      <c r="G993">
        <v>16.27</v>
      </c>
      <c r="H993">
        <v>9.25</v>
      </c>
      <c r="I993">
        <v>155.46</v>
      </c>
      <c r="J993">
        <v>11</v>
      </c>
      <c r="K993" t="s">
        <v>16</v>
      </c>
      <c r="L993" t="str">
        <f t="shared" si="377"/>
        <v>INVALID</v>
      </c>
    </row>
    <row r="994" spans="1:16" x14ac:dyDescent="0.25">
      <c r="A994">
        <v>800</v>
      </c>
      <c r="B994">
        <v>28.69</v>
      </c>
      <c r="C994" t="s">
        <v>22</v>
      </c>
      <c r="D994" t="s">
        <v>20</v>
      </c>
      <c r="E994" s="3">
        <v>600</v>
      </c>
      <c r="F994">
        <v>11.4</v>
      </c>
      <c r="G994">
        <v>16.63</v>
      </c>
      <c r="H994">
        <v>0.91</v>
      </c>
      <c r="I994">
        <v>3.17</v>
      </c>
      <c r="J994">
        <v>14</v>
      </c>
      <c r="K994" t="s">
        <v>23</v>
      </c>
      <c r="L994" t="str">
        <f t="shared" si="377"/>
        <v>VALID</v>
      </c>
      <c r="M994">
        <f t="shared" ref="M994:M1002" si="394">IF(J994&gt;0,H994/J994," ")</f>
        <v>6.5000000000000002E-2</v>
      </c>
      <c r="N994" t="str">
        <f t="shared" ref="N994:N1001" si="395">IF(ISNUMBER(E994),IF(E994&lt;1000,"Low",IF(E994&lt;3000,"Medium","High")),"Unknown")</f>
        <v>Low</v>
      </c>
      <c r="O994">
        <f t="shared" ref="O994:O1001" si="396">(G994+I994)/2</f>
        <v>9.8999999999999986</v>
      </c>
      <c r="P994" t="str">
        <f t="shared" ref="P994:P1001" si="397">IF(O994&lt;30,"Low",IF(O994&lt;60,"Medium","High"))</f>
        <v>Low</v>
      </c>
    </row>
    <row r="995" spans="1:16" x14ac:dyDescent="0.25">
      <c r="A995">
        <v>250</v>
      </c>
      <c r="B995">
        <v>13.4</v>
      </c>
      <c r="C995" t="s">
        <v>14</v>
      </c>
      <c r="D995" t="s">
        <v>18</v>
      </c>
      <c r="E995" s="3">
        <v>2500</v>
      </c>
      <c r="F995">
        <v>69.8</v>
      </c>
      <c r="G995">
        <v>3.74</v>
      </c>
      <c r="H995">
        <v>0.85</v>
      </c>
      <c r="I995">
        <v>6.34</v>
      </c>
      <c r="J995">
        <v>14</v>
      </c>
      <c r="K995" t="s">
        <v>23</v>
      </c>
      <c r="L995" t="str">
        <f t="shared" si="377"/>
        <v>VALID</v>
      </c>
      <c r="M995">
        <f t="shared" si="394"/>
        <v>6.0714285714285714E-2</v>
      </c>
      <c r="N995" t="str">
        <f t="shared" si="395"/>
        <v>Medium</v>
      </c>
      <c r="O995">
        <f t="shared" si="396"/>
        <v>5.04</v>
      </c>
      <c r="P995" t="str">
        <f t="shared" si="397"/>
        <v>Low</v>
      </c>
    </row>
    <row r="996" spans="1:16" x14ac:dyDescent="0.25">
      <c r="A996">
        <v>500</v>
      </c>
      <c r="B996">
        <v>19.43</v>
      </c>
      <c r="C996" t="s">
        <v>22</v>
      </c>
      <c r="D996" t="s">
        <v>15</v>
      </c>
      <c r="E996" s="3">
        <v>600</v>
      </c>
      <c r="F996">
        <v>20.9</v>
      </c>
      <c r="G996">
        <v>4.03</v>
      </c>
      <c r="H996">
        <v>3.7</v>
      </c>
      <c r="I996">
        <v>19.04</v>
      </c>
      <c r="J996">
        <v>16</v>
      </c>
      <c r="K996" t="s">
        <v>13</v>
      </c>
      <c r="L996" t="str">
        <f t="shared" si="377"/>
        <v>VALID</v>
      </c>
      <c r="M996">
        <f t="shared" si="394"/>
        <v>0.23125000000000001</v>
      </c>
      <c r="N996" t="str">
        <f t="shared" si="395"/>
        <v>Low</v>
      </c>
      <c r="O996">
        <f t="shared" si="396"/>
        <v>11.535</v>
      </c>
      <c r="P996" t="str">
        <f t="shared" si="397"/>
        <v>Low</v>
      </c>
    </row>
    <row r="997" spans="1:16" x14ac:dyDescent="0.25">
      <c r="A997">
        <v>1500</v>
      </c>
      <c r="B997">
        <v>34.85</v>
      </c>
      <c r="C997" t="s">
        <v>14</v>
      </c>
      <c r="D997" t="s">
        <v>20</v>
      </c>
      <c r="E997" s="3">
        <v>150</v>
      </c>
      <c r="F997">
        <v>96.2</v>
      </c>
      <c r="G997">
        <v>5.16</v>
      </c>
      <c r="H997">
        <v>9.98</v>
      </c>
      <c r="I997">
        <v>28.64</v>
      </c>
      <c r="J997">
        <v>15</v>
      </c>
      <c r="K997" t="s">
        <v>16</v>
      </c>
      <c r="L997" t="str">
        <f t="shared" si="377"/>
        <v>VALID</v>
      </c>
      <c r="M997">
        <f t="shared" si="394"/>
        <v>0.66533333333333333</v>
      </c>
      <c r="N997" t="str">
        <f t="shared" si="395"/>
        <v>Low</v>
      </c>
      <c r="O997">
        <f t="shared" si="396"/>
        <v>16.899999999999999</v>
      </c>
      <c r="P997" t="str">
        <f t="shared" si="397"/>
        <v>Low</v>
      </c>
    </row>
    <row r="998" spans="1:16" x14ac:dyDescent="0.25">
      <c r="A998">
        <v>800</v>
      </c>
      <c r="B998">
        <v>12.53</v>
      </c>
      <c r="C998" t="s">
        <v>11</v>
      </c>
      <c r="D998" t="s">
        <v>12</v>
      </c>
      <c r="E998" s="3">
        <v>150</v>
      </c>
      <c r="F998">
        <v>6.5</v>
      </c>
      <c r="G998">
        <v>6.54</v>
      </c>
      <c r="H998">
        <v>1.07</v>
      </c>
      <c r="I998">
        <v>8.5399999999999991</v>
      </c>
      <c r="J998">
        <v>23</v>
      </c>
      <c r="K998" t="s">
        <v>23</v>
      </c>
      <c r="L998" t="str">
        <f t="shared" si="377"/>
        <v>VALID</v>
      </c>
      <c r="M998">
        <f t="shared" si="394"/>
        <v>4.6521739130434787E-2</v>
      </c>
      <c r="N998" t="str">
        <f t="shared" si="395"/>
        <v>Low</v>
      </c>
      <c r="O998">
        <f t="shared" si="396"/>
        <v>7.5399999999999991</v>
      </c>
      <c r="P998" t="str">
        <f t="shared" si="397"/>
        <v>Low</v>
      </c>
    </row>
    <row r="999" spans="1:16" x14ac:dyDescent="0.25">
      <c r="A999">
        <v>100</v>
      </c>
      <c r="B999">
        <v>6.77</v>
      </c>
      <c r="C999" t="s">
        <v>14</v>
      </c>
      <c r="D999" t="s">
        <v>15</v>
      </c>
      <c r="E999" s="3">
        <v>600</v>
      </c>
      <c r="F999">
        <v>44.7</v>
      </c>
      <c r="G999">
        <v>15.9</v>
      </c>
      <c r="H999">
        <v>6.22</v>
      </c>
      <c r="I999">
        <v>91.88</v>
      </c>
      <c r="J999">
        <v>15</v>
      </c>
      <c r="K999" t="s">
        <v>16</v>
      </c>
      <c r="L999" t="str">
        <f t="shared" si="377"/>
        <v>VALID</v>
      </c>
      <c r="M999">
        <f t="shared" si="394"/>
        <v>0.41466666666666663</v>
      </c>
      <c r="N999" t="str">
        <f t="shared" si="395"/>
        <v>Low</v>
      </c>
      <c r="O999">
        <f t="shared" si="396"/>
        <v>53.89</v>
      </c>
      <c r="P999" t="str">
        <f t="shared" si="397"/>
        <v>Medium</v>
      </c>
    </row>
    <row r="1000" spans="1:16" x14ac:dyDescent="0.25">
      <c r="A1000">
        <v>300</v>
      </c>
      <c r="B1000">
        <v>15.05</v>
      </c>
      <c r="C1000" t="s">
        <v>19</v>
      </c>
      <c r="D1000" t="s">
        <v>18</v>
      </c>
      <c r="E1000" s="3">
        <v>600</v>
      </c>
      <c r="F1000">
        <v>37.9</v>
      </c>
      <c r="G1000">
        <v>6.6</v>
      </c>
      <c r="H1000">
        <v>5.39</v>
      </c>
      <c r="I1000">
        <v>35.81</v>
      </c>
      <c r="J1000">
        <v>12</v>
      </c>
      <c r="K1000" t="s">
        <v>16</v>
      </c>
      <c r="L1000" t="str">
        <f t="shared" si="377"/>
        <v>VALID</v>
      </c>
      <c r="M1000">
        <f t="shared" si="394"/>
        <v>0.44916666666666666</v>
      </c>
      <c r="N1000" t="str">
        <f t="shared" si="395"/>
        <v>Low</v>
      </c>
      <c r="O1000">
        <f t="shared" si="396"/>
        <v>21.205000000000002</v>
      </c>
      <c r="P1000" t="str">
        <f t="shared" si="397"/>
        <v>Low</v>
      </c>
    </row>
    <row r="1001" spans="1:16" x14ac:dyDescent="0.25">
      <c r="A1001">
        <v>300</v>
      </c>
      <c r="B1001">
        <v>15.01</v>
      </c>
      <c r="C1001" t="s">
        <v>19</v>
      </c>
      <c r="D1001" t="s">
        <v>12</v>
      </c>
      <c r="E1001" s="3">
        <v>300</v>
      </c>
      <c r="F1001">
        <v>92</v>
      </c>
      <c r="G1001">
        <v>16.53</v>
      </c>
      <c r="H1001">
        <v>4.3099999999999996</v>
      </c>
      <c r="I1001">
        <v>28.71</v>
      </c>
      <c r="J1001">
        <v>10</v>
      </c>
      <c r="K1001" t="s">
        <v>13</v>
      </c>
      <c r="L1001" t="str">
        <f t="shared" si="377"/>
        <v>VALID</v>
      </c>
      <c r="M1001">
        <f t="shared" si="394"/>
        <v>0.43099999999999994</v>
      </c>
      <c r="N1001" t="str">
        <f t="shared" si="395"/>
        <v>Low</v>
      </c>
      <c r="O1001">
        <f t="shared" si="396"/>
        <v>22.62</v>
      </c>
      <c r="P1001" t="str">
        <f t="shared" si="397"/>
        <v>Low</v>
      </c>
    </row>
    <row r="1002" spans="1:16" hidden="1" x14ac:dyDescent="0.25">
      <c r="E1002"/>
      <c r="M1002" t="str">
        <f t="shared" si="394"/>
        <v xml:space="preserve"> </v>
      </c>
    </row>
  </sheetData>
  <autoFilter ref="A1:P1002" xr:uid="{00000000-0001-0000-0100-000000000000}">
    <filterColumn colId="11">
      <filters>
        <filter val="VALID"/>
      </filters>
    </filterColumn>
    <filterColumn colId="12">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82"/>
  <sheetViews>
    <sheetView workbookViewId="0">
      <selection activeCell="B1" sqref="B1"/>
    </sheetView>
  </sheetViews>
  <sheetFormatPr defaultRowHeight="15" x14ac:dyDescent="0.25"/>
  <sheetData>
    <row r="1" spans="1:5" x14ac:dyDescent="0.25">
      <c r="A1" t="s">
        <v>26</v>
      </c>
      <c r="B1" t="s">
        <v>29</v>
      </c>
      <c r="C1" t="s">
        <v>27</v>
      </c>
      <c r="D1" t="s">
        <v>28</v>
      </c>
      <c r="E1" t="s">
        <v>30</v>
      </c>
    </row>
    <row r="2" spans="1:5" x14ac:dyDescent="0.25">
      <c r="A2" t="s">
        <v>31</v>
      </c>
      <c r="B2">
        <v>2.4550000000000001</v>
      </c>
      <c r="C2" t="s">
        <v>32</v>
      </c>
      <c r="D2">
        <v>23.88</v>
      </c>
      <c r="E2" t="s">
        <v>33</v>
      </c>
    </row>
    <row r="3" spans="1:5" x14ac:dyDescent="0.25">
      <c r="A3" t="s">
        <v>31</v>
      </c>
      <c r="B3">
        <v>1.83</v>
      </c>
      <c r="C3" t="s">
        <v>33</v>
      </c>
      <c r="D3">
        <v>20.325000000000003</v>
      </c>
      <c r="E3" t="s">
        <v>33</v>
      </c>
    </row>
    <row r="4" spans="1:5" x14ac:dyDescent="0.25">
      <c r="A4" t="s">
        <v>31</v>
      </c>
      <c r="B4">
        <v>0.90285714285714291</v>
      </c>
      <c r="C4" t="s">
        <v>33</v>
      </c>
      <c r="D4">
        <v>27.285</v>
      </c>
      <c r="E4" t="s">
        <v>33</v>
      </c>
    </row>
    <row r="5" spans="1:5" x14ac:dyDescent="0.25">
      <c r="A5" t="s">
        <v>31</v>
      </c>
      <c r="B5">
        <v>0.32631578947368423</v>
      </c>
      <c r="C5" t="s">
        <v>32</v>
      </c>
      <c r="D5">
        <v>10.795000000000002</v>
      </c>
      <c r="E5" t="s">
        <v>33</v>
      </c>
    </row>
    <row r="6" spans="1:5" x14ac:dyDescent="0.25">
      <c r="A6" t="s">
        <v>31</v>
      </c>
      <c r="B6">
        <v>0.42899999999999999</v>
      </c>
      <c r="C6" t="s">
        <v>32</v>
      </c>
      <c r="D6">
        <v>23.785</v>
      </c>
      <c r="E6" t="s">
        <v>33</v>
      </c>
    </row>
    <row r="7" spans="1:5" x14ac:dyDescent="0.25">
      <c r="A7" t="s">
        <v>31</v>
      </c>
      <c r="B7">
        <v>0.47363636363636363</v>
      </c>
      <c r="C7" t="s">
        <v>32</v>
      </c>
      <c r="D7">
        <v>16.580000000000002</v>
      </c>
      <c r="E7" t="s">
        <v>33</v>
      </c>
    </row>
    <row r="8" spans="1:5" x14ac:dyDescent="0.25">
      <c r="A8" t="s">
        <v>31</v>
      </c>
      <c r="B8">
        <v>0.97666666666666668</v>
      </c>
      <c r="C8" t="s">
        <v>33</v>
      </c>
      <c r="D8">
        <v>30.145000000000003</v>
      </c>
      <c r="E8" t="s">
        <v>32</v>
      </c>
    </row>
    <row r="9" spans="1:5" x14ac:dyDescent="0.25">
      <c r="A9" t="s">
        <v>31</v>
      </c>
      <c r="B9">
        <v>0.1438095238095238</v>
      </c>
      <c r="C9" t="s">
        <v>32</v>
      </c>
      <c r="D9">
        <v>13.67</v>
      </c>
      <c r="E9" t="s">
        <v>33</v>
      </c>
    </row>
    <row r="10" spans="1:5" x14ac:dyDescent="0.25">
      <c r="A10" t="s">
        <v>31</v>
      </c>
      <c r="B10">
        <v>0.13</v>
      </c>
      <c r="C10" t="s">
        <v>33</v>
      </c>
      <c r="D10">
        <v>20.86</v>
      </c>
      <c r="E10" t="s">
        <v>33</v>
      </c>
    </row>
    <row r="11" spans="1:5" x14ac:dyDescent="0.25">
      <c r="A11" t="s">
        <v>31</v>
      </c>
      <c r="B11">
        <v>0.53</v>
      </c>
      <c r="C11" t="s">
        <v>33</v>
      </c>
      <c r="D11">
        <v>10.37</v>
      </c>
      <c r="E11" t="s">
        <v>33</v>
      </c>
    </row>
    <row r="12" spans="1:5" x14ac:dyDescent="0.25">
      <c r="A12" t="s">
        <v>31</v>
      </c>
      <c r="B12">
        <v>0.67692307692307696</v>
      </c>
      <c r="C12" t="s">
        <v>33</v>
      </c>
      <c r="D12">
        <v>44.31</v>
      </c>
      <c r="E12" t="s">
        <v>32</v>
      </c>
    </row>
    <row r="13" spans="1:5" x14ac:dyDescent="0.25">
      <c r="A13" t="s">
        <v>31</v>
      </c>
      <c r="B13">
        <v>1.22</v>
      </c>
      <c r="C13" t="s">
        <v>33</v>
      </c>
      <c r="D13">
        <v>24.95</v>
      </c>
      <c r="E13" t="s">
        <v>33</v>
      </c>
    </row>
    <row r="14" spans="1:5" x14ac:dyDescent="0.25">
      <c r="A14" t="s">
        <v>31</v>
      </c>
      <c r="B14">
        <v>0.14166666666666666</v>
      </c>
      <c r="C14" t="s">
        <v>33</v>
      </c>
      <c r="D14">
        <v>10.725</v>
      </c>
      <c r="E14" t="s">
        <v>33</v>
      </c>
    </row>
    <row r="15" spans="1:5" x14ac:dyDescent="0.25">
      <c r="A15" t="s">
        <v>31</v>
      </c>
      <c r="B15">
        <v>1.3157142857142858</v>
      </c>
      <c r="C15" t="s">
        <v>33</v>
      </c>
      <c r="D15">
        <v>36.575000000000003</v>
      </c>
      <c r="E15" t="s">
        <v>32</v>
      </c>
    </row>
    <row r="16" spans="1:5" x14ac:dyDescent="0.25">
      <c r="A16" t="s">
        <v>31</v>
      </c>
      <c r="B16">
        <v>0.20125000000000001</v>
      </c>
      <c r="C16" t="s">
        <v>32</v>
      </c>
      <c r="D16">
        <v>13.225</v>
      </c>
      <c r="E16" t="s">
        <v>33</v>
      </c>
    </row>
    <row r="17" spans="1:5" x14ac:dyDescent="0.25">
      <c r="A17" t="s">
        <v>31</v>
      </c>
      <c r="B17">
        <v>2.2222222222222222E-3</v>
      </c>
      <c r="C17" t="s">
        <v>32</v>
      </c>
      <c r="D17">
        <v>5.68</v>
      </c>
      <c r="E17" t="s">
        <v>33</v>
      </c>
    </row>
    <row r="18" spans="1:5" x14ac:dyDescent="0.25">
      <c r="A18" t="s">
        <v>31</v>
      </c>
      <c r="B18">
        <v>0.14363636363636365</v>
      </c>
      <c r="C18" t="s">
        <v>33</v>
      </c>
      <c r="D18">
        <v>24.169999999999998</v>
      </c>
      <c r="E18" t="s">
        <v>33</v>
      </c>
    </row>
    <row r="19" spans="1:5" x14ac:dyDescent="0.25">
      <c r="A19" t="s">
        <v>31</v>
      </c>
      <c r="B19">
        <v>0.32538461538461544</v>
      </c>
      <c r="C19" t="s">
        <v>33</v>
      </c>
      <c r="D19">
        <v>46.65</v>
      </c>
      <c r="E19" t="s">
        <v>32</v>
      </c>
    </row>
    <row r="20" spans="1:5" x14ac:dyDescent="0.25">
      <c r="A20" t="s">
        <v>31</v>
      </c>
      <c r="B20">
        <v>0.40291666666666665</v>
      </c>
      <c r="C20" t="s">
        <v>33</v>
      </c>
      <c r="D20">
        <v>51.515000000000001</v>
      </c>
      <c r="E20" t="s">
        <v>32</v>
      </c>
    </row>
    <row r="21" spans="1:5" x14ac:dyDescent="0.25">
      <c r="A21" t="s">
        <v>31</v>
      </c>
      <c r="B21">
        <v>0.12</v>
      </c>
      <c r="C21" t="s">
        <v>32</v>
      </c>
      <c r="D21">
        <v>3.28</v>
      </c>
      <c r="E21" t="s">
        <v>33</v>
      </c>
    </row>
    <row r="22" spans="1:5" x14ac:dyDescent="0.25">
      <c r="A22" t="s">
        <v>31</v>
      </c>
      <c r="B22">
        <v>0.26187500000000002</v>
      </c>
      <c r="C22" t="s">
        <v>33</v>
      </c>
      <c r="D22">
        <v>17.48</v>
      </c>
      <c r="E22" t="s">
        <v>33</v>
      </c>
    </row>
    <row r="23" spans="1:5" x14ac:dyDescent="0.25">
      <c r="A23" t="s">
        <v>31</v>
      </c>
      <c r="B23">
        <v>2.7966666666666669</v>
      </c>
      <c r="C23" t="s">
        <v>33</v>
      </c>
      <c r="D23">
        <v>21.39</v>
      </c>
      <c r="E23" t="s">
        <v>33</v>
      </c>
    </row>
    <row r="24" spans="1:5" x14ac:dyDescent="0.25">
      <c r="A24" t="s">
        <v>31</v>
      </c>
      <c r="B24">
        <v>0.16416666666666666</v>
      </c>
      <c r="C24" t="s">
        <v>33</v>
      </c>
      <c r="D24">
        <v>5.7050000000000001</v>
      </c>
      <c r="E24" t="s">
        <v>33</v>
      </c>
    </row>
    <row r="25" spans="1:5" x14ac:dyDescent="0.25">
      <c r="A25" t="s">
        <v>31</v>
      </c>
      <c r="B25">
        <v>0.59666666666666668</v>
      </c>
      <c r="C25" t="s">
        <v>33</v>
      </c>
      <c r="D25">
        <v>27.68</v>
      </c>
      <c r="E25" t="s">
        <v>33</v>
      </c>
    </row>
    <row r="26" spans="1:5" x14ac:dyDescent="0.25">
      <c r="A26" t="s">
        <v>31</v>
      </c>
      <c r="B26">
        <v>1.38</v>
      </c>
      <c r="C26" t="s">
        <v>32</v>
      </c>
      <c r="D26">
        <v>48.58</v>
      </c>
      <c r="E26" t="s">
        <v>32</v>
      </c>
    </row>
    <row r="27" spans="1:5" x14ac:dyDescent="0.25">
      <c r="A27" t="s">
        <v>31</v>
      </c>
      <c r="B27">
        <v>1.5714285714285715E-2</v>
      </c>
      <c r="C27" t="s">
        <v>32</v>
      </c>
      <c r="D27">
        <v>6.8650000000000002</v>
      </c>
      <c r="E27" t="s">
        <v>33</v>
      </c>
    </row>
    <row r="28" spans="1:5" x14ac:dyDescent="0.25">
      <c r="A28" t="s">
        <v>31</v>
      </c>
      <c r="B28">
        <v>0.27999999999999997</v>
      </c>
      <c r="C28" t="s">
        <v>33</v>
      </c>
      <c r="D28">
        <v>11.925000000000001</v>
      </c>
      <c r="E28" t="s">
        <v>33</v>
      </c>
    </row>
    <row r="29" spans="1:5" x14ac:dyDescent="0.25">
      <c r="A29" t="s">
        <v>31</v>
      </c>
      <c r="B29">
        <v>0.35428571428571426</v>
      </c>
      <c r="C29" t="s">
        <v>32</v>
      </c>
      <c r="D29">
        <v>39.754999999999995</v>
      </c>
      <c r="E29" t="s">
        <v>32</v>
      </c>
    </row>
    <row r="30" spans="1:5" x14ac:dyDescent="0.25">
      <c r="A30" t="s">
        <v>31</v>
      </c>
      <c r="B30">
        <v>8.3333333333333332E-3</v>
      </c>
      <c r="C30" t="s">
        <v>32</v>
      </c>
      <c r="D30">
        <v>8.8149999999999995</v>
      </c>
      <c r="E30" t="s">
        <v>33</v>
      </c>
    </row>
    <row r="31" spans="1:5" x14ac:dyDescent="0.25">
      <c r="A31" t="s">
        <v>31</v>
      </c>
      <c r="B31">
        <v>0.45692307692307693</v>
      </c>
      <c r="C31" t="s">
        <v>33</v>
      </c>
      <c r="D31">
        <v>21.82</v>
      </c>
      <c r="E31" t="s">
        <v>33</v>
      </c>
    </row>
    <row r="32" spans="1:5" x14ac:dyDescent="0.25">
      <c r="A32" t="s">
        <v>31</v>
      </c>
      <c r="B32">
        <v>0.26526315789473687</v>
      </c>
      <c r="C32" t="s">
        <v>32</v>
      </c>
      <c r="D32">
        <v>34.195</v>
      </c>
      <c r="E32" t="s">
        <v>32</v>
      </c>
    </row>
    <row r="33" spans="1:5" x14ac:dyDescent="0.25">
      <c r="A33" t="s">
        <v>31</v>
      </c>
      <c r="B33">
        <v>0.22600000000000001</v>
      </c>
      <c r="C33" t="s">
        <v>33</v>
      </c>
      <c r="D33">
        <v>44.86</v>
      </c>
      <c r="E33" t="s">
        <v>32</v>
      </c>
    </row>
    <row r="34" spans="1:5" x14ac:dyDescent="0.25">
      <c r="A34" t="s">
        <v>31</v>
      </c>
      <c r="B34">
        <v>0.04</v>
      </c>
      <c r="C34" t="s">
        <v>33</v>
      </c>
      <c r="D34">
        <v>2.5350000000000001</v>
      </c>
      <c r="E34" t="s">
        <v>33</v>
      </c>
    </row>
    <row r="35" spans="1:5" x14ac:dyDescent="0.25">
      <c r="A35" t="s">
        <v>31</v>
      </c>
      <c r="B35">
        <v>0.61777777777777776</v>
      </c>
      <c r="C35" t="s">
        <v>33</v>
      </c>
      <c r="D35">
        <v>17</v>
      </c>
      <c r="E35" t="s">
        <v>33</v>
      </c>
    </row>
    <row r="36" spans="1:5" x14ac:dyDescent="0.25">
      <c r="A36" t="s">
        <v>31</v>
      </c>
      <c r="B36">
        <v>0.20785714285714288</v>
      </c>
      <c r="C36" t="s">
        <v>32</v>
      </c>
      <c r="D36">
        <v>28.725000000000001</v>
      </c>
      <c r="E36" t="s">
        <v>33</v>
      </c>
    </row>
    <row r="37" spans="1:5" x14ac:dyDescent="0.25">
      <c r="A37" t="s">
        <v>31</v>
      </c>
      <c r="B37">
        <v>0.49299999999999999</v>
      </c>
      <c r="C37" t="s">
        <v>33</v>
      </c>
      <c r="D37">
        <v>18.16</v>
      </c>
      <c r="E37" t="s">
        <v>33</v>
      </c>
    </row>
    <row r="38" spans="1:5" x14ac:dyDescent="0.25">
      <c r="A38" t="s">
        <v>31</v>
      </c>
      <c r="B38">
        <v>7.74</v>
      </c>
      <c r="C38" t="s">
        <v>33</v>
      </c>
      <c r="D38">
        <v>22.765000000000001</v>
      </c>
      <c r="E38" t="s">
        <v>33</v>
      </c>
    </row>
    <row r="39" spans="1:5" x14ac:dyDescent="0.25">
      <c r="A39" t="s">
        <v>31</v>
      </c>
      <c r="B39">
        <v>9.6363636363636374E-2</v>
      </c>
      <c r="C39" t="s">
        <v>33</v>
      </c>
      <c r="D39">
        <v>3.355</v>
      </c>
      <c r="E39" t="s">
        <v>33</v>
      </c>
    </row>
    <row r="40" spans="1:5" x14ac:dyDescent="0.25">
      <c r="A40" t="s">
        <v>31</v>
      </c>
      <c r="B40">
        <v>1.9565217391304349E-2</v>
      </c>
      <c r="C40" t="s">
        <v>32</v>
      </c>
      <c r="D40">
        <v>4.9849999999999994</v>
      </c>
      <c r="E40" t="s">
        <v>33</v>
      </c>
    </row>
    <row r="41" spans="1:5" x14ac:dyDescent="0.25">
      <c r="A41" t="s">
        <v>31</v>
      </c>
      <c r="B41">
        <v>7.3999999999999996E-2</v>
      </c>
      <c r="C41" t="s">
        <v>33</v>
      </c>
      <c r="D41">
        <v>9.98</v>
      </c>
      <c r="E41" t="s">
        <v>33</v>
      </c>
    </row>
    <row r="42" spans="1:5" x14ac:dyDescent="0.25">
      <c r="A42" t="s">
        <v>31</v>
      </c>
      <c r="B42">
        <v>0.68555555555555558</v>
      </c>
      <c r="C42" t="s">
        <v>33</v>
      </c>
      <c r="D42">
        <v>19.785</v>
      </c>
      <c r="E42" t="s">
        <v>33</v>
      </c>
    </row>
    <row r="43" spans="1:5" x14ac:dyDescent="0.25">
      <c r="A43" t="s">
        <v>31</v>
      </c>
      <c r="B43">
        <v>0.93</v>
      </c>
      <c r="C43" t="s">
        <v>32</v>
      </c>
      <c r="D43">
        <v>11.620000000000001</v>
      </c>
      <c r="E43" t="s">
        <v>33</v>
      </c>
    </row>
    <row r="44" spans="1:5" x14ac:dyDescent="0.25">
      <c r="A44" t="s">
        <v>31</v>
      </c>
      <c r="B44">
        <v>0.36799999999999999</v>
      </c>
      <c r="C44" t="s">
        <v>33</v>
      </c>
      <c r="D44">
        <v>10.19</v>
      </c>
      <c r="E44" t="s">
        <v>33</v>
      </c>
    </row>
    <row r="45" spans="1:5" x14ac:dyDescent="0.25">
      <c r="A45" t="s">
        <v>31</v>
      </c>
      <c r="B45">
        <v>0.50052631578947371</v>
      </c>
      <c r="C45" t="s">
        <v>32</v>
      </c>
      <c r="D45">
        <v>19.79</v>
      </c>
      <c r="E45" t="s">
        <v>33</v>
      </c>
    </row>
    <row r="46" spans="1:5" x14ac:dyDescent="0.25">
      <c r="A46" t="s">
        <v>31</v>
      </c>
      <c r="B46">
        <v>0.61266666666666658</v>
      </c>
      <c r="C46" t="s">
        <v>32</v>
      </c>
      <c r="D46">
        <v>37.315000000000005</v>
      </c>
      <c r="E46" t="s">
        <v>32</v>
      </c>
    </row>
    <row r="47" spans="1:5" x14ac:dyDescent="0.25">
      <c r="A47" t="s">
        <v>31</v>
      </c>
      <c r="B47">
        <v>3.32E-2</v>
      </c>
      <c r="C47" t="s">
        <v>32</v>
      </c>
      <c r="D47">
        <v>9.9749999999999996</v>
      </c>
      <c r="E47" t="s">
        <v>33</v>
      </c>
    </row>
    <row r="48" spans="1:5" x14ac:dyDescent="0.25">
      <c r="A48" t="s">
        <v>31</v>
      </c>
      <c r="B48">
        <v>3.1052631578947366E-2</v>
      </c>
      <c r="C48" t="s">
        <v>33</v>
      </c>
      <c r="D48">
        <v>10.7</v>
      </c>
      <c r="E48" t="s">
        <v>33</v>
      </c>
    </row>
    <row r="49" spans="1:5" x14ac:dyDescent="0.25">
      <c r="A49" t="s">
        <v>31</v>
      </c>
      <c r="B49">
        <v>0.36</v>
      </c>
      <c r="C49" t="s">
        <v>33</v>
      </c>
      <c r="D49">
        <v>16.579999999999998</v>
      </c>
      <c r="E49" t="s">
        <v>33</v>
      </c>
    </row>
    <row r="50" spans="1:5" x14ac:dyDescent="0.25">
      <c r="A50" t="s">
        <v>31</v>
      </c>
      <c r="B50">
        <v>9.5238095238095238E-4</v>
      </c>
      <c r="C50" t="s">
        <v>33</v>
      </c>
      <c r="D50">
        <v>9.2550000000000008</v>
      </c>
      <c r="E50" t="s">
        <v>33</v>
      </c>
    </row>
    <row r="51" spans="1:5" x14ac:dyDescent="0.25">
      <c r="A51" t="s">
        <v>31</v>
      </c>
      <c r="B51">
        <v>6.35</v>
      </c>
      <c r="C51" t="s">
        <v>32</v>
      </c>
      <c r="D51">
        <v>15.14</v>
      </c>
      <c r="E51" t="s">
        <v>33</v>
      </c>
    </row>
    <row r="52" spans="1:5" x14ac:dyDescent="0.25">
      <c r="A52" t="s">
        <v>31</v>
      </c>
      <c r="B52">
        <v>0.97250000000000003</v>
      </c>
      <c r="C52" t="s">
        <v>33</v>
      </c>
      <c r="D52">
        <v>42.314999999999998</v>
      </c>
      <c r="E52" t="s">
        <v>32</v>
      </c>
    </row>
    <row r="53" spans="1:5" x14ac:dyDescent="0.25">
      <c r="A53" t="s">
        <v>31</v>
      </c>
      <c r="B53">
        <v>1.67</v>
      </c>
      <c r="C53" t="s">
        <v>32</v>
      </c>
      <c r="D53">
        <v>3.3099999999999996</v>
      </c>
      <c r="E53" t="s">
        <v>33</v>
      </c>
    </row>
    <row r="54" spans="1:5" x14ac:dyDescent="0.25">
      <c r="A54" t="s">
        <v>31</v>
      </c>
      <c r="B54">
        <v>1.0588888888888888</v>
      </c>
      <c r="C54" t="s">
        <v>32</v>
      </c>
      <c r="D54">
        <v>22.05</v>
      </c>
      <c r="E54" t="s">
        <v>33</v>
      </c>
    </row>
    <row r="55" spans="1:5" x14ac:dyDescent="0.25">
      <c r="A55" t="s">
        <v>31</v>
      </c>
      <c r="B55">
        <v>0.49</v>
      </c>
      <c r="C55" t="s">
        <v>32</v>
      </c>
      <c r="D55">
        <v>30.26</v>
      </c>
      <c r="E55" t="s">
        <v>32</v>
      </c>
    </row>
    <row r="56" spans="1:5" x14ac:dyDescent="0.25">
      <c r="A56" t="s">
        <v>31</v>
      </c>
      <c r="B56">
        <v>4.5789473684210526E-2</v>
      </c>
      <c r="C56" t="s">
        <v>33</v>
      </c>
      <c r="D56">
        <v>4.6449999999999996</v>
      </c>
      <c r="E56" t="s">
        <v>33</v>
      </c>
    </row>
    <row r="57" spans="1:5" x14ac:dyDescent="0.25">
      <c r="A57" t="s">
        <v>31</v>
      </c>
      <c r="B57">
        <v>0.66428571428571437</v>
      </c>
      <c r="C57" t="s">
        <v>33</v>
      </c>
      <c r="D57">
        <v>15.5</v>
      </c>
      <c r="E57" t="s">
        <v>33</v>
      </c>
    </row>
    <row r="58" spans="1:5" x14ac:dyDescent="0.25">
      <c r="A58" t="s">
        <v>31</v>
      </c>
      <c r="B58">
        <v>0.37272727272727268</v>
      </c>
      <c r="C58" t="s">
        <v>33</v>
      </c>
      <c r="D58">
        <v>6.51</v>
      </c>
      <c r="E58" t="s">
        <v>33</v>
      </c>
    </row>
    <row r="59" spans="1:5" x14ac:dyDescent="0.25">
      <c r="A59" t="s">
        <v>31</v>
      </c>
      <c r="B59">
        <v>0.10785714285714286</v>
      </c>
      <c r="C59" t="s">
        <v>33</v>
      </c>
      <c r="D59">
        <v>13.44</v>
      </c>
      <c r="E59" t="s">
        <v>33</v>
      </c>
    </row>
    <row r="60" spans="1:5" x14ac:dyDescent="0.25">
      <c r="A60" t="s">
        <v>31</v>
      </c>
      <c r="B60">
        <v>4.53</v>
      </c>
      <c r="C60" t="s">
        <v>33</v>
      </c>
      <c r="D60">
        <v>23.16</v>
      </c>
      <c r="E60" t="s">
        <v>33</v>
      </c>
    </row>
    <row r="61" spans="1:5" x14ac:dyDescent="0.25">
      <c r="A61" t="s">
        <v>31</v>
      </c>
      <c r="B61">
        <v>0.14560000000000001</v>
      </c>
      <c r="C61" t="s">
        <v>33</v>
      </c>
      <c r="D61">
        <v>10.120000000000001</v>
      </c>
      <c r="E61" t="s">
        <v>33</v>
      </c>
    </row>
    <row r="62" spans="1:5" x14ac:dyDescent="0.25">
      <c r="A62" t="s">
        <v>31</v>
      </c>
      <c r="B62">
        <v>7.1999999999999995E-2</v>
      </c>
      <c r="C62" t="s">
        <v>32</v>
      </c>
      <c r="D62">
        <v>3.645</v>
      </c>
      <c r="E62" t="s">
        <v>33</v>
      </c>
    </row>
    <row r="63" spans="1:5" x14ac:dyDescent="0.25">
      <c r="A63" t="s">
        <v>31</v>
      </c>
      <c r="B63">
        <v>0.69777777777777783</v>
      </c>
      <c r="C63" t="s">
        <v>33</v>
      </c>
      <c r="D63">
        <v>21.13</v>
      </c>
      <c r="E63" t="s">
        <v>33</v>
      </c>
    </row>
    <row r="64" spans="1:5" x14ac:dyDescent="0.25">
      <c r="A64" t="s">
        <v>31</v>
      </c>
      <c r="B64">
        <v>1.125E-2</v>
      </c>
      <c r="C64" t="s">
        <v>33</v>
      </c>
      <c r="D64">
        <v>5.5600000000000005</v>
      </c>
      <c r="E64" t="s">
        <v>33</v>
      </c>
    </row>
    <row r="65" spans="1:5" x14ac:dyDescent="0.25">
      <c r="A65" t="s">
        <v>31</v>
      </c>
      <c r="B65">
        <v>0.22285714285714284</v>
      </c>
      <c r="C65" t="s">
        <v>33</v>
      </c>
      <c r="D65">
        <v>46.22</v>
      </c>
      <c r="E65" t="s">
        <v>32</v>
      </c>
    </row>
    <row r="66" spans="1:5" x14ac:dyDescent="0.25">
      <c r="A66" t="s">
        <v>31</v>
      </c>
      <c r="B66">
        <v>0.24869565217391304</v>
      </c>
      <c r="C66" t="s">
        <v>32</v>
      </c>
      <c r="D66">
        <v>48.010000000000005</v>
      </c>
      <c r="E66" t="s">
        <v>32</v>
      </c>
    </row>
    <row r="67" spans="1:5" x14ac:dyDescent="0.25">
      <c r="A67" t="s">
        <v>31</v>
      </c>
      <c r="B67">
        <v>0.53</v>
      </c>
      <c r="C67" t="s">
        <v>33</v>
      </c>
      <c r="D67">
        <v>21.909999999999997</v>
      </c>
      <c r="E67" t="s">
        <v>33</v>
      </c>
    </row>
    <row r="68" spans="1:5" x14ac:dyDescent="0.25">
      <c r="A68" t="s">
        <v>31</v>
      </c>
      <c r="B68">
        <v>0.22159999999999999</v>
      </c>
      <c r="C68" t="s">
        <v>33</v>
      </c>
      <c r="D68">
        <v>19.145</v>
      </c>
      <c r="E68" t="s">
        <v>33</v>
      </c>
    </row>
    <row r="69" spans="1:5" x14ac:dyDescent="0.25">
      <c r="A69" t="s">
        <v>31</v>
      </c>
      <c r="B69">
        <v>0.315</v>
      </c>
      <c r="C69" t="s">
        <v>32</v>
      </c>
      <c r="D69">
        <v>9.1999999999999993</v>
      </c>
      <c r="E69" t="s">
        <v>33</v>
      </c>
    </row>
    <row r="70" spans="1:5" x14ac:dyDescent="0.25">
      <c r="A70" t="s">
        <v>31</v>
      </c>
      <c r="B70">
        <v>2.75E-2</v>
      </c>
      <c r="C70" t="s">
        <v>32</v>
      </c>
      <c r="D70">
        <v>10.234999999999999</v>
      </c>
      <c r="E70" t="s">
        <v>33</v>
      </c>
    </row>
    <row r="71" spans="1:5" x14ac:dyDescent="0.25">
      <c r="A71" t="s">
        <v>31</v>
      </c>
      <c r="B71">
        <v>2.5555555555555557E-2</v>
      </c>
      <c r="C71" t="s">
        <v>32</v>
      </c>
      <c r="D71">
        <v>6.12</v>
      </c>
      <c r="E71" t="s">
        <v>33</v>
      </c>
    </row>
    <row r="72" spans="1:5" x14ac:dyDescent="0.25">
      <c r="A72" t="s">
        <v>31</v>
      </c>
      <c r="B72">
        <v>0.17227272727272727</v>
      </c>
      <c r="C72" t="s">
        <v>33</v>
      </c>
      <c r="D72">
        <v>29.835000000000001</v>
      </c>
      <c r="E72" t="s">
        <v>33</v>
      </c>
    </row>
    <row r="73" spans="1:5" x14ac:dyDescent="0.25">
      <c r="A73" t="s">
        <v>31</v>
      </c>
      <c r="B73">
        <v>0.20857142857142857</v>
      </c>
      <c r="C73" t="s">
        <v>32</v>
      </c>
      <c r="D73">
        <v>13.86</v>
      </c>
      <c r="E73" t="s">
        <v>33</v>
      </c>
    </row>
    <row r="74" spans="1:5" x14ac:dyDescent="0.25">
      <c r="A74" t="s">
        <v>31</v>
      </c>
      <c r="B74">
        <v>0.95555555555555549</v>
      </c>
      <c r="C74" t="s">
        <v>32</v>
      </c>
      <c r="D74">
        <v>38.055</v>
      </c>
      <c r="E74" t="s">
        <v>32</v>
      </c>
    </row>
    <row r="75" spans="1:5" x14ac:dyDescent="0.25">
      <c r="A75" t="s">
        <v>31</v>
      </c>
      <c r="B75">
        <v>7.3749999999999996E-2</v>
      </c>
      <c r="C75" t="s">
        <v>32</v>
      </c>
      <c r="D75">
        <v>9.1750000000000007</v>
      </c>
      <c r="E75" t="s">
        <v>33</v>
      </c>
    </row>
    <row r="76" spans="1:5" x14ac:dyDescent="0.25">
      <c r="A76" t="s">
        <v>31</v>
      </c>
      <c r="B76">
        <v>2.1363636363636362E-2</v>
      </c>
      <c r="C76" t="s">
        <v>32</v>
      </c>
      <c r="D76">
        <v>10.004999999999999</v>
      </c>
      <c r="E76" t="s">
        <v>33</v>
      </c>
    </row>
    <row r="77" spans="1:5" x14ac:dyDescent="0.25">
      <c r="A77" t="s">
        <v>31</v>
      </c>
      <c r="B77">
        <v>0.71199999999999997</v>
      </c>
      <c r="C77" t="s">
        <v>33</v>
      </c>
      <c r="D77">
        <v>50.964999999999996</v>
      </c>
      <c r="E77" t="s">
        <v>32</v>
      </c>
    </row>
    <row r="78" spans="1:5" x14ac:dyDescent="0.25">
      <c r="A78" t="s">
        <v>31</v>
      </c>
      <c r="B78">
        <v>0.80099999999999993</v>
      </c>
      <c r="C78" t="s">
        <v>32</v>
      </c>
      <c r="D78">
        <v>20.6</v>
      </c>
      <c r="E78" t="s">
        <v>33</v>
      </c>
    </row>
    <row r="79" spans="1:5" x14ac:dyDescent="0.25">
      <c r="A79" t="s">
        <v>31</v>
      </c>
      <c r="B79">
        <v>0.4</v>
      </c>
      <c r="C79" t="s">
        <v>32</v>
      </c>
      <c r="D79">
        <v>34.730000000000004</v>
      </c>
      <c r="E79" t="s">
        <v>32</v>
      </c>
    </row>
    <row r="80" spans="1:5" x14ac:dyDescent="0.25">
      <c r="A80" t="s">
        <v>31</v>
      </c>
      <c r="B80">
        <v>1.1485714285714284</v>
      </c>
      <c r="C80" t="s">
        <v>32</v>
      </c>
      <c r="D80">
        <v>19.399999999999999</v>
      </c>
      <c r="E80" t="s">
        <v>33</v>
      </c>
    </row>
    <row r="81" spans="1:5" x14ac:dyDescent="0.25">
      <c r="A81" t="s">
        <v>31</v>
      </c>
      <c r="B81">
        <v>0.24461538461538462</v>
      </c>
      <c r="C81" t="s">
        <v>32</v>
      </c>
      <c r="D81">
        <v>13.155000000000001</v>
      </c>
      <c r="E81" t="s">
        <v>33</v>
      </c>
    </row>
    <row r="82" spans="1:5" x14ac:dyDescent="0.25">
      <c r="A82" t="s">
        <v>31</v>
      </c>
      <c r="B82">
        <v>0.93714285714285706</v>
      </c>
      <c r="C82" t="s">
        <v>33</v>
      </c>
      <c r="D82">
        <v>53.61</v>
      </c>
      <c r="E82" t="s">
        <v>32</v>
      </c>
    </row>
    <row r="83" spans="1:5" x14ac:dyDescent="0.25">
      <c r="A83" t="s">
        <v>31</v>
      </c>
      <c r="B83">
        <v>0.37285714285714283</v>
      </c>
      <c r="C83" t="s">
        <v>32</v>
      </c>
      <c r="D83">
        <v>26.234999999999999</v>
      </c>
      <c r="E83" t="s">
        <v>33</v>
      </c>
    </row>
    <row r="84" spans="1:5" x14ac:dyDescent="0.25">
      <c r="A84" t="s">
        <v>31</v>
      </c>
      <c r="B84">
        <v>0.23900000000000002</v>
      </c>
      <c r="C84" t="s">
        <v>33</v>
      </c>
      <c r="D84">
        <v>5.3449999999999998</v>
      </c>
      <c r="E84" t="s">
        <v>33</v>
      </c>
    </row>
    <row r="85" spans="1:5" x14ac:dyDescent="0.25">
      <c r="A85" t="s">
        <v>31</v>
      </c>
      <c r="B85">
        <v>0.30882352941176472</v>
      </c>
      <c r="C85" t="s">
        <v>32</v>
      </c>
      <c r="D85">
        <v>18.07</v>
      </c>
      <c r="E85" t="s">
        <v>33</v>
      </c>
    </row>
    <row r="86" spans="1:5" x14ac:dyDescent="0.25">
      <c r="A86" t="s">
        <v>31</v>
      </c>
      <c r="B86">
        <v>0.38409090909090904</v>
      </c>
      <c r="C86" t="s">
        <v>33</v>
      </c>
      <c r="D86">
        <v>19.344999999999999</v>
      </c>
      <c r="E86" t="s">
        <v>33</v>
      </c>
    </row>
    <row r="87" spans="1:5" x14ac:dyDescent="0.25">
      <c r="A87" t="s">
        <v>31</v>
      </c>
      <c r="B87">
        <v>3</v>
      </c>
      <c r="C87" t="s">
        <v>33</v>
      </c>
      <c r="D87">
        <v>24.310000000000002</v>
      </c>
      <c r="E87" t="s">
        <v>33</v>
      </c>
    </row>
    <row r="88" spans="1:5" x14ac:dyDescent="0.25">
      <c r="A88" t="s">
        <v>31</v>
      </c>
      <c r="B88">
        <v>2.0066666666666664</v>
      </c>
      <c r="C88" t="s">
        <v>33</v>
      </c>
      <c r="D88">
        <v>32.714999999999996</v>
      </c>
      <c r="E88" t="s">
        <v>32</v>
      </c>
    </row>
    <row r="89" spans="1:5" x14ac:dyDescent="0.25">
      <c r="A89" t="s">
        <v>31</v>
      </c>
      <c r="B89">
        <v>0.74846153846153851</v>
      </c>
      <c r="C89" t="s">
        <v>32</v>
      </c>
      <c r="D89">
        <v>19.934999999999999</v>
      </c>
      <c r="E89" t="s">
        <v>33</v>
      </c>
    </row>
    <row r="90" spans="1:5" x14ac:dyDescent="0.25">
      <c r="A90" t="s">
        <v>31</v>
      </c>
      <c r="B90">
        <v>0.11478260869565218</v>
      </c>
      <c r="C90" t="s">
        <v>32</v>
      </c>
      <c r="D90">
        <v>12.469999999999999</v>
      </c>
      <c r="E90" t="s">
        <v>33</v>
      </c>
    </row>
    <row r="91" spans="1:5" x14ac:dyDescent="0.25">
      <c r="A91" t="s">
        <v>31</v>
      </c>
      <c r="B91">
        <v>0.77</v>
      </c>
      <c r="C91" t="s">
        <v>32</v>
      </c>
      <c r="D91">
        <v>56.81</v>
      </c>
      <c r="E91" t="s">
        <v>32</v>
      </c>
    </row>
    <row r="92" spans="1:5" x14ac:dyDescent="0.25">
      <c r="A92" t="s">
        <v>31</v>
      </c>
      <c r="B92">
        <v>0.21583333333333332</v>
      </c>
      <c r="C92" t="s">
        <v>33</v>
      </c>
      <c r="D92">
        <v>19.62</v>
      </c>
      <c r="E92" t="s">
        <v>33</v>
      </c>
    </row>
    <row r="93" spans="1:5" x14ac:dyDescent="0.25">
      <c r="A93" t="s">
        <v>31</v>
      </c>
      <c r="B93">
        <v>1.23</v>
      </c>
      <c r="C93" t="s">
        <v>33</v>
      </c>
      <c r="D93">
        <v>6.4450000000000003</v>
      </c>
      <c r="E93" t="s">
        <v>33</v>
      </c>
    </row>
    <row r="94" spans="1:5" x14ac:dyDescent="0.25">
      <c r="A94" t="s">
        <v>31</v>
      </c>
      <c r="B94">
        <v>0.11153846153846153</v>
      </c>
      <c r="C94" t="s">
        <v>32</v>
      </c>
      <c r="D94">
        <v>12.91</v>
      </c>
      <c r="E94" t="s">
        <v>33</v>
      </c>
    </row>
    <row r="95" spans="1:5" x14ac:dyDescent="0.25">
      <c r="A95" t="s">
        <v>31</v>
      </c>
      <c r="B95">
        <v>0.47687499999999999</v>
      </c>
      <c r="C95" t="s">
        <v>33</v>
      </c>
      <c r="D95">
        <v>15.085000000000001</v>
      </c>
      <c r="E95" t="s">
        <v>33</v>
      </c>
    </row>
    <row r="96" spans="1:5" x14ac:dyDescent="0.25">
      <c r="A96" t="s">
        <v>31</v>
      </c>
      <c r="B96">
        <v>0.39500000000000002</v>
      </c>
      <c r="C96" t="s">
        <v>33</v>
      </c>
      <c r="D96">
        <v>15.195</v>
      </c>
      <c r="E96" t="s">
        <v>33</v>
      </c>
    </row>
    <row r="97" spans="1:5" x14ac:dyDescent="0.25">
      <c r="A97" t="s">
        <v>31</v>
      </c>
      <c r="B97">
        <v>1.64</v>
      </c>
      <c r="C97" t="s">
        <v>33</v>
      </c>
      <c r="D97">
        <v>37.774999999999999</v>
      </c>
      <c r="E97" t="s">
        <v>32</v>
      </c>
    </row>
    <row r="98" spans="1:5" x14ac:dyDescent="0.25">
      <c r="A98" t="s">
        <v>31</v>
      </c>
      <c r="B98">
        <v>0.14499999999999999</v>
      </c>
      <c r="C98" t="s">
        <v>33</v>
      </c>
      <c r="D98">
        <v>8.5300000000000011</v>
      </c>
      <c r="E98" t="s">
        <v>33</v>
      </c>
    </row>
    <row r="99" spans="1:5" x14ac:dyDescent="0.25">
      <c r="A99" t="s">
        <v>31</v>
      </c>
      <c r="B99">
        <v>0.50375000000000003</v>
      </c>
      <c r="C99" t="s">
        <v>33</v>
      </c>
      <c r="D99">
        <v>36.585000000000001</v>
      </c>
      <c r="E99" t="s">
        <v>32</v>
      </c>
    </row>
    <row r="100" spans="1:5" x14ac:dyDescent="0.25">
      <c r="A100" t="s">
        <v>31</v>
      </c>
      <c r="B100">
        <v>0.11473684210526316</v>
      </c>
      <c r="C100" t="s">
        <v>33</v>
      </c>
      <c r="D100">
        <v>16.82</v>
      </c>
      <c r="E100" t="s">
        <v>33</v>
      </c>
    </row>
    <row r="101" spans="1:5" x14ac:dyDescent="0.25">
      <c r="A101" t="s">
        <v>31</v>
      </c>
      <c r="B101">
        <v>0.47249999999999998</v>
      </c>
      <c r="C101" t="s">
        <v>33</v>
      </c>
      <c r="D101">
        <v>18.04</v>
      </c>
      <c r="E101" t="s">
        <v>33</v>
      </c>
    </row>
    <row r="102" spans="1:5" x14ac:dyDescent="0.25">
      <c r="A102" t="s">
        <v>31</v>
      </c>
      <c r="B102">
        <v>0.35263157894736841</v>
      </c>
      <c r="C102" t="s">
        <v>33</v>
      </c>
      <c r="D102">
        <v>16.440000000000001</v>
      </c>
      <c r="E102" t="s">
        <v>33</v>
      </c>
    </row>
    <row r="103" spans="1:5" x14ac:dyDescent="0.25">
      <c r="A103" t="s">
        <v>31</v>
      </c>
      <c r="B103">
        <v>3.43</v>
      </c>
      <c r="C103" t="s">
        <v>33</v>
      </c>
      <c r="D103">
        <v>14.275</v>
      </c>
      <c r="E103" t="s">
        <v>33</v>
      </c>
    </row>
    <row r="104" spans="1:5" x14ac:dyDescent="0.25">
      <c r="A104" t="s">
        <v>31</v>
      </c>
      <c r="B104">
        <v>0.21571428571428572</v>
      </c>
      <c r="C104" t="s">
        <v>33</v>
      </c>
      <c r="D104">
        <v>25.294999999999998</v>
      </c>
      <c r="E104" t="s">
        <v>33</v>
      </c>
    </row>
    <row r="105" spans="1:5" x14ac:dyDescent="0.25">
      <c r="A105" t="s">
        <v>31</v>
      </c>
      <c r="B105">
        <v>0.4757142857142857</v>
      </c>
      <c r="C105" t="s">
        <v>33</v>
      </c>
      <c r="D105">
        <v>14.18</v>
      </c>
      <c r="E105" t="s">
        <v>33</v>
      </c>
    </row>
    <row r="106" spans="1:5" x14ac:dyDescent="0.25">
      <c r="A106" t="s">
        <v>31</v>
      </c>
      <c r="B106">
        <v>1.448</v>
      </c>
      <c r="C106" t="s">
        <v>33</v>
      </c>
      <c r="D106">
        <v>24.009999999999998</v>
      </c>
      <c r="E106" t="s">
        <v>33</v>
      </c>
    </row>
    <row r="107" spans="1:5" x14ac:dyDescent="0.25">
      <c r="A107" t="s">
        <v>31</v>
      </c>
      <c r="B107">
        <v>0.43</v>
      </c>
      <c r="C107" t="s">
        <v>33</v>
      </c>
      <c r="D107">
        <v>38.160000000000004</v>
      </c>
      <c r="E107" t="s">
        <v>32</v>
      </c>
    </row>
    <row r="108" spans="1:5" x14ac:dyDescent="0.25">
      <c r="A108" t="s">
        <v>31</v>
      </c>
      <c r="B108">
        <v>0.2525</v>
      </c>
      <c r="C108" t="s">
        <v>33</v>
      </c>
      <c r="D108">
        <v>38.57</v>
      </c>
      <c r="E108" t="s">
        <v>32</v>
      </c>
    </row>
    <row r="109" spans="1:5" x14ac:dyDescent="0.25">
      <c r="A109" t="s">
        <v>31</v>
      </c>
      <c r="B109">
        <v>0.26100000000000001</v>
      </c>
      <c r="C109" t="s">
        <v>33</v>
      </c>
      <c r="D109">
        <v>22.324999999999999</v>
      </c>
      <c r="E109" t="s">
        <v>33</v>
      </c>
    </row>
    <row r="110" spans="1:5" x14ac:dyDescent="0.25">
      <c r="A110" t="s">
        <v>31</v>
      </c>
      <c r="B110">
        <v>3.0933333333333333</v>
      </c>
      <c r="C110" t="s">
        <v>33</v>
      </c>
      <c r="D110">
        <v>30.869999999999997</v>
      </c>
      <c r="E110" t="s">
        <v>32</v>
      </c>
    </row>
    <row r="111" spans="1:5" x14ac:dyDescent="0.25">
      <c r="A111" t="s">
        <v>31</v>
      </c>
      <c r="B111">
        <v>0.46692307692307694</v>
      </c>
      <c r="C111" t="s">
        <v>33</v>
      </c>
      <c r="D111">
        <v>20.65</v>
      </c>
      <c r="E111" t="s">
        <v>33</v>
      </c>
    </row>
    <row r="112" spans="1:5" x14ac:dyDescent="0.25">
      <c r="A112" t="s">
        <v>31</v>
      </c>
      <c r="B112">
        <v>5.1111111111111114E-2</v>
      </c>
      <c r="C112" t="s">
        <v>33</v>
      </c>
      <c r="D112">
        <v>18.71</v>
      </c>
      <c r="E112" t="s">
        <v>33</v>
      </c>
    </row>
    <row r="113" spans="1:5" x14ac:dyDescent="0.25">
      <c r="A113" t="s">
        <v>31</v>
      </c>
      <c r="B113">
        <v>0.22857142857142859</v>
      </c>
      <c r="C113" t="s">
        <v>32</v>
      </c>
      <c r="D113">
        <v>21.494999999999997</v>
      </c>
      <c r="E113" t="s">
        <v>33</v>
      </c>
    </row>
    <row r="114" spans="1:5" x14ac:dyDescent="0.25">
      <c r="A114" t="s">
        <v>31</v>
      </c>
      <c r="B114">
        <v>0.27523809523809523</v>
      </c>
      <c r="C114" t="s">
        <v>32</v>
      </c>
      <c r="D114">
        <v>42.395000000000003</v>
      </c>
      <c r="E114" t="s">
        <v>32</v>
      </c>
    </row>
    <row r="115" spans="1:5" x14ac:dyDescent="0.25">
      <c r="A115" t="s">
        <v>31</v>
      </c>
      <c r="B115">
        <v>3.6150000000000002</v>
      </c>
      <c r="C115" t="s">
        <v>33</v>
      </c>
      <c r="D115">
        <v>27.085000000000001</v>
      </c>
      <c r="E115" t="s">
        <v>33</v>
      </c>
    </row>
    <row r="116" spans="1:5" x14ac:dyDescent="0.25">
      <c r="A116" t="s">
        <v>31</v>
      </c>
      <c r="B116">
        <v>0.32800000000000001</v>
      </c>
      <c r="C116" t="s">
        <v>33</v>
      </c>
      <c r="D116">
        <v>36.375</v>
      </c>
      <c r="E116" t="s">
        <v>32</v>
      </c>
    </row>
    <row r="117" spans="1:5" x14ac:dyDescent="0.25">
      <c r="A117" t="s">
        <v>31</v>
      </c>
      <c r="B117">
        <v>0.35625000000000001</v>
      </c>
      <c r="C117" t="s">
        <v>32</v>
      </c>
      <c r="D117">
        <v>47.16</v>
      </c>
      <c r="E117" t="s">
        <v>32</v>
      </c>
    </row>
    <row r="118" spans="1:5" x14ac:dyDescent="0.25">
      <c r="A118" t="s">
        <v>31</v>
      </c>
      <c r="B118">
        <v>9.5999999999999992E-3</v>
      </c>
      <c r="C118" t="s">
        <v>32</v>
      </c>
      <c r="D118">
        <v>1.0350000000000001</v>
      </c>
      <c r="E118" t="s">
        <v>33</v>
      </c>
    </row>
    <row r="119" spans="1:5" x14ac:dyDescent="0.25">
      <c r="A119" t="s">
        <v>31</v>
      </c>
      <c r="B119">
        <v>0.49000000000000005</v>
      </c>
      <c r="C119" t="s">
        <v>32</v>
      </c>
      <c r="D119">
        <v>8.7249999999999996</v>
      </c>
      <c r="E119" t="s">
        <v>33</v>
      </c>
    </row>
    <row r="120" spans="1:5" x14ac:dyDescent="0.25">
      <c r="A120" t="s">
        <v>31</v>
      </c>
      <c r="B120">
        <v>6.9545454545454549E-2</v>
      </c>
      <c r="C120" t="s">
        <v>32</v>
      </c>
      <c r="D120">
        <v>10.98</v>
      </c>
      <c r="E120" t="s">
        <v>33</v>
      </c>
    </row>
    <row r="121" spans="1:5" x14ac:dyDescent="0.25">
      <c r="A121" t="s">
        <v>31</v>
      </c>
      <c r="B121">
        <v>0.40312500000000001</v>
      </c>
      <c r="C121" t="s">
        <v>32</v>
      </c>
      <c r="D121">
        <v>35.744999999999997</v>
      </c>
      <c r="E121" t="s">
        <v>32</v>
      </c>
    </row>
    <row r="122" spans="1:5" x14ac:dyDescent="0.25">
      <c r="A122" t="s">
        <v>31</v>
      </c>
      <c r="B122">
        <v>0.65333333333333332</v>
      </c>
      <c r="C122" t="s">
        <v>33</v>
      </c>
      <c r="D122">
        <v>38.89</v>
      </c>
      <c r="E122" t="s">
        <v>32</v>
      </c>
    </row>
    <row r="123" spans="1:5" x14ac:dyDescent="0.25">
      <c r="A123" t="s">
        <v>31</v>
      </c>
      <c r="B123">
        <v>0.34777777777777774</v>
      </c>
      <c r="C123" t="s">
        <v>32</v>
      </c>
      <c r="D123">
        <v>35.015000000000001</v>
      </c>
      <c r="E123" t="s">
        <v>32</v>
      </c>
    </row>
    <row r="124" spans="1:5" x14ac:dyDescent="0.25">
      <c r="A124" t="s">
        <v>31</v>
      </c>
      <c r="B124">
        <v>0.70111111111111102</v>
      </c>
      <c r="C124" t="s">
        <v>32</v>
      </c>
      <c r="D124">
        <v>24.98</v>
      </c>
      <c r="E124" t="s">
        <v>33</v>
      </c>
    </row>
    <row r="125" spans="1:5" x14ac:dyDescent="0.25">
      <c r="A125" t="s">
        <v>31</v>
      </c>
      <c r="B125">
        <v>0.38368421052631579</v>
      </c>
      <c r="C125" t="s">
        <v>33</v>
      </c>
      <c r="D125">
        <v>16.96</v>
      </c>
      <c r="E125" t="s">
        <v>33</v>
      </c>
    </row>
    <row r="126" spans="1:5" x14ac:dyDescent="0.25">
      <c r="A126" t="s">
        <v>31</v>
      </c>
      <c r="B126">
        <v>0.12473684210526316</v>
      </c>
      <c r="C126" t="s">
        <v>32</v>
      </c>
      <c r="D126">
        <v>18.62</v>
      </c>
      <c r="E126" t="s">
        <v>33</v>
      </c>
    </row>
    <row r="127" spans="1:5" x14ac:dyDescent="0.25">
      <c r="A127" t="s">
        <v>31</v>
      </c>
      <c r="B127">
        <v>0.79499999999999993</v>
      </c>
      <c r="C127" t="s">
        <v>32</v>
      </c>
      <c r="D127">
        <v>37.265000000000001</v>
      </c>
      <c r="E127" t="s">
        <v>32</v>
      </c>
    </row>
    <row r="128" spans="1:5" x14ac:dyDescent="0.25">
      <c r="A128" t="s">
        <v>31</v>
      </c>
      <c r="B128">
        <v>0.15533333333333335</v>
      </c>
      <c r="C128" t="s">
        <v>32</v>
      </c>
      <c r="D128">
        <v>6.2200000000000006</v>
      </c>
      <c r="E128" t="s">
        <v>33</v>
      </c>
    </row>
    <row r="129" spans="1:5" x14ac:dyDescent="0.25">
      <c r="A129" t="s">
        <v>31</v>
      </c>
      <c r="B129">
        <v>0.32947368421052631</v>
      </c>
      <c r="C129" t="s">
        <v>33</v>
      </c>
      <c r="D129">
        <v>10.004999999999999</v>
      </c>
      <c r="E129" t="s">
        <v>33</v>
      </c>
    </row>
    <row r="130" spans="1:5" x14ac:dyDescent="0.25">
      <c r="A130" t="s">
        <v>31</v>
      </c>
      <c r="B130">
        <v>0.3354166666666667</v>
      </c>
      <c r="C130" t="s">
        <v>33</v>
      </c>
      <c r="D130">
        <v>27.864999999999998</v>
      </c>
      <c r="E130" t="s">
        <v>33</v>
      </c>
    </row>
    <row r="131" spans="1:5" x14ac:dyDescent="0.25">
      <c r="A131" t="s">
        <v>31</v>
      </c>
      <c r="B131">
        <v>0.20599999999999999</v>
      </c>
      <c r="C131" t="s">
        <v>33</v>
      </c>
      <c r="D131">
        <v>28.18</v>
      </c>
      <c r="E131" t="s">
        <v>33</v>
      </c>
    </row>
    <row r="132" spans="1:5" x14ac:dyDescent="0.25">
      <c r="A132" t="s">
        <v>31</v>
      </c>
      <c r="B132">
        <v>0.09</v>
      </c>
      <c r="C132" t="s">
        <v>32</v>
      </c>
      <c r="D132">
        <v>13.43</v>
      </c>
      <c r="E132" t="s">
        <v>33</v>
      </c>
    </row>
    <row r="133" spans="1:5" x14ac:dyDescent="0.25">
      <c r="A133" t="s">
        <v>31</v>
      </c>
      <c r="B133">
        <v>0.13473684210526315</v>
      </c>
      <c r="C133" t="s">
        <v>32</v>
      </c>
      <c r="D133">
        <v>12.39</v>
      </c>
      <c r="E133" t="s">
        <v>33</v>
      </c>
    </row>
    <row r="134" spans="1:5" x14ac:dyDescent="0.25">
      <c r="A134" t="s">
        <v>31</v>
      </c>
      <c r="B134">
        <v>7.3999999999999996E-2</v>
      </c>
      <c r="C134" t="s">
        <v>32</v>
      </c>
      <c r="D134">
        <v>5.5</v>
      </c>
      <c r="E134" t="s">
        <v>33</v>
      </c>
    </row>
    <row r="135" spans="1:5" x14ac:dyDescent="0.25">
      <c r="A135" t="s">
        <v>31</v>
      </c>
      <c r="B135">
        <v>0.17</v>
      </c>
      <c r="C135" t="s">
        <v>32</v>
      </c>
      <c r="D135">
        <v>10.305</v>
      </c>
      <c r="E135" t="s">
        <v>33</v>
      </c>
    </row>
    <row r="136" spans="1:5" x14ac:dyDescent="0.25">
      <c r="A136" t="s">
        <v>31</v>
      </c>
      <c r="B136">
        <v>0.26640000000000003</v>
      </c>
      <c r="C136" t="s">
        <v>33</v>
      </c>
      <c r="D136">
        <v>43.03</v>
      </c>
      <c r="E136" t="s">
        <v>32</v>
      </c>
    </row>
    <row r="137" spans="1:5" x14ac:dyDescent="0.25">
      <c r="A137" t="s">
        <v>31</v>
      </c>
      <c r="B137">
        <v>0.28523809523809524</v>
      </c>
      <c r="C137" t="s">
        <v>33</v>
      </c>
      <c r="D137">
        <v>25.434999999999999</v>
      </c>
      <c r="E137" t="s">
        <v>33</v>
      </c>
    </row>
    <row r="138" spans="1:5" x14ac:dyDescent="0.25">
      <c r="A138" t="s">
        <v>31</v>
      </c>
      <c r="B138">
        <v>1.7133333333333332</v>
      </c>
      <c r="C138" t="s">
        <v>33</v>
      </c>
      <c r="D138">
        <v>28.130000000000003</v>
      </c>
      <c r="E138" t="s">
        <v>33</v>
      </c>
    </row>
    <row r="139" spans="1:5" x14ac:dyDescent="0.25">
      <c r="A139" t="s">
        <v>31</v>
      </c>
      <c r="B139">
        <v>0.10846153846153846</v>
      </c>
      <c r="C139" t="s">
        <v>32</v>
      </c>
      <c r="D139">
        <v>13.704999999999998</v>
      </c>
      <c r="E139" t="s">
        <v>33</v>
      </c>
    </row>
    <row r="140" spans="1:5" x14ac:dyDescent="0.25">
      <c r="A140" t="s">
        <v>31</v>
      </c>
      <c r="B140">
        <v>9.2500000000000013E-2</v>
      </c>
      <c r="C140" t="s">
        <v>32</v>
      </c>
      <c r="D140">
        <v>11.16</v>
      </c>
      <c r="E140" t="s">
        <v>33</v>
      </c>
    </row>
    <row r="141" spans="1:5" x14ac:dyDescent="0.25">
      <c r="A141" t="s">
        <v>31</v>
      </c>
      <c r="B141">
        <v>3.7222222222222226E-2</v>
      </c>
      <c r="C141" t="s">
        <v>33</v>
      </c>
      <c r="D141">
        <v>8.1199999999999992</v>
      </c>
      <c r="E141" t="s">
        <v>33</v>
      </c>
    </row>
    <row r="142" spans="1:5" x14ac:dyDescent="0.25">
      <c r="A142" t="s">
        <v>31</v>
      </c>
      <c r="B142">
        <v>0.39166666666666666</v>
      </c>
      <c r="C142" t="s">
        <v>32</v>
      </c>
      <c r="D142">
        <v>20.84</v>
      </c>
      <c r="E142" t="s">
        <v>33</v>
      </c>
    </row>
    <row r="143" spans="1:5" x14ac:dyDescent="0.25">
      <c r="A143" t="s">
        <v>31</v>
      </c>
      <c r="B143">
        <v>0.10304347826086957</v>
      </c>
      <c r="C143" t="s">
        <v>33</v>
      </c>
      <c r="D143">
        <v>28.864999999999998</v>
      </c>
      <c r="E143" t="s">
        <v>33</v>
      </c>
    </row>
    <row r="144" spans="1:5" x14ac:dyDescent="0.25">
      <c r="A144" t="s">
        <v>31</v>
      </c>
      <c r="B144">
        <v>0.28818181818181815</v>
      </c>
      <c r="C144" t="s">
        <v>32</v>
      </c>
      <c r="D144">
        <v>13.424999999999999</v>
      </c>
      <c r="E144" t="s">
        <v>33</v>
      </c>
    </row>
    <row r="145" spans="1:5" x14ac:dyDescent="0.25">
      <c r="A145" t="s">
        <v>31</v>
      </c>
      <c r="B145">
        <v>0.16066666666666668</v>
      </c>
      <c r="C145" t="s">
        <v>33</v>
      </c>
      <c r="D145">
        <v>12.780000000000001</v>
      </c>
      <c r="E145" t="s">
        <v>33</v>
      </c>
    </row>
    <row r="146" spans="1:5" x14ac:dyDescent="0.25">
      <c r="A146" t="s">
        <v>31</v>
      </c>
      <c r="B146">
        <v>6.9199999999999998E-2</v>
      </c>
      <c r="C146" t="s">
        <v>33</v>
      </c>
      <c r="D146">
        <v>11.055</v>
      </c>
      <c r="E146" t="s">
        <v>33</v>
      </c>
    </row>
    <row r="147" spans="1:5" x14ac:dyDescent="0.25">
      <c r="A147" t="s">
        <v>31</v>
      </c>
      <c r="B147">
        <v>3.86</v>
      </c>
      <c r="C147" t="s">
        <v>33</v>
      </c>
      <c r="D147">
        <v>38.89</v>
      </c>
      <c r="E147" t="s">
        <v>32</v>
      </c>
    </row>
    <row r="148" spans="1:5" x14ac:dyDescent="0.25">
      <c r="A148" t="s">
        <v>31</v>
      </c>
      <c r="B148">
        <v>3.2949999999999999</v>
      </c>
      <c r="C148" t="s">
        <v>32</v>
      </c>
      <c r="D148">
        <v>26.65</v>
      </c>
      <c r="E148" t="s">
        <v>33</v>
      </c>
    </row>
    <row r="149" spans="1:5" x14ac:dyDescent="0.25">
      <c r="A149" t="s">
        <v>31</v>
      </c>
      <c r="B149">
        <v>0.4955</v>
      </c>
      <c r="C149" t="s">
        <v>33</v>
      </c>
      <c r="D149">
        <v>14.23</v>
      </c>
      <c r="E149" t="s">
        <v>33</v>
      </c>
    </row>
    <row r="150" spans="1:5" x14ac:dyDescent="0.25">
      <c r="A150" t="s">
        <v>31</v>
      </c>
      <c r="B150">
        <v>0.56625000000000003</v>
      </c>
      <c r="C150" t="s">
        <v>33</v>
      </c>
      <c r="D150">
        <v>38.93</v>
      </c>
      <c r="E150" t="s">
        <v>32</v>
      </c>
    </row>
    <row r="151" spans="1:5" x14ac:dyDescent="0.25">
      <c r="A151" t="s">
        <v>31</v>
      </c>
      <c r="B151">
        <v>0.330625</v>
      </c>
      <c r="C151" t="s">
        <v>32</v>
      </c>
      <c r="D151">
        <v>19.585000000000001</v>
      </c>
      <c r="E151" t="s">
        <v>33</v>
      </c>
    </row>
    <row r="152" spans="1:5" x14ac:dyDescent="0.25">
      <c r="A152" t="s">
        <v>31</v>
      </c>
      <c r="B152">
        <v>5.9130434782608703E-2</v>
      </c>
      <c r="C152" t="s">
        <v>32</v>
      </c>
      <c r="D152">
        <v>9.625</v>
      </c>
      <c r="E152" t="s">
        <v>33</v>
      </c>
    </row>
    <row r="153" spans="1:5" x14ac:dyDescent="0.25">
      <c r="A153" t="s">
        <v>31</v>
      </c>
      <c r="B153">
        <v>5.1428571428571428E-2</v>
      </c>
      <c r="C153" t="s">
        <v>33</v>
      </c>
      <c r="D153">
        <v>11.34</v>
      </c>
      <c r="E153" t="s">
        <v>33</v>
      </c>
    </row>
    <row r="154" spans="1:5" x14ac:dyDescent="0.25">
      <c r="A154" t="s">
        <v>31</v>
      </c>
      <c r="B154">
        <v>0.71333333333333337</v>
      </c>
      <c r="C154" t="s">
        <v>33</v>
      </c>
      <c r="D154">
        <v>18.47</v>
      </c>
      <c r="E154" t="s">
        <v>33</v>
      </c>
    </row>
    <row r="155" spans="1:5" x14ac:dyDescent="0.25">
      <c r="A155" t="s">
        <v>31</v>
      </c>
      <c r="B155">
        <v>0.34</v>
      </c>
      <c r="C155" t="s">
        <v>32</v>
      </c>
      <c r="D155">
        <v>30.41</v>
      </c>
      <c r="E155" t="s">
        <v>32</v>
      </c>
    </row>
    <row r="156" spans="1:5" x14ac:dyDescent="0.25">
      <c r="A156" t="s">
        <v>31</v>
      </c>
      <c r="B156">
        <v>0.11333333333333334</v>
      </c>
      <c r="C156" t="s">
        <v>33</v>
      </c>
      <c r="D156">
        <v>27.875</v>
      </c>
      <c r="E156" t="s">
        <v>33</v>
      </c>
    </row>
    <row r="157" spans="1:5" x14ac:dyDescent="0.25">
      <c r="A157" t="s">
        <v>31</v>
      </c>
      <c r="B157">
        <v>0.03</v>
      </c>
      <c r="C157" t="s">
        <v>32</v>
      </c>
      <c r="D157">
        <v>1.02</v>
      </c>
      <c r="E157" t="s">
        <v>33</v>
      </c>
    </row>
    <row r="158" spans="1:5" x14ac:dyDescent="0.25">
      <c r="A158" t="s">
        <v>31</v>
      </c>
      <c r="B158">
        <v>0.17</v>
      </c>
      <c r="C158" t="s">
        <v>32</v>
      </c>
      <c r="D158">
        <v>4.165</v>
      </c>
      <c r="E158" t="s">
        <v>33</v>
      </c>
    </row>
    <row r="159" spans="1:5" x14ac:dyDescent="0.25">
      <c r="A159" t="s">
        <v>31</v>
      </c>
      <c r="B159">
        <v>1.1300000000000001</v>
      </c>
      <c r="C159" t="s">
        <v>33</v>
      </c>
      <c r="D159">
        <v>25.02</v>
      </c>
      <c r="E159" t="s">
        <v>33</v>
      </c>
    </row>
    <row r="160" spans="1:5" x14ac:dyDescent="0.25">
      <c r="A160" t="s">
        <v>31</v>
      </c>
      <c r="B160">
        <v>0.12</v>
      </c>
      <c r="C160" t="s">
        <v>33</v>
      </c>
      <c r="D160">
        <v>3.3149999999999999</v>
      </c>
      <c r="E160" t="s">
        <v>33</v>
      </c>
    </row>
    <row r="161" spans="1:5" x14ac:dyDescent="0.25">
      <c r="A161" t="s">
        <v>31</v>
      </c>
      <c r="B161">
        <v>8.69</v>
      </c>
      <c r="C161" t="s">
        <v>33</v>
      </c>
      <c r="D161">
        <v>44.19</v>
      </c>
      <c r="E161" t="s">
        <v>32</v>
      </c>
    </row>
    <row r="162" spans="1:5" x14ac:dyDescent="0.25">
      <c r="A162" t="s">
        <v>31</v>
      </c>
      <c r="B162">
        <v>0.13437499999999999</v>
      </c>
      <c r="C162" t="s">
        <v>32</v>
      </c>
      <c r="D162">
        <v>23.62</v>
      </c>
      <c r="E162" t="s">
        <v>33</v>
      </c>
    </row>
    <row r="163" spans="1:5" x14ac:dyDescent="0.25">
      <c r="A163" t="s">
        <v>31</v>
      </c>
      <c r="B163">
        <v>0.55249999999999999</v>
      </c>
      <c r="C163" t="s">
        <v>32</v>
      </c>
      <c r="D163">
        <v>16.114999999999998</v>
      </c>
      <c r="E163" t="s">
        <v>33</v>
      </c>
    </row>
    <row r="164" spans="1:5" x14ac:dyDescent="0.25">
      <c r="A164" t="s">
        <v>31</v>
      </c>
      <c r="B164">
        <v>0.83000000000000007</v>
      </c>
      <c r="C164" t="s">
        <v>33</v>
      </c>
      <c r="D164">
        <v>49.625</v>
      </c>
      <c r="E164" t="s">
        <v>32</v>
      </c>
    </row>
    <row r="165" spans="1:5" x14ac:dyDescent="0.25">
      <c r="A165" t="s">
        <v>31</v>
      </c>
      <c r="B165">
        <v>0.35200000000000004</v>
      </c>
      <c r="C165" t="s">
        <v>33</v>
      </c>
      <c r="D165">
        <v>35.04</v>
      </c>
      <c r="E165" t="s">
        <v>32</v>
      </c>
    </row>
    <row r="166" spans="1:5" x14ac:dyDescent="0.25">
      <c r="A166" t="s">
        <v>31</v>
      </c>
      <c r="B166">
        <v>2.6249999999999999E-2</v>
      </c>
      <c r="C166" t="s">
        <v>33</v>
      </c>
      <c r="D166">
        <v>5.625</v>
      </c>
      <c r="E166" t="s">
        <v>33</v>
      </c>
    </row>
    <row r="167" spans="1:5" x14ac:dyDescent="0.25">
      <c r="A167" t="s">
        <v>31</v>
      </c>
      <c r="B167">
        <v>1.7050000000000001</v>
      </c>
      <c r="C167" t="s">
        <v>33</v>
      </c>
      <c r="D167">
        <v>9.35</v>
      </c>
      <c r="E167" t="s">
        <v>33</v>
      </c>
    </row>
    <row r="168" spans="1:5" x14ac:dyDescent="0.25">
      <c r="A168" t="s">
        <v>31</v>
      </c>
      <c r="B168">
        <v>4.76</v>
      </c>
      <c r="C168" t="s">
        <v>33</v>
      </c>
      <c r="D168">
        <v>44.075000000000003</v>
      </c>
      <c r="E168" t="s">
        <v>32</v>
      </c>
    </row>
    <row r="169" spans="1:5" x14ac:dyDescent="0.25">
      <c r="A169" t="s">
        <v>31</v>
      </c>
      <c r="B169">
        <v>0.28999999999999998</v>
      </c>
      <c r="C169" t="s">
        <v>33</v>
      </c>
      <c r="D169">
        <v>18.085000000000001</v>
      </c>
      <c r="E169" t="s">
        <v>33</v>
      </c>
    </row>
    <row r="170" spans="1:5" x14ac:dyDescent="0.25">
      <c r="A170" t="s">
        <v>31</v>
      </c>
      <c r="B170">
        <v>3.9130434782608699E-2</v>
      </c>
      <c r="C170" t="s">
        <v>33</v>
      </c>
      <c r="D170">
        <v>8.11</v>
      </c>
      <c r="E170" t="s">
        <v>33</v>
      </c>
    </row>
    <row r="171" spans="1:5" x14ac:dyDescent="0.25">
      <c r="A171" t="s">
        <v>31</v>
      </c>
      <c r="B171">
        <v>3.4000000000000002E-2</v>
      </c>
      <c r="C171" t="s">
        <v>33</v>
      </c>
      <c r="D171">
        <v>11.26</v>
      </c>
      <c r="E171" t="s">
        <v>33</v>
      </c>
    </row>
    <row r="172" spans="1:5" x14ac:dyDescent="0.25">
      <c r="A172" t="s">
        <v>31</v>
      </c>
      <c r="B172">
        <v>0.55428571428571427</v>
      </c>
      <c r="C172" t="s">
        <v>33</v>
      </c>
      <c r="D172">
        <v>45.07</v>
      </c>
      <c r="E172" t="s">
        <v>32</v>
      </c>
    </row>
    <row r="173" spans="1:5" x14ac:dyDescent="0.25">
      <c r="A173" t="s">
        <v>31</v>
      </c>
      <c r="B173">
        <v>1.8099999999999998</v>
      </c>
      <c r="C173" t="s">
        <v>32</v>
      </c>
      <c r="D173">
        <v>35.034999999999997</v>
      </c>
      <c r="E173" t="s">
        <v>32</v>
      </c>
    </row>
    <row r="174" spans="1:5" x14ac:dyDescent="0.25">
      <c r="A174" t="s">
        <v>31</v>
      </c>
      <c r="B174">
        <v>0.17842105263157895</v>
      </c>
      <c r="C174" t="s">
        <v>33</v>
      </c>
      <c r="D174">
        <v>25.63</v>
      </c>
      <c r="E174" t="s">
        <v>33</v>
      </c>
    </row>
    <row r="175" spans="1:5" x14ac:dyDescent="0.25">
      <c r="A175" t="s">
        <v>31</v>
      </c>
      <c r="B175">
        <v>2.9166666666666664E-2</v>
      </c>
      <c r="C175" t="s">
        <v>32</v>
      </c>
      <c r="D175">
        <v>4.4450000000000003</v>
      </c>
      <c r="E175" t="s">
        <v>33</v>
      </c>
    </row>
    <row r="176" spans="1:5" x14ac:dyDescent="0.25">
      <c r="A176" t="s">
        <v>31</v>
      </c>
      <c r="B176">
        <v>8.5999999999999993E-2</v>
      </c>
      <c r="C176" t="s">
        <v>33</v>
      </c>
      <c r="D176">
        <v>0.82499999999999996</v>
      </c>
      <c r="E176" t="s">
        <v>33</v>
      </c>
    </row>
    <row r="177" spans="1:5" x14ac:dyDescent="0.25">
      <c r="A177" t="s">
        <v>31</v>
      </c>
      <c r="B177">
        <v>3.6428571428571428E-2</v>
      </c>
      <c r="C177" t="s">
        <v>33</v>
      </c>
      <c r="D177">
        <v>7.0149999999999997</v>
      </c>
      <c r="E177" t="s">
        <v>33</v>
      </c>
    </row>
    <row r="178" spans="1:5" x14ac:dyDescent="0.25">
      <c r="A178" t="s">
        <v>31</v>
      </c>
      <c r="B178">
        <v>0.23782608695652172</v>
      </c>
      <c r="C178" t="s">
        <v>33</v>
      </c>
      <c r="D178">
        <v>25.990000000000002</v>
      </c>
      <c r="E178" t="s">
        <v>33</v>
      </c>
    </row>
    <row r="179" spans="1:5" x14ac:dyDescent="0.25">
      <c r="A179" t="s">
        <v>31</v>
      </c>
      <c r="B179">
        <v>5.17</v>
      </c>
      <c r="C179" t="s">
        <v>32</v>
      </c>
      <c r="D179">
        <v>18.175000000000001</v>
      </c>
      <c r="E179" t="s">
        <v>33</v>
      </c>
    </row>
    <row r="180" spans="1:5" x14ac:dyDescent="0.25">
      <c r="A180" t="s">
        <v>31</v>
      </c>
      <c r="B180">
        <v>1</v>
      </c>
      <c r="C180" t="s">
        <v>33</v>
      </c>
      <c r="D180">
        <v>34.844999999999999</v>
      </c>
      <c r="E180" t="s">
        <v>32</v>
      </c>
    </row>
    <row r="181" spans="1:5" x14ac:dyDescent="0.25">
      <c r="A181" t="s">
        <v>31</v>
      </c>
      <c r="B181">
        <v>1.1512500000000001</v>
      </c>
      <c r="C181" t="s">
        <v>32</v>
      </c>
      <c r="D181">
        <v>23.805</v>
      </c>
      <c r="E181" t="s">
        <v>33</v>
      </c>
    </row>
    <row r="182" spans="1:5" x14ac:dyDescent="0.25">
      <c r="A182" t="s">
        <v>31</v>
      </c>
      <c r="B182">
        <v>0.38857142857142857</v>
      </c>
      <c r="C182" t="s">
        <v>33</v>
      </c>
      <c r="D182">
        <v>37.924999999999997</v>
      </c>
      <c r="E182" t="s">
        <v>32</v>
      </c>
    </row>
    <row r="183" spans="1:5" x14ac:dyDescent="0.25">
      <c r="A183" t="s">
        <v>31</v>
      </c>
      <c r="B183">
        <v>0.30636363636363639</v>
      </c>
      <c r="C183" t="s">
        <v>32</v>
      </c>
      <c r="D183">
        <v>56.905000000000001</v>
      </c>
      <c r="E183" t="s">
        <v>32</v>
      </c>
    </row>
    <row r="184" spans="1:5" x14ac:dyDescent="0.25">
      <c r="A184" t="s">
        <v>31</v>
      </c>
      <c r="B184">
        <v>0.11157894736842106</v>
      </c>
      <c r="C184" t="s">
        <v>33</v>
      </c>
      <c r="D184">
        <v>14.445</v>
      </c>
      <c r="E184" t="s">
        <v>33</v>
      </c>
    </row>
    <row r="185" spans="1:5" x14ac:dyDescent="0.25">
      <c r="A185" t="s">
        <v>31</v>
      </c>
      <c r="B185">
        <v>0.01</v>
      </c>
      <c r="C185" t="s">
        <v>33</v>
      </c>
      <c r="D185">
        <v>8.7999999999999989</v>
      </c>
      <c r="E185" t="s">
        <v>33</v>
      </c>
    </row>
    <row r="186" spans="1:5" x14ac:dyDescent="0.25">
      <c r="A186" t="s">
        <v>31</v>
      </c>
      <c r="B186">
        <v>2.0833333333333332E-2</v>
      </c>
      <c r="C186" t="s">
        <v>33</v>
      </c>
      <c r="D186">
        <v>11.799999999999999</v>
      </c>
      <c r="E186" t="s">
        <v>33</v>
      </c>
    </row>
    <row r="187" spans="1:5" x14ac:dyDescent="0.25">
      <c r="A187" t="s">
        <v>31</v>
      </c>
      <c r="B187">
        <v>2.4375</v>
      </c>
      <c r="C187" t="s">
        <v>33</v>
      </c>
      <c r="D187">
        <v>28.39</v>
      </c>
      <c r="E187" t="s">
        <v>33</v>
      </c>
    </row>
    <row r="188" spans="1:5" x14ac:dyDescent="0.25">
      <c r="A188" t="s">
        <v>31</v>
      </c>
      <c r="B188">
        <v>0.28944444444444445</v>
      </c>
      <c r="C188" t="s">
        <v>32</v>
      </c>
      <c r="D188">
        <v>54.635000000000005</v>
      </c>
      <c r="E188" t="s">
        <v>32</v>
      </c>
    </row>
    <row r="189" spans="1:5" x14ac:dyDescent="0.25">
      <c r="A189" t="s">
        <v>31</v>
      </c>
      <c r="B189">
        <v>0.33666666666666667</v>
      </c>
      <c r="C189" t="s">
        <v>33</v>
      </c>
      <c r="D189">
        <v>7.3849999999999998</v>
      </c>
      <c r="E189" t="s">
        <v>33</v>
      </c>
    </row>
    <row r="190" spans="1:5" x14ac:dyDescent="0.25">
      <c r="A190" t="s">
        <v>31</v>
      </c>
      <c r="B190">
        <v>0.16153846153846155</v>
      </c>
      <c r="C190" t="s">
        <v>33</v>
      </c>
      <c r="D190">
        <v>7.3650000000000002</v>
      </c>
      <c r="E190" t="s">
        <v>33</v>
      </c>
    </row>
    <row r="191" spans="1:5" x14ac:dyDescent="0.25">
      <c r="A191" t="s">
        <v>31</v>
      </c>
      <c r="B191">
        <v>1.3999999999999999E-2</v>
      </c>
      <c r="C191" t="s">
        <v>33</v>
      </c>
      <c r="D191">
        <v>4.2300000000000004</v>
      </c>
      <c r="E191" t="s">
        <v>33</v>
      </c>
    </row>
    <row r="192" spans="1:5" x14ac:dyDescent="0.25">
      <c r="A192" t="s">
        <v>31</v>
      </c>
      <c r="B192">
        <v>1.6839999999999999</v>
      </c>
      <c r="C192" t="s">
        <v>33</v>
      </c>
      <c r="D192">
        <v>26.094999999999999</v>
      </c>
      <c r="E192" t="s">
        <v>33</v>
      </c>
    </row>
    <row r="193" spans="1:5" x14ac:dyDescent="0.25">
      <c r="A193" t="s">
        <v>31</v>
      </c>
      <c r="B193">
        <v>3.64</v>
      </c>
      <c r="C193" t="s">
        <v>33</v>
      </c>
      <c r="D193">
        <v>37.125</v>
      </c>
      <c r="E193" t="s">
        <v>32</v>
      </c>
    </row>
    <row r="194" spans="1:5" x14ac:dyDescent="0.25">
      <c r="A194" t="s">
        <v>31</v>
      </c>
      <c r="B194">
        <v>0.11571428571428573</v>
      </c>
      <c r="C194" t="s">
        <v>33</v>
      </c>
      <c r="D194">
        <v>11.695</v>
      </c>
      <c r="E194" t="s">
        <v>33</v>
      </c>
    </row>
    <row r="195" spans="1:5" x14ac:dyDescent="0.25">
      <c r="A195" t="s">
        <v>31</v>
      </c>
      <c r="B195">
        <v>0.24166666666666667</v>
      </c>
      <c r="C195" t="s">
        <v>33</v>
      </c>
      <c r="D195">
        <v>13.324999999999999</v>
      </c>
      <c r="E195" t="s">
        <v>33</v>
      </c>
    </row>
    <row r="196" spans="1:5" x14ac:dyDescent="0.25">
      <c r="A196" t="s">
        <v>31</v>
      </c>
      <c r="B196">
        <v>1.7024999999999999</v>
      </c>
      <c r="C196" t="s">
        <v>33</v>
      </c>
      <c r="D196">
        <v>58.57</v>
      </c>
      <c r="E196" t="s">
        <v>32</v>
      </c>
    </row>
    <row r="197" spans="1:5" x14ac:dyDescent="0.25">
      <c r="A197" t="s">
        <v>31</v>
      </c>
      <c r="B197">
        <v>0.59</v>
      </c>
      <c r="C197" t="s">
        <v>33</v>
      </c>
      <c r="D197">
        <v>26.245000000000001</v>
      </c>
      <c r="E197" t="s">
        <v>33</v>
      </c>
    </row>
    <row r="198" spans="1:5" x14ac:dyDescent="0.25">
      <c r="A198" t="s">
        <v>31</v>
      </c>
      <c r="B198">
        <v>0.16823529411764704</v>
      </c>
      <c r="C198" t="s">
        <v>33</v>
      </c>
      <c r="D198">
        <v>14.200000000000001</v>
      </c>
      <c r="E198" t="s">
        <v>33</v>
      </c>
    </row>
    <row r="199" spans="1:5" x14ac:dyDescent="0.25">
      <c r="A199" t="s">
        <v>31</v>
      </c>
      <c r="B199">
        <v>0.73272727272727278</v>
      </c>
      <c r="C199" t="s">
        <v>32</v>
      </c>
      <c r="D199">
        <v>14.65</v>
      </c>
      <c r="E199" t="s">
        <v>33</v>
      </c>
    </row>
    <row r="200" spans="1:5" x14ac:dyDescent="0.25">
      <c r="A200" t="s">
        <v>31</v>
      </c>
      <c r="B200">
        <v>0.29736842105263162</v>
      </c>
      <c r="C200" t="s">
        <v>33</v>
      </c>
      <c r="D200">
        <v>25.865000000000002</v>
      </c>
      <c r="E200" t="s">
        <v>33</v>
      </c>
    </row>
    <row r="201" spans="1:5" x14ac:dyDescent="0.25">
      <c r="A201" t="s">
        <v>31</v>
      </c>
      <c r="B201">
        <v>2.3149999999999999</v>
      </c>
      <c r="C201" t="s">
        <v>32</v>
      </c>
      <c r="D201">
        <v>27.025000000000002</v>
      </c>
      <c r="E201" t="s">
        <v>33</v>
      </c>
    </row>
    <row r="202" spans="1:5" x14ac:dyDescent="0.25">
      <c r="A202" t="s">
        <v>31</v>
      </c>
      <c r="B202">
        <v>0.12823529411764706</v>
      </c>
      <c r="C202" t="s">
        <v>32</v>
      </c>
      <c r="D202">
        <v>16.954999999999998</v>
      </c>
      <c r="E202" t="s">
        <v>33</v>
      </c>
    </row>
    <row r="203" spans="1:5" x14ac:dyDescent="0.25">
      <c r="A203" t="s">
        <v>31</v>
      </c>
      <c r="B203">
        <v>0.4284615384615385</v>
      </c>
      <c r="C203" t="s">
        <v>33</v>
      </c>
      <c r="D203">
        <v>39.915000000000006</v>
      </c>
      <c r="E203" t="s">
        <v>32</v>
      </c>
    </row>
    <row r="204" spans="1:5" x14ac:dyDescent="0.25">
      <c r="A204" t="s">
        <v>31</v>
      </c>
      <c r="B204">
        <v>4.1052631578947368E-2</v>
      </c>
      <c r="C204" t="s">
        <v>33</v>
      </c>
      <c r="D204">
        <v>7.7750000000000004</v>
      </c>
      <c r="E204" t="s">
        <v>33</v>
      </c>
    </row>
    <row r="205" spans="1:5" x14ac:dyDescent="0.25">
      <c r="A205" t="s">
        <v>31</v>
      </c>
      <c r="B205">
        <v>0.62923076923076926</v>
      </c>
      <c r="C205" t="s">
        <v>33</v>
      </c>
      <c r="D205">
        <v>20.950000000000003</v>
      </c>
      <c r="E205" t="s">
        <v>33</v>
      </c>
    </row>
    <row r="206" spans="1:5" x14ac:dyDescent="0.25">
      <c r="A206" t="s">
        <v>31</v>
      </c>
      <c r="B206">
        <v>0.9</v>
      </c>
      <c r="C206" t="s">
        <v>33</v>
      </c>
      <c r="D206">
        <v>25.340000000000003</v>
      </c>
      <c r="E206" t="s">
        <v>33</v>
      </c>
    </row>
    <row r="207" spans="1:5" x14ac:dyDescent="0.25">
      <c r="A207" t="s">
        <v>31</v>
      </c>
      <c r="B207">
        <v>0.50727272727272732</v>
      </c>
      <c r="C207" t="s">
        <v>32</v>
      </c>
      <c r="D207">
        <v>46.765000000000001</v>
      </c>
      <c r="E207" t="s">
        <v>32</v>
      </c>
    </row>
    <row r="208" spans="1:5" x14ac:dyDescent="0.25">
      <c r="A208" t="s">
        <v>31</v>
      </c>
      <c r="B208">
        <v>1.0249999999999999</v>
      </c>
      <c r="C208" t="s">
        <v>32</v>
      </c>
      <c r="D208">
        <v>18.204999999999998</v>
      </c>
      <c r="E208" t="s">
        <v>33</v>
      </c>
    </row>
    <row r="209" spans="1:5" x14ac:dyDescent="0.25">
      <c r="A209" t="s">
        <v>31</v>
      </c>
      <c r="B209">
        <v>0.69599999999999995</v>
      </c>
      <c r="C209" t="s">
        <v>33</v>
      </c>
      <c r="D209">
        <v>19.375</v>
      </c>
      <c r="E209" t="s">
        <v>33</v>
      </c>
    </row>
    <row r="210" spans="1:5" x14ac:dyDescent="0.25">
      <c r="A210" t="s">
        <v>31</v>
      </c>
      <c r="B210">
        <v>0.61888888888888893</v>
      </c>
      <c r="C210" t="s">
        <v>33</v>
      </c>
      <c r="D210">
        <v>13.07</v>
      </c>
      <c r="E210" t="s">
        <v>33</v>
      </c>
    </row>
    <row r="211" spans="1:5" x14ac:dyDescent="0.25">
      <c r="A211" t="s">
        <v>31</v>
      </c>
      <c r="B211">
        <v>1.375</v>
      </c>
      <c r="C211" t="s">
        <v>33</v>
      </c>
      <c r="D211">
        <v>13</v>
      </c>
      <c r="E211" t="s">
        <v>33</v>
      </c>
    </row>
    <row r="212" spans="1:5" x14ac:dyDescent="0.25">
      <c r="A212" t="s">
        <v>31</v>
      </c>
      <c r="B212">
        <v>1.2450000000000001</v>
      </c>
      <c r="C212" t="s">
        <v>33</v>
      </c>
      <c r="D212">
        <v>9.26</v>
      </c>
      <c r="E212" t="s">
        <v>33</v>
      </c>
    </row>
    <row r="213" spans="1:5" x14ac:dyDescent="0.25">
      <c r="A213" t="s">
        <v>31</v>
      </c>
      <c r="B213">
        <v>0.26785714285714285</v>
      </c>
      <c r="C213" t="s">
        <v>33</v>
      </c>
      <c r="D213">
        <v>31.975000000000001</v>
      </c>
      <c r="E213" t="s">
        <v>32</v>
      </c>
    </row>
    <row r="214" spans="1:5" x14ac:dyDescent="0.25">
      <c r="A214" t="s">
        <v>31</v>
      </c>
      <c r="B214">
        <v>0.49181818181818182</v>
      </c>
      <c r="C214" t="s">
        <v>32</v>
      </c>
      <c r="D214">
        <v>24.21</v>
      </c>
      <c r="E214" t="s">
        <v>33</v>
      </c>
    </row>
    <row r="215" spans="1:5" x14ac:dyDescent="0.25">
      <c r="A215" t="s">
        <v>31</v>
      </c>
      <c r="B215">
        <v>1.23125</v>
      </c>
      <c r="C215" t="s">
        <v>32</v>
      </c>
      <c r="D215">
        <v>20.035</v>
      </c>
      <c r="E215" t="s">
        <v>33</v>
      </c>
    </row>
    <row r="216" spans="1:5" x14ac:dyDescent="0.25">
      <c r="A216" t="s">
        <v>31</v>
      </c>
      <c r="B216">
        <v>0.64</v>
      </c>
      <c r="C216" t="s">
        <v>33</v>
      </c>
      <c r="D216">
        <v>4.7699999999999996</v>
      </c>
      <c r="E216" t="s">
        <v>33</v>
      </c>
    </row>
    <row r="217" spans="1:5" x14ac:dyDescent="0.25">
      <c r="A217" t="s">
        <v>31</v>
      </c>
      <c r="B217">
        <v>0.27318181818181819</v>
      </c>
      <c r="C217" t="s">
        <v>33</v>
      </c>
      <c r="D217">
        <v>37</v>
      </c>
      <c r="E217" t="s">
        <v>32</v>
      </c>
    </row>
    <row r="218" spans="1:5" x14ac:dyDescent="0.25">
      <c r="A218" t="s">
        <v>31</v>
      </c>
      <c r="B218">
        <v>0.58714285714285719</v>
      </c>
      <c r="C218" t="s">
        <v>33</v>
      </c>
      <c r="D218">
        <v>15.91</v>
      </c>
      <c r="E218" t="s">
        <v>33</v>
      </c>
    </row>
    <row r="219" spans="1:5" x14ac:dyDescent="0.25">
      <c r="A219" t="s">
        <v>31</v>
      </c>
      <c r="B219">
        <v>0.16833333333333333</v>
      </c>
      <c r="C219" t="s">
        <v>33</v>
      </c>
      <c r="D219">
        <v>22.855</v>
      </c>
      <c r="E219" t="s">
        <v>33</v>
      </c>
    </row>
    <row r="220" spans="1:5" x14ac:dyDescent="0.25">
      <c r="A220" t="s">
        <v>31</v>
      </c>
      <c r="B220">
        <v>7.6249999999999998E-2</v>
      </c>
      <c r="C220" t="s">
        <v>32</v>
      </c>
      <c r="D220">
        <v>7.49</v>
      </c>
      <c r="E220" t="s">
        <v>33</v>
      </c>
    </row>
    <row r="221" spans="1:5" x14ac:dyDescent="0.25">
      <c r="A221" t="s">
        <v>31</v>
      </c>
      <c r="B221">
        <v>5.8749999999999997E-2</v>
      </c>
      <c r="C221" t="s">
        <v>33</v>
      </c>
      <c r="D221">
        <v>10.574999999999999</v>
      </c>
      <c r="E221" t="s">
        <v>33</v>
      </c>
    </row>
    <row r="222" spans="1:5" x14ac:dyDescent="0.25">
      <c r="A222" t="s">
        <v>31</v>
      </c>
      <c r="B222">
        <v>0.14916666666666667</v>
      </c>
      <c r="C222" t="s">
        <v>33</v>
      </c>
      <c r="D222">
        <v>5.83</v>
      </c>
      <c r="E222" t="s">
        <v>33</v>
      </c>
    </row>
    <row r="223" spans="1:5" x14ac:dyDescent="0.25">
      <c r="A223" t="s">
        <v>31</v>
      </c>
      <c r="B223">
        <v>0.67500000000000004</v>
      </c>
      <c r="C223" t="s">
        <v>33</v>
      </c>
      <c r="D223">
        <v>20.274999999999999</v>
      </c>
      <c r="E223" t="s">
        <v>33</v>
      </c>
    </row>
    <row r="224" spans="1:5" x14ac:dyDescent="0.25">
      <c r="A224" t="s">
        <v>31</v>
      </c>
      <c r="B224">
        <v>0.63200000000000001</v>
      </c>
      <c r="C224" t="s">
        <v>33</v>
      </c>
      <c r="D224">
        <v>7.9750000000000005</v>
      </c>
      <c r="E224" t="s">
        <v>33</v>
      </c>
    </row>
    <row r="225" spans="1:5" x14ac:dyDescent="0.25">
      <c r="A225" t="s">
        <v>31</v>
      </c>
      <c r="B225">
        <v>4.54</v>
      </c>
      <c r="C225" t="s">
        <v>32</v>
      </c>
      <c r="D225">
        <v>17.669999999999998</v>
      </c>
      <c r="E225" t="s">
        <v>33</v>
      </c>
    </row>
    <row r="226" spans="1:5" x14ac:dyDescent="0.25">
      <c r="A226" t="s">
        <v>31</v>
      </c>
      <c r="B226">
        <v>0.46777777777777779</v>
      </c>
      <c r="C226" t="s">
        <v>32</v>
      </c>
      <c r="D226">
        <v>31.71</v>
      </c>
      <c r="E226" t="s">
        <v>32</v>
      </c>
    </row>
    <row r="227" spans="1:5" x14ac:dyDescent="0.25">
      <c r="A227" t="s">
        <v>31</v>
      </c>
      <c r="B227">
        <v>0.39750000000000002</v>
      </c>
      <c r="C227" t="s">
        <v>32</v>
      </c>
      <c r="D227">
        <v>8.2800000000000011</v>
      </c>
      <c r="E227" t="s">
        <v>33</v>
      </c>
    </row>
    <row r="228" spans="1:5" x14ac:dyDescent="0.25">
      <c r="A228" t="s">
        <v>31</v>
      </c>
      <c r="B228">
        <v>0.60687500000000005</v>
      </c>
      <c r="C228" t="s">
        <v>33</v>
      </c>
      <c r="D228">
        <v>17.04</v>
      </c>
      <c r="E228" t="s">
        <v>33</v>
      </c>
    </row>
    <row r="229" spans="1:5" x14ac:dyDescent="0.25">
      <c r="A229" t="s">
        <v>31</v>
      </c>
      <c r="B229">
        <v>0.29300000000000004</v>
      </c>
      <c r="C229" t="s">
        <v>32</v>
      </c>
      <c r="D229">
        <v>12.045</v>
      </c>
      <c r="E229" t="s">
        <v>33</v>
      </c>
    </row>
    <row r="230" spans="1:5" x14ac:dyDescent="0.25">
      <c r="A230" t="s">
        <v>31</v>
      </c>
      <c r="B230">
        <v>0.17</v>
      </c>
      <c r="C230" t="s">
        <v>32</v>
      </c>
      <c r="D230">
        <v>7.5549999999999997</v>
      </c>
      <c r="E230" t="s">
        <v>33</v>
      </c>
    </row>
    <row r="231" spans="1:5" x14ac:dyDescent="0.25">
      <c r="A231" t="s">
        <v>31</v>
      </c>
      <c r="B231">
        <v>0.42666666666666664</v>
      </c>
      <c r="C231" t="s">
        <v>33</v>
      </c>
      <c r="D231">
        <v>8.3149999999999995</v>
      </c>
      <c r="E231" t="s">
        <v>33</v>
      </c>
    </row>
    <row r="232" spans="1:5" x14ac:dyDescent="0.25">
      <c r="A232" t="s">
        <v>31</v>
      </c>
      <c r="B232">
        <v>0.26476190476190475</v>
      </c>
      <c r="C232" t="s">
        <v>32</v>
      </c>
      <c r="D232">
        <v>14.86</v>
      </c>
      <c r="E232" t="s">
        <v>33</v>
      </c>
    </row>
    <row r="233" spans="1:5" x14ac:dyDescent="0.25">
      <c r="A233" t="s">
        <v>31</v>
      </c>
      <c r="B233">
        <v>0.36529411764705882</v>
      </c>
      <c r="C233" t="s">
        <v>32</v>
      </c>
      <c r="D233">
        <v>31.529999999999998</v>
      </c>
      <c r="E233" t="s">
        <v>32</v>
      </c>
    </row>
    <row r="234" spans="1:5" x14ac:dyDescent="0.25">
      <c r="A234" t="s">
        <v>31</v>
      </c>
      <c r="B234">
        <v>0.63249999999999995</v>
      </c>
      <c r="C234" t="s">
        <v>33</v>
      </c>
      <c r="D234">
        <v>40.699999999999996</v>
      </c>
      <c r="E234" t="s">
        <v>32</v>
      </c>
    </row>
    <row r="235" spans="1:5" x14ac:dyDescent="0.25">
      <c r="A235" t="s">
        <v>31</v>
      </c>
      <c r="B235">
        <v>7.0999999999999994E-2</v>
      </c>
      <c r="C235" t="s">
        <v>33</v>
      </c>
      <c r="D235">
        <v>5.4450000000000003</v>
      </c>
      <c r="E235" t="s">
        <v>33</v>
      </c>
    </row>
    <row r="236" spans="1:5" x14ac:dyDescent="0.25">
      <c r="A236" t="s">
        <v>31</v>
      </c>
      <c r="B236">
        <v>0.29120000000000001</v>
      </c>
      <c r="C236" t="s">
        <v>33</v>
      </c>
      <c r="D236">
        <v>23.57</v>
      </c>
      <c r="E236" t="s">
        <v>33</v>
      </c>
    </row>
    <row r="237" spans="1:5" x14ac:dyDescent="0.25">
      <c r="A237" t="s">
        <v>31</v>
      </c>
      <c r="B237">
        <v>0.14611111111111111</v>
      </c>
      <c r="C237" t="s">
        <v>32</v>
      </c>
      <c r="D237">
        <v>14.305</v>
      </c>
      <c r="E237" t="s">
        <v>33</v>
      </c>
    </row>
    <row r="238" spans="1:5" x14ac:dyDescent="0.25">
      <c r="A238" t="s">
        <v>31</v>
      </c>
      <c r="B238">
        <v>0.23181818181818181</v>
      </c>
      <c r="C238" t="s">
        <v>33</v>
      </c>
      <c r="D238">
        <v>33.200000000000003</v>
      </c>
      <c r="E238" t="s">
        <v>32</v>
      </c>
    </row>
    <row r="239" spans="1:5" x14ac:dyDescent="0.25">
      <c r="A239" t="s">
        <v>31</v>
      </c>
      <c r="B239">
        <v>0.97124999999999995</v>
      </c>
      <c r="C239" t="s">
        <v>32</v>
      </c>
      <c r="D239">
        <v>27.16</v>
      </c>
      <c r="E239" t="s">
        <v>33</v>
      </c>
    </row>
    <row r="240" spans="1:5" x14ac:dyDescent="0.25">
      <c r="A240" t="s">
        <v>31</v>
      </c>
      <c r="B240">
        <v>0.48733333333333329</v>
      </c>
      <c r="C240" t="s">
        <v>33</v>
      </c>
      <c r="D240">
        <v>22.535</v>
      </c>
      <c r="E240" t="s">
        <v>33</v>
      </c>
    </row>
    <row r="241" spans="1:5" x14ac:dyDescent="0.25">
      <c r="A241" t="s">
        <v>31</v>
      </c>
      <c r="B241">
        <v>0.13153846153846155</v>
      </c>
      <c r="C241" t="s">
        <v>32</v>
      </c>
      <c r="D241">
        <v>17.705000000000002</v>
      </c>
      <c r="E241" t="s">
        <v>33</v>
      </c>
    </row>
    <row r="242" spans="1:5" x14ac:dyDescent="0.25">
      <c r="A242" t="s">
        <v>31</v>
      </c>
      <c r="B242">
        <v>0.20473684210526316</v>
      </c>
      <c r="C242" t="s">
        <v>32</v>
      </c>
      <c r="D242">
        <v>38.78</v>
      </c>
      <c r="E242" t="s">
        <v>32</v>
      </c>
    </row>
    <row r="243" spans="1:5" x14ac:dyDescent="0.25">
      <c r="A243" t="s">
        <v>31</v>
      </c>
      <c r="B243">
        <v>0.32159999999999994</v>
      </c>
      <c r="C243" t="s">
        <v>32</v>
      </c>
      <c r="D243">
        <v>27.35</v>
      </c>
      <c r="E243" t="s">
        <v>33</v>
      </c>
    </row>
    <row r="244" spans="1:5" x14ac:dyDescent="0.25">
      <c r="A244" t="s">
        <v>31</v>
      </c>
      <c r="B244">
        <v>0.30928571428571427</v>
      </c>
      <c r="C244" t="s">
        <v>33</v>
      </c>
      <c r="D244">
        <v>24.274999999999999</v>
      </c>
      <c r="E244" t="s">
        <v>33</v>
      </c>
    </row>
    <row r="245" spans="1:5" x14ac:dyDescent="0.25">
      <c r="A245" t="s">
        <v>31</v>
      </c>
      <c r="B245">
        <v>0.24421052631578946</v>
      </c>
      <c r="C245" t="s">
        <v>33</v>
      </c>
      <c r="D245">
        <v>14.375</v>
      </c>
      <c r="E245" t="s">
        <v>33</v>
      </c>
    </row>
    <row r="246" spans="1:5" x14ac:dyDescent="0.25">
      <c r="A246" t="s">
        <v>31</v>
      </c>
      <c r="B246">
        <v>0.13142857142857142</v>
      </c>
      <c r="C246" t="s">
        <v>33</v>
      </c>
      <c r="D246">
        <v>7.24</v>
      </c>
      <c r="E246" t="s">
        <v>33</v>
      </c>
    </row>
    <row r="247" spans="1:5" x14ac:dyDescent="0.25">
      <c r="A247" t="s">
        <v>31</v>
      </c>
      <c r="B247">
        <v>0.6776923076923077</v>
      </c>
      <c r="C247" t="s">
        <v>33</v>
      </c>
      <c r="D247">
        <v>24.454999999999998</v>
      </c>
      <c r="E247" t="s">
        <v>33</v>
      </c>
    </row>
    <row r="248" spans="1:5" x14ac:dyDescent="0.25">
      <c r="A248" t="s">
        <v>31</v>
      </c>
      <c r="B248">
        <v>2.3275000000000001</v>
      </c>
      <c r="C248" t="s">
        <v>33</v>
      </c>
      <c r="D248">
        <v>28.875</v>
      </c>
      <c r="E248" t="s">
        <v>33</v>
      </c>
    </row>
    <row r="249" spans="1:5" x14ac:dyDescent="0.25">
      <c r="A249" t="s">
        <v>31</v>
      </c>
      <c r="B249">
        <v>0.52937500000000004</v>
      </c>
      <c r="C249" t="s">
        <v>33</v>
      </c>
      <c r="D249">
        <v>16.815000000000001</v>
      </c>
      <c r="E249" t="s">
        <v>33</v>
      </c>
    </row>
    <row r="250" spans="1:5" x14ac:dyDescent="0.25">
      <c r="A250" t="s">
        <v>31</v>
      </c>
      <c r="B250">
        <v>5.1764705882352942E-2</v>
      </c>
      <c r="C250" t="s">
        <v>32</v>
      </c>
      <c r="D250">
        <v>5.44</v>
      </c>
      <c r="E250" t="s">
        <v>33</v>
      </c>
    </row>
    <row r="251" spans="1:5" x14ac:dyDescent="0.25">
      <c r="A251" t="s">
        <v>31</v>
      </c>
      <c r="B251">
        <v>0.17222222222222222</v>
      </c>
      <c r="C251" t="s">
        <v>32</v>
      </c>
      <c r="D251">
        <v>39.594999999999999</v>
      </c>
      <c r="E251" t="s">
        <v>32</v>
      </c>
    </row>
    <row r="252" spans="1:5" x14ac:dyDescent="0.25">
      <c r="A252" t="s">
        <v>31</v>
      </c>
      <c r="B252">
        <v>0.90874999999999995</v>
      </c>
      <c r="C252" t="s">
        <v>32</v>
      </c>
      <c r="D252">
        <v>27.024999999999999</v>
      </c>
      <c r="E252" t="s">
        <v>33</v>
      </c>
    </row>
    <row r="253" spans="1:5" x14ac:dyDescent="0.25">
      <c r="A253" t="s">
        <v>31</v>
      </c>
      <c r="B253">
        <v>0.47800000000000004</v>
      </c>
      <c r="C253" t="s">
        <v>33</v>
      </c>
      <c r="D253">
        <v>23.25</v>
      </c>
      <c r="E253" t="s">
        <v>33</v>
      </c>
    </row>
    <row r="254" spans="1:5" x14ac:dyDescent="0.25">
      <c r="A254" t="s">
        <v>31</v>
      </c>
      <c r="B254">
        <v>1.4350000000000001</v>
      </c>
      <c r="C254" t="s">
        <v>33</v>
      </c>
      <c r="D254">
        <v>30.12</v>
      </c>
      <c r="E254" t="s">
        <v>32</v>
      </c>
    </row>
    <row r="255" spans="1:5" x14ac:dyDescent="0.25">
      <c r="A255" t="s">
        <v>31</v>
      </c>
      <c r="B255">
        <v>1.278</v>
      </c>
      <c r="C255" t="s">
        <v>32</v>
      </c>
      <c r="D255">
        <v>36.89</v>
      </c>
      <c r="E255" t="s">
        <v>32</v>
      </c>
    </row>
    <row r="256" spans="1:5" x14ac:dyDescent="0.25">
      <c r="A256" t="s">
        <v>31</v>
      </c>
      <c r="B256">
        <v>0.19521739130434784</v>
      </c>
      <c r="C256" t="s">
        <v>32</v>
      </c>
      <c r="D256">
        <v>10.745000000000001</v>
      </c>
      <c r="E256" t="s">
        <v>33</v>
      </c>
    </row>
    <row r="257" spans="1:5" x14ac:dyDescent="0.25">
      <c r="A257" t="s">
        <v>31</v>
      </c>
      <c r="B257">
        <v>0.19307692307692306</v>
      </c>
      <c r="C257" t="s">
        <v>32</v>
      </c>
      <c r="D257">
        <v>29.56</v>
      </c>
      <c r="E257" t="s">
        <v>33</v>
      </c>
    </row>
    <row r="258" spans="1:5" x14ac:dyDescent="0.25">
      <c r="A258" t="s">
        <v>31</v>
      </c>
      <c r="B258">
        <v>2.1150000000000002</v>
      </c>
      <c r="C258" t="s">
        <v>33</v>
      </c>
      <c r="D258">
        <v>38.020000000000003</v>
      </c>
      <c r="E258" t="s">
        <v>32</v>
      </c>
    </row>
    <row r="259" spans="1:5" x14ac:dyDescent="0.25">
      <c r="A259" t="s">
        <v>31</v>
      </c>
      <c r="B259">
        <v>0.95499999999999996</v>
      </c>
      <c r="C259" t="s">
        <v>32</v>
      </c>
      <c r="D259">
        <v>7.79</v>
      </c>
      <c r="E259" t="s">
        <v>33</v>
      </c>
    </row>
    <row r="260" spans="1:5" x14ac:dyDescent="0.25">
      <c r="A260" t="s">
        <v>31</v>
      </c>
      <c r="B260">
        <v>0.24916666666666668</v>
      </c>
      <c r="C260" t="s">
        <v>33</v>
      </c>
      <c r="D260">
        <v>20.745000000000001</v>
      </c>
      <c r="E260" t="s">
        <v>33</v>
      </c>
    </row>
    <row r="261" spans="1:5" x14ac:dyDescent="0.25">
      <c r="A261" t="s">
        <v>31</v>
      </c>
      <c r="B261">
        <v>0.1036</v>
      </c>
      <c r="C261" t="s">
        <v>32</v>
      </c>
      <c r="D261">
        <v>9.7149999999999999</v>
      </c>
      <c r="E261" t="s">
        <v>33</v>
      </c>
    </row>
    <row r="262" spans="1:5" x14ac:dyDescent="0.25">
      <c r="A262" t="s">
        <v>31</v>
      </c>
      <c r="B262">
        <v>0.20695652173913043</v>
      </c>
      <c r="C262" t="s">
        <v>33</v>
      </c>
      <c r="D262">
        <v>17.045000000000002</v>
      </c>
      <c r="E262" t="s">
        <v>33</v>
      </c>
    </row>
    <row r="263" spans="1:5" x14ac:dyDescent="0.25">
      <c r="A263" t="s">
        <v>31</v>
      </c>
      <c r="B263">
        <v>0.32647058823529412</v>
      </c>
      <c r="C263" t="s">
        <v>33</v>
      </c>
      <c r="D263">
        <v>23.545000000000002</v>
      </c>
      <c r="E263" t="s">
        <v>33</v>
      </c>
    </row>
    <row r="264" spans="1:5" x14ac:dyDescent="0.25">
      <c r="A264" t="s">
        <v>31</v>
      </c>
      <c r="B264">
        <v>0.89666666666666661</v>
      </c>
      <c r="C264" t="s">
        <v>32</v>
      </c>
      <c r="D264">
        <v>15.875</v>
      </c>
      <c r="E264" t="s">
        <v>33</v>
      </c>
    </row>
    <row r="265" spans="1:5" x14ac:dyDescent="0.25">
      <c r="A265" t="s">
        <v>31</v>
      </c>
      <c r="B265">
        <v>0.10521739130434782</v>
      </c>
      <c r="C265" t="s">
        <v>32</v>
      </c>
      <c r="D265">
        <v>25.145000000000003</v>
      </c>
      <c r="E265" t="s">
        <v>33</v>
      </c>
    </row>
    <row r="266" spans="1:5" x14ac:dyDescent="0.25">
      <c r="A266" t="s">
        <v>31</v>
      </c>
      <c r="B266">
        <v>0.3236</v>
      </c>
      <c r="C266" t="s">
        <v>33</v>
      </c>
      <c r="D266">
        <v>37.81</v>
      </c>
      <c r="E266" t="s">
        <v>32</v>
      </c>
    </row>
    <row r="267" spans="1:5" x14ac:dyDescent="0.25">
      <c r="A267" t="s">
        <v>31</v>
      </c>
      <c r="B267">
        <v>6.4545454545454545E-2</v>
      </c>
      <c r="C267" t="s">
        <v>33</v>
      </c>
      <c r="D267">
        <v>6.42</v>
      </c>
      <c r="E267" t="s">
        <v>33</v>
      </c>
    </row>
    <row r="268" spans="1:5" x14ac:dyDescent="0.25">
      <c r="A268" t="s">
        <v>31</v>
      </c>
      <c r="B268">
        <v>3.5000000000000003E-2</v>
      </c>
      <c r="C268" t="s">
        <v>32</v>
      </c>
      <c r="D268">
        <v>7.3450000000000006</v>
      </c>
      <c r="E268" t="s">
        <v>33</v>
      </c>
    </row>
    <row r="269" spans="1:5" x14ac:dyDescent="0.25">
      <c r="A269" t="s">
        <v>31</v>
      </c>
      <c r="B269">
        <v>1.6133333333333333</v>
      </c>
      <c r="C269" t="s">
        <v>32</v>
      </c>
      <c r="D269">
        <v>13.195</v>
      </c>
      <c r="E269" t="s">
        <v>33</v>
      </c>
    </row>
    <row r="270" spans="1:5" x14ac:dyDescent="0.25">
      <c r="A270" t="s">
        <v>31</v>
      </c>
      <c r="B270">
        <v>0.12333333333333332</v>
      </c>
      <c r="C270" t="s">
        <v>33</v>
      </c>
      <c r="D270">
        <v>14.035</v>
      </c>
      <c r="E270" t="s">
        <v>33</v>
      </c>
    </row>
    <row r="271" spans="1:5" x14ac:dyDescent="0.25">
      <c r="A271" t="s">
        <v>31</v>
      </c>
      <c r="B271">
        <v>0.42375000000000002</v>
      </c>
      <c r="C271" t="s">
        <v>32</v>
      </c>
      <c r="D271">
        <v>27.63</v>
      </c>
      <c r="E271" t="s">
        <v>33</v>
      </c>
    </row>
    <row r="272" spans="1:5" x14ac:dyDescent="0.25">
      <c r="A272" t="s">
        <v>31</v>
      </c>
      <c r="B272">
        <v>0.55249999999999999</v>
      </c>
      <c r="C272" t="s">
        <v>33</v>
      </c>
      <c r="D272">
        <v>54.475000000000001</v>
      </c>
      <c r="E272" t="s">
        <v>32</v>
      </c>
    </row>
    <row r="273" spans="1:5" x14ac:dyDescent="0.25">
      <c r="A273" t="s">
        <v>31</v>
      </c>
      <c r="B273">
        <v>0.23083333333333333</v>
      </c>
      <c r="C273" t="s">
        <v>33</v>
      </c>
      <c r="D273">
        <v>4.2300000000000004</v>
      </c>
      <c r="E273" t="s">
        <v>33</v>
      </c>
    </row>
    <row r="274" spans="1:5" x14ac:dyDescent="0.25">
      <c r="A274" t="s">
        <v>31</v>
      </c>
      <c r="B274">
        <v>0.23428571428571426</v>
      </c>
      <c r="C274" t="s">
        <v>32</v>
      </c>
      <c r="D274">
        <v>6.8949999999999996</v>
      </c>
      <c r="E274" t="s">
        <v>33</v>
      </c>
    </row>
    <row r="275" spans="1:5" x14ac:dyDescent="0.25">
      <c r="A275" t="s">
        <v>31</v>
      </c>
      <c r="B275">
        <v>0.17076923076923078</v>
      </c>
      <c r="C275" t="s">
        <v>33</v>
      </c>
      <c r="D275">
        <v>14.629999999999999</v>
      </c>
      <c r="E275" t="s">
        <v>33</v>
      </c>
    </row>
    <row r="276" spans="1:5" x14ac:dyDescent="0.25">
      <c r="A276" t="s">
        <v>31</v>
      </c>
      <c r="B276">
        <v>0.56666666666666665</v>
      </c>
      <c r="C276" t="s">
        <v>33</v>
      </c>
      <c r="D276">
        <v>20.905000000000001</v>
      </c>
      <c r="E276" t="s">
        <v>33</v>
      </c>
    </row>
    <row r="277" spans="1:5" x14ac:dyDescent="0.25">
      <c r="A277" t="s">
        <v>31</v>
      </c>
      <c r="B277">
        <v>9.1249999999999998E-2</v>
      </c>
      <c r="C277" t="s">
        <v>33</v>
      </c>
      <c r="D277">
        <v>35.090000000000003</v>
      </c>
      <c r="E277" t="s">
        <v>32</v>
      </c>
    </row>
    <row r="278" spans="1:5" x14ac:dyDescent="0.25">
      <c r="A278" t="s">
        <v>31</v>
      </c>
      <c r="B278">
        <v>1.0649999999999999</v>
      </c>
      <c r="C278" t="s">
        <v>32</v>
      </c>
      <c r="D278">
        <v>9.0350000000000001</v>
      </c>
      <c r="E278" t="s">
        <v>33</v>
      </c>
    </row>
    <row r="279" spans="1:5" x14ac:dyDescent="0.25">
      <c r="A279" t="s">
        <v>31</v>
      </c>
      <c r="B279">
        <v>0.15227272727272728</v>
      </c>
      <c r="C279" t="s">
        <v>32</v>
      </c>
      <c r="D279">
        <v>10.475</v>
      </c>
      <c r="E279" t="s">
        <v>33</v>
      </c>
    </row>
    <row r="280" spans="1:5" x14ac:dyDescent="0.25">
      <c r="A280" t="s">
        <v>31</v>
      </c>
      <c r="B280">
        <v>0.3175</v>
      </c>
      <c r="C280" t="s">
        <v>33</v>
      </c>
      <c r="D280">
        <v>13.754999999999999</v>
      </c>
      <c r="E280" t="s">
        <v>33</v>
      </c>
    </row>
    <row r="281" spans="1:5" x14ac:dyDescent="0.25">
      <c r="A281" t="s">
        <v>31</v>
      </c>
      <c r="B281">
        <v>2.0924999999999998</v>
      </c>
      <c r="C281" t="s">
        <v>33</v>
      </c>
      <c r="D281">
        <v>18.48</v>
      </c>
      <c r="E281" t="s">
        <v>33</v>
      </c>
    </row>
    <row r="282" spans="1:5" x14ac:dyDescent="0.25">
      <c r="A282" t="s">
        <v>31</v>
      </c>
      <c r="B282">
        <v>2.5750000000000002</v>
      </c>
      <c r="C282" t="s">
        <v>33</v>
      </c>
      <c r="D282">
        <v>17.835000000000001</v>
      </c>
      <c r="E282" t="s">
        <v>33</v>
      </c>
    </row>
    <row r="283" spans="1:5" x14ac:dyDescent="0.25">
      <c r="A283" t="s">
        <v>31</v>
      </c>
      <c r="B283">
        <v>0.58666666666666667</v>
      </c>
      <c r="C283" t="s">
        <v>33</v>
      </c>
      <c r="D283">
        <v>52.865000000000002</v>
      </c>
      <c r="E283" t="s">
        <v>32</v>
      </c>
    </row>
    <row r="284" spans="1:5" x14ac:dyDescent="0.25">
      <c r="A284" t="s">
        <v>31</v>
      </c>
      <c r="B284">
        <v>0.1735294117647059</v>
      </c>
      <c r="C284" t="s">
        <v>33</v>
      </c>
      <c r="D284">
        <v>13.574999999999999</v>
      </c>
      <c r="E284" t="s">
        <v>33</v>
      </c>
    </row>
    <row r="285" spans="1:5" x14ac:dyDescent="0.25">
      <c r="A285" t="s">
        <v>31</v>
      </c>
      <c r="B285">
        <v>2.0400000000000001E-2</v>
      </c>
      <c r="C285" t="s">
        <v>33</v>
      </c>
      <c r="D285">
        <v>8.2799999999999994</v>
      </c>
      <c r="E285" t="s">
        <v>33</v>
      </c>
    </row>
    <row r="286" spans="1:5" x14ac:dyDescent="0.25">
      <c r="A286" t="s">
        <v>31</v>
      </c>
      <c r="B286">
        <v>0.29176470588235293</v>
      </c>
      <c r="C286" t="s">
        <v>33</v>
      </c>
      <c r="D286">
        <v>39.555</v>
      </c>
      <c r="E286" t="s">
        <v>32</v>
      </c>
    </row>
    <row r="287" spans="1:5" x14ac:dyDescent="0.25">
      <c r="A287" t="s">
        <v>31</v>
      </c>
      <c r="B287">
        <v>0.24058823529411763</v>
      </c>
      <c r="C287" t="s">
        <v>33</v>
      </c>
      <c r="D287">
        <v>35.384999999999998</v>
      </c>
      <c r="E287" t="s">
        <v>32</v>
      </c>
    </row>
    <row r="288" spans="1:5" x14ac:dyDescent="0.25">
      <c r="A288" t="s">
        <v>31</v>
      </c>
      <c r="B288">
        <v>0.43894736842105264</v>
      </c>
      <c r="C288" t="s">
        <v>33</v>
      </c>
      <c r="D288">
        <v>29.424999999999997</v>
      </c>
      <c r="E288" t="s">
        <v>33</v>
      </c>
    </row>
    <row r="289" spans="1:5" x14ac:dyDescent="0.25">
      <c r="A289" t="s">
        <v>31</v>
      </c>
      <c r="B289">
        <v>0.39500000000000002</v>
      </c>
      <c r="C289" t="s">
        <v>33</v>
      </c>
      <c r="D289">
        <v>8.7999999999999989</v>
      </c>
      <c r="E289" t="s">
        <v>33</v>
      </c>
    </row>
    <row r="290" spans="1:5" x14ac:dyDescent="0.25">
      <c r="A290" t="s">
        <v>31</v>
      </c>
      <c r="B290">
        <v>0.30099999999999999</v>
      </c>
      <c r="C290" t="s">
        <v>33</v>
      </c>
      <c r="D290">
        <v>27.27</v>
      </c>
      <c r="E290" t="s">
        <v>33</v>
      </c>
    </row>
    <row r="291" spans="1:5" x14ac:dyDescent="0.25">
      <c r="A291" t="s">
        <v>31</v>
      </c>
      <c r="B291">
        <v>4.43</v>
      </c>
      <c r="C291" t="s">
        <v>33</v>
      </c>
      <c r="D291">
        <v>44.585000000000001</v>
      </c>
      <c r="E291" t="s">
        <v>32</v>
      </c>
    </row>
    <row r="292" spans="1:5" x14ac:dyDescent="0.25">
      <c r="A292" t="s">
        <v>31</v>
      </c>
      <c r="B292">
        <v>1.375</v>
      </c>
      <c r="C292" t="s">
        <v>33</v>
      </c>
      <c r="D292">
        <v>26.264999999999997</v>
      </c>
      <c r="E292" t="s">
        <v>33</v>
      </c>
    </row>
    <row r="293" spans="1:5" x14ac:dyDescent="0.25">
      <c r="A293" t="s">
        <v>31</v>
      </c>
      <c r="B293">
        <v>0.2207142857142857</v>
      </c>
      <c r="C293" t="s">
        <v>32</v>
      </c>
      <c r="D293">
        <v>8.06</v>
      </c>
      <c r="E293" t="s">
        <v>33</v>
      </c>
    </row>
    <row r="294" spans="1:5" x14ac:dyDescent="0.25">
      <c r="A294" t="s">
        <v>31</v>
      </c>
      <c r="B294">
        <v>0.82799999999999996</v>
      </c>
      <c r="C294" t="s">
        <v>33</v>
      </c>
      <c r="D294">
        <v>41.4</v>
      </c>
      <c r="E294" t="s">
        <v>32</v>
      </c>
    </row>
    <row r="295" spans="1:5" x14ac:dyDescent="0.25">
      <c r="A295" t="s">
        <v>31</v>
      </c>
      <c r="B295">
        <v>0.19727272727272727</v>
      </c>
      <c r="C295" t="s">
        <v>33</v>
      </c>
      <c r="D295">
        <v>16.405000000000001</v>
      </c>
      <c r="E295" t="s">
        <v>33</v>
      </c>
    </row>
    <row r="296" spans="1:5" x14ac:dyDescent="0.25">
      <c r="A296" t="s">
        <v>31</v>
      </c>
      <c r="B296">
        <v>0.90375000000000005</v>
      </c>
      <c r="C296" t="s">
        <v>32</v>
      </c>
      <c r="D296">
        <v>18.335000000000001</v>
      </c>
      <c r="E296" t="s">
        <v>33</v>
      </c>
    </row>
    <row r="297" spans="1:5" x14ac:dyDescent="0.25">
      <c r="A297" t="s">
        <v>31</v>
      </c>
      <c r="B297">
        <v>0.88</v>
      </c>
      <c r="C297" t="s">
        <v>32</v>
      </c>
      <c r="D297">
        <v>35.505000000000003</v>
      </c>
      <c r="E297" t="s">
        <v>32</v>
      </c>
    </row>
    <row r="298" spans="1:5" x14ac:dyDescent="0.25">
      <c r="A298" t="s">
        <v>31</v>
      </c>
      <c r="B298">
        <v>4.71</v>
      </c>
      <c r="C298" t="s">
        <v>32</v>
      </c>
      <c r="D298">
        <v>53.17</v>
      </c>
      <c r="E298" t="s">
        <v>32</v>
      </c>
    </row>
    <row r="299" spans="1:5" x14ac:dyDescent="0.25">
      <c r="A299" t="s">
        <v>31</v>
      </c>
      <c r="B299">
        <v>0.52090909090909099</v>
      </c>
      <c r="C299" t="s">
        <v>32</v>
      </c>
      <c r="D299">
        <v>17.285</v>
      </c>
      <c r="E299" t="s">
        <v>33</v>
      </c>
    </row>
    <row r="300" spans="1:5" x14ac:dyDescent="0.25">
      <c r="A300" t="s">
        <v>31</v>
      </c>
      <c r="B300">
        <v>0.15363636363636363</v>
      </c>
      <c r="C300" t="s">
        <v>32</v>
      </c>
      <c r="D300">
        <v>47.615000000000002</v>
      </c>
      <c r="E300" t="s">
        <v>32</v>
      </c>
    </row>
    <row r="301" spans="1:5" x14ac:dyDescent="0.25">
      <c r="A301" t="s">
        <v>31</v>
      </c>
      <c r="B301">
        <v>0.46799999999999997</v>
      </c>
      <c r="C301" t="s">
        <v>33</v>
      </c>
      <c r="D301">
        <v>36.445</v>
      </c>
      <c r="E301" t="s">
        <v>32</v>
      </c>
    </row>
    <row r="302" spans="1:5" x14ac:dyDescent="0.25">
      <c r="A302" t="s">
        <v>31</v>
      </c>
      <c r="B302">
        <v>2.3333333333333334E-2</v>
      </c>
      <c r="C302" t="s">
        <v>32</v>
      </c>
      <c r="D302">
        <v>6.69</v>
      </c>
      <c r="E302" t="s">
        <v>33</v>
      </c>
    </row>
    <row r="303" spans="1:5" x14ac:dyDescent="0.25">
      <c r="A303" t="s">
        <v>31</v>
      </c>
      <c r="B303">
        <v>1.08</v>
      </c>
      <c r="C303" t="s">
        <v>33</v>
      </c>
      <c r="D303">
        <v>9.84</v>
      </c>
      <c r="E303" t="s">
        <v>33</v>
      </c>
    </row>
    <row r="304" spans="1:5" x14ac:dyDescent="0.25">
      <c r="A304" t="s">
        <v>31</v>
      </c>
      <c r="B304">
        <v>7.3529411764705885E-2</v>
      </c>
      <c r="C304" t="s">
        <v>33</v>
      </c>
      <c r="D304">
        <v>17.504999999999999</v>
      </c>
      <c r="E304" t="s">
        <v>33</v>
      </c>
    </row>
    <row r="305" spans="1:5" x14ac:dyDescent="0.25">
      <c r="A305" t="s">
        <v>31</v>
      </c>
      <c r="B305">
        <v>1.6933333333333334</v>
      </c>
      <c r="C305" t="s">
        <v>32</v>
      </c>
      <c r="D305">
        <v>21.344999999999999</v>
      </c>
      <c r="E305" t="s">
        <v>33</v>
      </c>
    </row>
    <row r="306" spans="1:5" x14ac:dyDescent="0.25">
      <c r="A306" t="s">
        <v>31</v>
      </c>
      <c r="B306">
        <v>0.42333333333333334</v>
      </c>
      <c r="C306" t="s">
        <v>33</v>
      </c>
      <c r="D306">
        <v>2.6399999999999997</v>
      </c>
      <c r="E306" t="s">
        <v>33</v>
      </c>
    </row>
    <row r="307" spans="1:5" x14ac:dyDescent="0.25">
      <c r="A307" t="s">
        <v>31</v>
      </c>
      <c r="B307">
        <v>0.11214285714285714</v>
      </c>
      <c r="C307" t="s">
        <v>33</v>
      </c>
      <c r="D307">
        <v>7.37</v>
      </c>
      <c r="E307" t="s">
        <v>33</v>
      </c>
    </row>
    <row r="308" spans="1:5" x14ac:dyDescent="0.25">
      <c r="A308" t="s">
        <v>31</v>
      </c>
      <c r="B308">
        <v>0.74</v>
      </c>
      <c r="C308" t="s">
        <v>33</v>
      </c>
      <c r="D308">
        <v>21.285</v>
      </c>
      <c r="E308" t="s">
        <v>33</v>
      </c>
    </row>
    <row r="309" spans="1:5" x14ac:dyDescent="0.25">
      <c r="A309" t="s">
        <v>31</v>
      </c>
      <c r="B309">
        <v>0.218</v>
      </c>
      <c r="C309" t="s">
        <v>33</v>
      </c>
      <c r="D309">
        <v>13.324999999999999</v>
      </c>
      <c r="E309" t="s">
        <v>33</v>
      </c>
    </row>
    <row r="310" spans="1:5" x14ac:dyDescent="0.25">
      <c r="A310" t="s">
        <v>31</v>
      </c>
      <c r="B310">
        <v>0.98375000000000001</v>
      </c>
      <c r="C310" t="s">
        <v>32</v>
      </c>
      <c r="D310">
        <v>43.314999999999998</v>
      </c>
      <c r="E310" t="s">
        <v>32</v>
      </c>
    </row>
    <row r="311" spans="1:5" x14ac:dyDescent="0.25">
      <c r="A311" t="s">
        <v>31</v>
      </c>
      <c r="B311">
        <v>0.84857142857142864</v>
      </c>
      <c r="C311" t="s">
        <v>33</v>
      </c>
      <c r="D311">
        <v>13.365</v>
      </c>
      <c r="E311" t="s">
        <v>33</v>
      </c>
    </row>
    <row r="312" spans="1:5" x14ac:dyDescent="0.25">
      <c r="A312" t="s">
        <v>31</v>
      </c>
      <c r="B312">
        <v>0.24809523809523809</v>
      </c>
      <c r="C312" t="s">
        <v>33</v>
      </c>
      <c r="D312">
        <v>43.964999999999996</v>
      </c>
      <c r="E312" t="s">
        <v>32</v>
      </c>
    </row>
    <row r="313" spans="1:5" x14ac:dyDescent="0.25">
      <c r="A313" t="s">
        <v>31</v>
      </c>
      <c r="B313">
        <v>3.93</v>
      </c>
      <c r="C313" t="s">
        <v>32</v>
      </c>
      <c r="D313">
        <v>30.82</v>
      </c>
      <c r="E313" t="s">
        <v>32</v>
      </c>
    </row>
    <row r="314" spans="1:5" x14ac:dyDescent="0.25">
      <c r="A314" t="s">
        <v>31</v>
      </c>
      <c r="B314">
        <v>0.49272727272727274</v>
      </c>
      <c r="C314" t="s">
        <v>33</v>
      </c>
      <c r="D314">
        <v>13.135</v>
      </c>
      <c r="E314" t="s">
        <v>33</v>
      </c>
    </row>
    <row r="315" spans="1:5" x14ac:dyDescent="0.25">
      <c r="A315" t="s">
        <v>31</v>
      </c>
      <c r="B315">
        <v>1.7368421052631578E-2</v>
      </c>
      <c r="C315" t="s">
        <v>33</v>
      </c>
      <c r="D315">
        <v>7.3849999999999998</v>
      </c>
      <c r="E315" t="s">
        <v>33</v>
      </c>
    </row>
    <row r="316" spans="1:5" x14ac:dyDescent="0.25">
      <c r="A316" t="s">
        <v>31</v>
      </c>
      <c r="B316">
        <v>0.52235294117647069</v>
      </c>
      <c r="C316" t="s">
        <v>33</v>
      </c>
      <c r="D316">
        <v>33.564999999999998</v>
      </c>
      <c r="E316" t="s">
        <v>32</v>
      </c>
    </row>
    <row r="317" spans="1:5" x14ac:dyDescent="0.25">
      <c r="A317" t="s">
        <v>31</v>
      </c>
      <c r="B317">
        <v>2.1375000000000002</v>
      </c>
      <c r="C317" t="s">
        <v>32</v>
      </c>
      <c r="D317">
        <v>27.91</v>
      </c>
      <c r="E317" t="s">
        <v>33</v>
      </c>
    </row>
    <row r="318" spans="1:5" x14ac:dyDescent="0.25">
      <c r="A318" t="s">
        <v>31</v>
      </c>
      <c r="B318">
        <v>0.19999999999999998</v>
      </c>
      <c r="C318" t="s">
        <v>32</v>
      </c>
      <c r="D318">
        <v>18.25</v>
      </c>
      <c r="E318" t="s">
        <v>33</v>
      </c>
    </row>
    <row r="319" spans="1:5" x14ac:dyDescent="0.25">
      <c r="A319" t="s">
        <v>31</v>
      </c>
      <c r="B319">
        <v>0.2475</v>
      </c>
      <c r="C319" t="s">
        <v>33</v>
      </c>
      <c r="D319">
        <v>3.9449999999999998</v>
      </c>
      <c r="E319" t="s">
        <v>33</v>
      </c>
    </row>
    <row r="320" spans="1:5" x14ac:dyDescent="0.25">
      <c r="A320" t="s">
        <v>31</v>
      </c>
      <c r="B320">
        <v>0.17545454545454545</v>
      </c>
      <c r="C320" t="s">
        <v>33</v>
      </c>
      <c r="D320">
        <v>14.565000000000001</v>
      </c>
      <c r="E320" t="s">
        <v>33</v>
      </c>
    </row>
    <row r="321" spans="1:5" x14ac:dyDescent="0.25">
      <c r="A321" t="s">
        <v>31</v>
      </c>
      <c r="B321">
        <v>7.6428571428571429E-2</v>
      </c>
      <c r="C321" t="s">
        <v>33</v>
      </c>
      <c r="D321">
        <v>5.99</v>
      </c>
      <c r="E321" t="s">
        <v>33</v>
      </c>
    </row>
    <row r="322" spans="1:5" x14ac:dyDescent="0.25">
      <c r="A322" t="s">
        <v>31</v>
      </c>
      <c r="B322">
        <v>1.24E-2</v>
      </c>
      <c r="C322" t="s">
        <v>33</v>
      </c>
      <c r="D322">
        <v>6.11</v>
      </c>
      <c r="E322" t="s">
        <v>33</v>
      </c>
    </row>
    <row r="323" spans="1:5" x14ac:dyDescent="0.25">
      <c r="A323" t="s">
        <v>31</v>
      </c>
      <c r="B323">
        <v>3.9</v>
      </c>
      <c r="C323" t="s">
        <v>33</v>
      </c>
      <c r="D323">
        <v>26.454999999999998</v>
      </c>
      <c r="E323" t="s">
        <v>33</v>
      </c>
    </row>
    <row r="324" spans="1:5" x14ac:dyDescent="0.25">
      <c r="A324" t="s">
        <v>31</v>
      </c>
      <c r="B324">
        <v>0.53142857142857147</v>
      </c>
      <c r="C324" t="s">
        <v>33</v>
      </c>
      <c r="D324">
        <v>56.204999999999998</v>
      </c>
      <c r="E324" t="s">
        <v>32</v>
      </c>
    </row>
    <row r="325" spans="1:5" x14ac:dyDescent="0.25">
      <c r="A325" t="s">
        <v>31</v>
      </c>
      <c r="B325">
        <v>8.8499999999999995E-2</v>
      </c>
      <c r="C325" t="s">
        <v>33</v>
      </c>
      <c r="D325">
        <v>18.055</v>
      </c>
      <c r="E325" t="s">
        <v>33</v>
      </c>
    </row>
    <row r="326" spans="1:5" x14ac:dyDescent="0.25">
      <c r="A326" t="s">
        <v>31</v>
      </c>
      <c r="B326">
        <v>0.59250000000000003</v>
      </c>
      <c r="C326" t="s">
        <v>33</v>
      </c>
      <c r="D326">
        <v>8.7100000000000009</v>
      </c>
      <c r="E326" t="s">
        <v>33</v>
      </c>
    </row>
    <row r="327" spans="1:5" x14ac:dyDescent="0.25">
      <c r="A327" t="s">
        <v>31</v>
      </c>
      <c r="B327">
        <v>0.24785714285714286</v>
      </c>
      <c r="C327" t="s">
        <v>33</v>
      </c>
      <c r="D327">
        <v>7.77</v>
      </c>
      <c r="E327" t="s">
        <v>33</v>
      </c>
    </row>
    <row r="328" spans="1:5" x14ac:dyDescent="0.25">
      <c r="A328" t="s">
        <v>31</v>
      </c>
      <c r="B328">
        <v>0.42272727272727278</v>
      </c>
      <c r="C328" t="s">
        <v>33</v>
      </c>
      <c r="D328">
        <v>24.115000000000002</v>
      </c>
      <c r="E328" t="s">
        <v>33</v>
      </c>
    </row>
    <row r="329" spans="1:5" x14ac:dyDescent="0.25">
      <c r="A329" t="s">
        <v>31</v>
      </c>
      <c r="B329">
        <v>8.8888888888888892E-2</v>
      </c>
      <c r="C329" t="s">
        <v>33</v>
      </c>
      <c r="D329">
        <v>10.440000000000001</v>
      </c>
      <c r="E329" t="s">
        <v>33</v>
      </c>
    </row>
    <row r="330" spans="1:5" x14ac:dyDescent="0.25">
      <c r="A330" t="s">
        <v>31</v>
      </c>
      <c r="B330">
        <v>0.25904761904761908</v>
      </c>
      <c r="C330" t="s">
        <v>32</v>
      </c>
      <c r="D330">
        <v>17.205000000000002</v>
      </c>
      <c r="E330" t="s">
        <v>33</v>
      </c>
    </row>
    <row r="331" spans="1:5" x14ac:dyDescent="0.25">
      <c r="A331" t="s">
        <v>31</v>
      </c>
      <c r="B331">
        <v>0.22823529411764706</v>
      </c>
      <c r="C331" t="s">
        <v>32</v>
      </c>
      <c r="D331">
        <v>45.765000000000001</v>
      </c>
      <c r="E331" t="s">
        <v>32</v>
      </c>
    </row>
    <row r="332" spans="1:5" x14ac:dyDescent="0.25">
      <c r="A332" t="s">
        <v>31</v>
      </c>
      <c r="B332">
        <v>9.4705882352941181E-2</v>
      </c>
      <c r="C332" t="s">
        <v>33</v>
      </c>
      <c r="D332">
        <v>9.75</v>
      </c>
      <c r="E332" t="s">
        <v>33</v>
      </c>
    </row>
    <row r="333" spans="1:5" x14ac:dyDescent="0.25">
      <c r="A333" t="s">
        <v>31</v>
      </c>
      <c r="B333">
        <v>0.52249999999999996</v>
      </c>
      <c r="C333" t="s">
        <v>33</v>
      </c>
      <c r="D333">
        <v>40.809999999999995</v>
      </c>
      <c r="E333" t="s">
        <v>32</v>
      </c>
    </row>
    <row r="334" spans="1:5" x14ac:dyDescent="0.25">
      <c r="A334" t="s">
        <v>31</v>
      </c>
      <c r="B334">
        <v>0.80166666666666664</v>
      </c>
      <c r="C334" t="s">
        <v>33</v>
      </c>
      <c r="D334">
        <v>49.655000000000001</v>
      </c>
      <c r="E334" t="s">
        <v>32</v>
      </c>
    </row>
    <row r="335" spans="1:5" x14ac:dyDescent="0.25">
      <c r="A335" t="s">
        <v>31</v>
      </c>
      <c r="B335">
        <v>1.0022222222222221</v>
      </c>
      <c r="C335" t="s">
        <v>33</v>
      </c>
      <c r="D335">
        <v>24.59</v>
      </c>
      <c r="E335" t="s">
        <v>33</v>
      </c>
    </row>
    <row r="336" spans="1:5" x14ac:dyDescent="0.25">
      <c r="A336" t="s">
        <v>31</v>
      </c>
      <c r="B336">
        <v>0.2475</v>
      </c>
      <c r="C336" t="s">
        <v>33</v>
      </c>
      <c r="D336">
        <v>6.94</v>
      </c>
      <c r="E336" t="s">
        <v>33</v>
      </c>
    </row>
    <row r="337" spans="1:5" x14ac:dyDescent="0.25">
      <c r="A337" t="s">
        <v>31</v>
      </c>
      <c r="B337">
        <v>0.21695652173913044</v>
      </c>
      <c r="C337" t="s">
        <v>32</v>
      </c>
      <c r="D337">
        <v>13.790000000000001</v>
      </c>
      <c r="E337" t="s">
        <v>33</v>
      </c>
    </row>
    <row r="338" spans="1:5" x14ac:dyDescent="0.25">
      <c r="A338" t="s">
        <v>31</v>
      </c>
      <c r="B338">
        <v>6.1111111111111116E-2</v>
      </c>
      <c r="C338" t="s">
        <v>33</v>
      </c>
      <c r="D338">
        <v>6.125</v>
      </c>
      <c r="E338" t="s">
        <v>33</v>
      </c>
    </row>
    <row r="339" spans="1:5" x14ac:dyDescent="0.25">
      <c r="A339" t="s">
        <v>31</v>
      </c>
      <c r="B339">
        <v>1.0740000000000001</v>
      </c>
      <c r="C339" t="s">
        <v>33</v>
      </c>
      <c r="D339">
        <v>54.24</v>
      </c>
      <c r="E339" t="s">
        <v>32</v>
      </c>
    </row>
    <row r="340" spans="1:5" x14ac:dyDescent="0.25">
      <c r="A340" t="s">
        <v>31</v>
      </c>
      <c r="B340">
        <v>0.25562499999999999</v>
      </c>
      <c r="C340" t="s">
        <v>33</v>
      </c>
      <c r="D340">
        <v>54.62</v>
      </c>
      <c r="E340" t="s">
        <v>32</v>
      </c>
    </row>
    <row r="341" spans="1:5" x14ac:dyDescent="0.25">
      <c r="A341" t="s">
        <v>31</v>
      </c>
      <c r="B341">
        <v>0.1275</v>
      </c>
      <c r="C341" t="s">
        <v>33</v>
      </c>
      <c r="D341">
        <v>27.37</v>
      </c>
      <c r="E341" t="s">
        <v>33</v>
      </c>
    </row>
    <row r="342" spans="1:5" x14ac:dyDescent="0.25">
      <c r="A342" t="s">
        <v>31</v>
      </c>
      <c r="B342">
        <v>1.2550000000000001</v>
      </c>
      <c r="C342" t="s">
        <v>32</v>
      </c>
      <c r="D342">
        <v>16.294999999999998</v>
      </c>
      <c r="E342" t="s">
        <v>33</v>
      </c>
    </row>
    <row r="343" spans="1:5" x14ac:dyDescent="0.25">
      <c r="A343" t="s">
        <v>31</v>
      </c>
      <c r="B343">
        <v>0.85000000000000009</v>
      </c>
      <c r="C343" t="s">
        <v>32</v>
      </c>
      <c r="D343">
        <v>34.344999999999999</v>
      </c>
      <c r="E343" t="s">
        <v>32</v>
      </c>
    </row>
    <row r="344" spans="1:5" x14ac:dyDescent="0.25">
      <c r="A344" t="s">
        <v>31</v>
      </c>
      <c r="B344">
        <v>0.64923076923076917</v>
      </c>
      <c r="C344" t="s">
        <v>33</v>
      </c>
      <c r="D344">
        <v>23.585000000000001</v>
      </c>
      <c r="E344" t="s">
        <v>33</v>
      </c>
    </row>
    <row r="345" spans="1:5" x14ac:dyDescent="0.25">
      <c r="A345" t="s">
        <v>31</v>
      </c>
      <c r="B345">
        <v>2.2866666666666666</v>
      </c>
      <c r="C345" t="s">
        <v>33</v>
      </c>
      <c r="D345">
        <v>27.585000000000001</v>
      </c>
      <c r="E345" t="s">
        <v>33</v>
      </c>
    </row>
    <row r="346" spans="1:5" x14ac:dyDescent="0.25">
      <c r="A346" t="s">
        <v>31</v>
      </c>
      <c r="B346">
        <v>0.16473684210526315</v>
      </c>
      <c r="C346" t="s">
        <v>33</v>
      </c>
      <c r="D346">
        <v>7.37</v>
      </c>
      <c r="E346" t="s">
        <v>33</v>
      </c>
    </row>
    <row r="347" spans="1:5" x14ac:dyDescent="0.25">
      <c r="A347" t="s">
        <v>31</v>
      </c>
      <c r="B347">
        <v>0.314</v>
      </c>
      <c r="C347" t="s">
        <v>33</v>
      </c>
      <c r="D347">
        <v>22.084999999999997</v>
      </c>
      <c r="E347" t="s">
        <v>33</v>
      </c>
    </row>
    <row r="348" spans="1:5" x14ac:dyDescent="0.25">
      <c r="A348" t="s">
        <v>31</v>
      </c>
      <c r="B348">
        <v>0.48799999999999999</v>
      </c>
      <c r="C348" t="s">
        <v>33</v>
      </c>
      <c r="D348">
        <v>45.37</v>
      </c>
      <c r="E348" t="s">
        <v>32</v>
      </c>
    </row>
    <row r="349" spans="1:5" x14ac:dyDescent="0.25">
      <c r="A349" t="s">
        <v>31</v>
      </c>
      <c r="B349">
        <v>4.1749999999999998</v>
      </c>
      <c r="C349" t="s">
        <v>32</v>
      </c>
      <c r="D349">
        <v>31.53</v>
      </c>
      <c r="E349" t="s">
        <v>32</v>
      </c>
    </row>
    <row r="350" spans="1:5" x14ac:dyDescent="0.25">
      <c r="A350" t="s">
        <v>31</v>
      </c>
      <c r="B350">
        <v>0.33166666666666667</v>
      </c>
      <c r="C350" t="s">
        <v>33</v>
      </c>
      <c r="D350">
        <v>12.83</v>
      </c>
      <c r="E350" t="s">
        <v>33</v>
      </c>
    </row>
    <row r="351" spans="1:5" x14ac:dyDescent="0.25">
      <c r="A351" t="s">
        <v>31</v>
      </c>
      <c r="B351">
        <v>7.2400000000000006E-2</v>
      </c>
      <c r="C351" t="s">
        <v>33</v>
      </c>
      <c r="D351">
        <v>10.239999999999998</v>
      </c>
      <c r="E351" t="s">
        <v>33</v>
      </c>
    </row>
    <row r="352" spans="1:5" x14ac:dyDescent="0.25">
      <c r="A352" t="s">
        <v>31</v>
      </c>
      <c r="B352">
        <v>0.46833333333333332</v>
      </c>
      <c r="C352" t="s">
        <v>33</v>
      </c>
      <c r="D352">
        <v>20.625</v>
      </c>
      <c r="E352" t="s">
        <v>33</v>
      </c>
    </row>
    <row r="353" spans="1:5" x14ac:dyDescent="0.25">
      <c r="A353" t="s">
        <v>31</v>
      </c>
      <c r="B353">
        <v>4.6315789473684213E-2</v>
      </c>
      <c r="C353" t="s">
        <v>32</v>
      </c>
      <c r="D353">
        <v>3.9000000000000004</v>
      </c>
      <c r="E353" t="s">
        <v>33</v>
      </c>
    </row>
    <row r="354" spans="1:5" x14ac:dyDescent="0.25">
      <c r="A354" t="s">
        <v>31</v>
      </c>
      <c r="B354">
        <v>0.495</v>
      </c>
      <c r="C354" t="s">
        <v>33</v>
      </c>
      <c r="D354">
        <v>11.01</v>
      </c>
      <c r="E354" t="s">
        <v>33</v>
      </c>
    </row>
    <row r="355" spans="1:5" x14ac:dyDescent="0.25">
      <c r="A355" t="s">
        <v>31</v>
      </c>
      <c r="B355">
        <v>0.20173913043478259</v>
      </c>
      <c r="C355" t="s">
        <v>33</v>
      </c>
      <c r="D355">
        <v>31.53</v>
      </c>
      <c r="E355" t="s">
        <v>32</v>
      </c>
    </row>
    <row r="356" spans="1:5" x14ac:dyDescent="0.25">
      <c r="A356" t="s">
        <v>31</v>
      </c>
      <c r="B356">
        <v>1.764705882352941E-3</v>
      </c>
      <c r="C356" t="s">
        <v>33</v>
      </c>
      <c r="D356">
        <v>8.42</v>
      </c>
      <c r="E356" t="s">
        <v>33</v>
      </c>
    </row>
    <row r="357" spans="1:5" x14ac:dyDescent="0.25">
      <c r="A357" t="s">
        <v>31</v>
      </c>
      <c r="B357">
        <v>0.03</v>
      </c>
      <c r="C357" t="s">
        <v>32</v>
      </c>
      <c r="D357">
        <v>2.42</v>
      </c>
      <c r="E357" t="s">
        <v>33</v>
      </c>
    </row>
    <row r="358" spans="1:5" x14ac:dyDescent="0.25">
      <c r="A358" t="s">
        <v>31</v>
      </c>
      <c r="B358">
        <v>0.13652173913043478</v>
      </c>
      <c r="C358" t="s">
        <v>33</v>
      </c>
      <c r="D358">
        <v>17.225000000000001</v>
      </c>
      <c r="E358" t="s">
        <v>33</v>
      </c>
    </row>
    <row r="359" spans="1:5" x14ac:dyDescent="0.25">
      <c r="A359" t="s">
        <v>31</v>
      </c>
      <c r="B359">
        <v>5.5000000000000007E-2</v>
      </c>
      <c r="C359" t="s">
        <v>32</v>
      </c>
      <c r="D359">
        <v>10.220000000000001</v>
      </c>
      <c r="E359" t="s">
        <v>33</v>
      </c>
    </row>
    <row r="360" spans="1:5" x14ac:dyDescent="0.25">
      <c r="A360" t="s">
        <v>31</v>
      </c>
      <c r="B360">
        <v>3.21</v>
      </c>
      <c r="C360" t="s">
        <v>33</v>
      </c>
      <c r="D360">
        <v>16.204999999999998</v>
      </c>
      <c r="E360" t="s">
        <v>33</v>
      </c>
    </row>
    <row r="361" spans="1:5" x14ac:dyDescent="0.25">
      <c r="A361" t="s">
        <v>31</v>
      </c>
      <c r="B361">
        <v>0.56833333333333336</v>
      </c>
      <c r="C361" t="s">
        <v>33</v>
      </c>
      <c r="D361">
        <v>44.644999999999996</v>
      </c>
      <c r="E361" t="s">
        <v>32</v>
      </c>
    </row>
    <row r="362" spans="1:5" x14ac:dyDescent="0.25">
      <c r="A362" t="s">
        <v>31</v>
      </c>
      <c r="B362">
        <v>6.02</v>
      </c>
      <c r="C362" t="s">
        <v>33</v>
      </c>
      <c r="D362">
        <v>14.08</v>
      </c>
      <c r="E362" t="s">
        <v>33</v>
      </c>
    </row>
    <row r="363" spans="1:5" x14ac:dyDescent="0.25">
      <c r="A363" t="s">
        <v>31</v>
      </c>
      <c r="B363">
        <v>1.8359999999999999</v>
      </c>
      <c r="C363" t="s">
        <v>33</v>
      </c>
      <c r="D363">
        <v>34.299999999999997</v>
      </c>
      <c r="E363" t="s">
        <v>32</v>
      </c>
    </row>
    <row r="364" spans="1:5" x14ac:dyDescent="0.25">
      <c r="A364" t="s">
        <v>31</v>
      </c>
      <c r="B364">
        <v>0.22799999999999998</v>
      </c>
      <c r="C364" t="s">
        <v>33</v>
      </c>
      <c r="D364">
        <v>35.375</v>
      </c>
      <c r="E364" t="s">
        <v>32</v>
      </c>
    </row>
    <row r="365" spans="1:5" x14ac:dyDescent="0.25">
      <c r="A365" t="s">
        <v>31</v>
      </c>
      <c r="B365">
        <v>0.2208</v>
      </c>
      <c r="C365" t="s">
        <v>33</v>
      </c>
      <c r="D365">
        <v>19.505000000000003</v>
      </c>
      <c r="E365" t="s">
        <v>33</v>
      </c>
    </row>
    <row r="366" spans="1:5" x14ac:dyDescent="0.25">
      <c r="A366" t="s">
        <v>31</v>
      </c>
      <c r="B366">
        <v>1.1052631578947368E-2</v>
      </c>
      <c r="C366" t="s">
        <v>33</v>
      </c>
      <c r="D366">
        <v>4.1749999999999998</v>
      </c>
      <c r="E366" t="s">
        <v>33</v>
      </c>
    </row>
    <row r="367" spans="1:5" x14ac:dyDescent="0.25">
      <c r="A367" t="s">
        <v>31</v>
      </c>
      <c r="B367">
        <v>0.14818181818181816</v>
      </c>
      <c r="C367" t="s">
        <v>33</v>
      </c>
      <c r="D367">
        <v>11.065000000000001</v>
      </c>
      <c r="E367" t="s">
        <v>33</v>
      </c>
    </row>
    <row r="368" spans="1:5" x14ac:dyDescent="0.25">
      <c r="A368" t="s">
        <v>31</v>
      </c>
      <c r="B368">
        <v>0.30599999999999999</v>
      </c>
      <c r="C368" t="s">
        <v>33</v>
      </c>
      <c r="D368">
        <v>9.1150000000000002</v>
      </c>
      <c r="E368" t="s">
        <v>33</v>
      </c>
    </row>
    <row r="369" spans="1:5" x14ac:dyDescent="0.25">
      <c r="A369" t="s">
        <v>31</v>
      </c>
      <c r="B369">
        <v>0.95199999999999996</v>
      </c>
      <c r="C369" t="s">
        <v>32</v>
      </c>
      <c r="D369">
        <v>18.445</v>
      </c>
      <c r="E369" t="s">
        <v>33</v>
      </c>
    </row>
    <row r="370" spans="1:5" x14ac:dyDescent="0.25">
      <c r="A370" t="s">
        <v>31</v>
      </c>
      <c r="B370">
        <v>8.1578947368421056E-2</v>
      </c>
      <c r="C370" t="s">
        <v>33</v>
      </c>
      <c r="D370">
        <v>14.035</v>
      </c>
      <c r="E370" t="s">
        <v>33</v>
      </c>
    </row>
    <row r="371" spans="1:5" x14ac:dyDescent="0.25">
      <c r="A371" t="s">
        <v>31</v>
      </c>
      <c r="B371">
        <v>0.17043478260869566</v>
      </c>
      <c r="C371" t="s">
        <v>33</v>
      </c>
      <c r="D371">
        <v>12.385000000000002</v>
      </c>
      <c r="E371" t="s">
        <v>33</v>
      </c>
    </row>
    <row r="372" spans="1:5" x14ac:dyDescent="0.25">
      <c r="A372" t="s">
        <v>31</v>
      </c>
      <c r="B372">
        <v>0.44400000000000001</v>
      </c>
      <c r="C372" t="s">
        <v>33</v>
      </c>
      <c r="D372">
        <v>34.33</v>
      </c>
      <c r="E372" t="s">
        <v>32</v>
      </c>
    </row>
    <row r="373" spans="1:5" x14ac:dyDescent="0.25">
      <c r="A373" t="s">
        <v>31</v>
      </c>
      <c r="B373">
        <v>0.38230769230769229</v>
      </c>
      <c r="C373" t="s">
        <v>32</v>
      </c>
      <c r="D373">
        <v>17.239999999999998</v>
      </c>
      <c r="E373" t="s">
        <v>33</v>
      </c>
    </row>
    <row r="374" spans="1:5" x14ac:dyDescent="0.25">
      <c r="A374" t="s">
        <v>31</v>
      </c>
      <c r="B374">
        <v>1.1316666666666666</v>
      </c>
      <c r="C374" t="s">
        <v>33</v>
      </c>
      <c r="D374">
        <v>31.784999999999997</v>
      </c>
      <c r="E374" t="s">
        <v>32</v>
      </c>
    </row>
    <row r="375" spans="1:5" x14ac:dyDescent="0.25">
      <c r="A375" t="s">
        <v>31</v>
      </c>
      <c r="B375">
        <v>0.50375000000000003</v>
      </c>
      <c r="C375" t="s">
        <v>33</v>
      </c>
      <c r="D375">
        <v>16.335000000000001</v>
      </c>
      <c r="E375" t="s">
        <v>33</v>
      </c>
    </row>
    <row r="376" spans="1:5" x14ac:dyDescent="0.25">
      <c r="A376" t="s">
        <v>31</v>
      </c>
      <c r="B376">
        <v>6.7142857142857143E-2</v>
      </c>
      <c r="C376" t="s">
        <v>32</v>
      </c>
      <c r="D376">
        <v>14.51</v>
      </c>
      <c r="E376" t="s">
        <v>33</v>
      </c>
    </row>
    <row r="377" spans="1:5" x14ac:dyDescent="0.25">
      <c r="A377" t="s">
        <v>31</v>
      </c>
      <c r="B377">
        <v>0.19727272727272727</v>
      </c>
      <c r="C377" t="s">
        <v>32</v>
      </c>
      <c r="D377">
        <v>6.27</v>
      </c>
      <c r="E377" t="s">
        <v>33</v>
      </c>
    </row>
    <row r="378" spans="1:5" x14ac:dyDescent="0.25">
      <c r="A378" t="s">
        <v>31</v>
      </c>
      <c r="B378">
        <v>7.7199999999999991E-2</v>
      </c>
      <c r="C378" t="s">
        <v>33</v>
      </c>
      <c r="D378">
        <v>15.375</v>
      </c>
      <c r="E378" t="s">
        <v>33</v>
      </c>
    </row>
    <row r="379" spans="1:5" x14ac:dyDescent="0.25">
      <c r="A379" t="s">
        <v>31</v>
      </c>
      <c r="B379">
        <v>0.5033333333333333</v>
      </c>
      <c r="C379" t="s">
        <v>33</v>
      </c>
      <c r="D379">
        <v>27.1</v>
      </c>
      <c r="E379" t="s">
        <v>33</v>
      </c>
    </row>
    <row r="380" spans="1:5" x14ac:dyDescent="0.25">
      <c r="A380" t="s">
        <v>31</v>
      </c>
      <c r="B380">
        <v>0.71100000000000008</v>
      </c>
      <c r="C380" t="s">
        <v>32</v>
      </c>
      <c r="D380">
        <v>29.35</v>
      </c>
      <c r="E380" t="s">
        <v>33</v>
      </c>
    </row>
    <row r="381" spans="1:5" x14ac:dyDescent="0.25">
      <c r="A381" t="s">
        <v>31</v>
      </c>
      <c r="B381">
        <v>4.7619047619047616E-2</v>
      </c>
      <c r="C381" t="s">
        <v>33</v>
      </c>
      <c r="D381">
        <v>4.5549999999999997</v>
      </c>
      <c r="E381" t="s">
        <v>33</v>
      </c>
    </row>
    <row r="382" spans="1:5" x14ac:dyDescent="0.25">
      <c r="A382" t="s">
        <v>31</v>
      </c>
      <c r="B382">
        <v>0.56312499999999999</v>
      </c>
      <c r="C382" t="s">
        <v>33</v>
      </c>
      <c r="D382">
        <v>56.97</v>
      </c>
      <c r="E382" t="s">
        <v>32</v>
      </c>
    </row>
    <row r="383" spans="1:5" x14ac:dyDescent="0.25">
      <c r="A383" t="s">
        <v>31</v>
      </c>
      <c r="B383">
        <v>0.318</v>
      </c>
      <c r="C383" t="s">
        <v>33</v>
      </c>
      <c r="D383">
        <v>21.689999999999998</v>
      </c>
      <c r="E383" t="s">
        <v>33</v>
      </c>
    </row>
    <row r="384" spans="1:5" x14ac:dyDescent="0.25">
      <c r="A384" t="s">
        <v>31</v>
      </c>
      <c r="B384">
        <v>0.57666666666666666</v>
      </c>
      <c r="C384" t="s">
        <v>32</v>
      </c>
      <c r="D384">
        <v>11.685</v>
      </c>
      <c r="E384" t="s">
        <v>33</v>
      </c>
    </row>
    <row r="385" spans="1:5" x14ac:dyDescent="0.25">
      <c r="A385" t="s">
        <v>31</v>
      </c>
      <c r="B385">
        <v>0.47733333333333333</v>
      </c>
      <c r="C385" t="s">
        <v>33</v>
      </c>
      <c r="D385">
        <v>20.100000000000001</v>
      </c>
      <c r="E385" t="s">
        <v>33</v>
      </c>
    </row>
    <row r="386" spans="1:5" x14ac:dyDescent="0.25">
      <c r="A386" t="s">
        <v>31</v>
      </c>
      <c r="B386">
        <v>0.876</v>
      </c>
      <c r="C386" t="s">
        <v>33</v>
      </c>
      <c r="D386">
        <v>27.97</v>
      </c>
      <c r="E386" t="s">
        <v>33</v>
      </c>
    </row>
    <row r="387" spans="1:5" x14ac:dyDescent="0.25">
      <c r="A387" t="s">
        <v>31</v>
      </c>
      <c r="B387">
        <v>0.44500000000000001</v>
      </c>
      <c r="C387" t="s">
        <v>33</v>
      </c>
      <c r="D387">
        <v>13.41</v>
      </c>
      <c r="E387" t="s">
        <v>33</v>
      </c>
    </row>
    <row r="388" spans="1:5" x14ac:dyDescent="0.25">
      <c r="A388" t="s">
        <v>31</v>
      </c>
      <c r="B388">
        <v>0.32</v>
      </c>
      <c r="C388" t="s">
        <v>33</v>
      </c>
      <c r="D388">
        <v>11.57</v>
      </c>
      <c r="E388" t="s">
        <v>33</v>
      </c>
    </row>
    <row r="389" spans="1:5" x14ac:dyDescent="0.25">
      <c r="A389" t="s">
        <v>31</v>
      </c>
      <c r="B389">
        <v>0.3559090909090909</v>
      </c>
      <c r="C389" t="s">
        <v>32</v>
      </c>
      <c r="D389">
        <v>41.164999999999999</v>
      </c>
      <c r="E389" t="s">
        <v>32</v>
      </c>
    </row>
    <row r="390" spans="1:5" x14ac:dyDescent="0.25">
      <c r="A390" t="s">
        <v>31</v>
      </c>
      <c r="B390">
        <v>0.28888888888888892</v>
      </c>
      <c r="C390" t="s">
        <v>32</v>
      </c>
      <c r="D390">
        <v>26.14</v>
      </c>
      <c r="E390" t="s">
        <v>33</v>
      </c>
    </row>
    <row r="391" spans="1:5" x14ac:dyDescent="0.25">
      <c r="A391" t="s">
        <v>31</v>
      </c>
      <c r="B391">
        <v>0.34159999999999996</v>
      </c>
      <c r="C391" t="s">
        <v>33</v>
      </c>
      <c r="D391">
        <v>20.154999999999998</v>
      </c>
      <c r="E391" t="s">
        <v>33</v>
      </c>
    </row>
    <row r="392" spans="1:5" x14ac:dyDescent="0.25">
      <c r="A392" t="s">
        <v>31</v>
      </c>
      <c r="B392">
        <v>9.7499999999999989E-2</v>
      </c>
      <c r="C392" t="s">
        <v>33</v>
      </c>
      <c r="D392">
        <v>8.4550000000000001</v>
      </c>
      <c r="E392" t="s">
        <v>33</v>
      </c>
    </row>
    <row r="393" spans="1:5" x14ac:dyDescent="0.25">
      <c r="A393" t="s">
        <v>31</v>
      </c>
      <c r="B393">
        <v>0.50545454545454538</v>
      </c>
      <c r="C393" t="s">
        <v>33</v>
      </c>
      <c r="D393">
        <v>9.68</v>
      </c>
      <c r="E393" t="s">
        <v>33</v>
      </c>
    </row>
    <row r="394" spans="1:5" x14ac:dyDescent="0.25">
      <c r="A394" t="s">
        <v>31</v>
      </c>
      <c r="B394">
        <v>0.62437500000000001</v>
      </c>
      <c r="C394" t="s">
        <v>33</v>
      </c>
      <c r="D394">
        <v>24.9</v>
      </c>
      <c r="E394" t="s">
        <v>33</v>
      </c>
    </row>
    <row r="395" spans="1:5" x14ac:dyDescent="0.25">
      <c r="A395" t="s">
        <v>31</v>
      </c>
      <c r="B395">
        <v>1.59</v>
      </c>
      <c r="C395" t="s">
        <v>33</v>
      </c>
      <c r="D395">
        <v>20.375</v>
      </c>
      <c r="E395" t="s">
        <v>33</v>
      </c>
    </row>
    <row r="396" spans="1:5" x14ac:dyDescent="0.25">
      <c r="A396" t="s">
        <v>31</v>
      </c>
      <c r="B396">
        <v>6.62</v>
      </c>
      <c r="C396" t="s">
        <v>33</v>
      </c>
      <c r="D396">
        <v>16.27</v>
      </c>
      <c r="E396" t="s">
        <v>33</v>
      </c>
    </row>
    <row r="397" spans="1:5" x14ac:dyDescent="0.25">
      <c r="A397" t="s">
        <v>31</v>
      </c>
      <c r="B397">
        <v>0.10153846153846155</v>
      </c>
      <c r="C397" t="s">
        <v>33</v>
      </c>
      <c r="D397">
        <v>12.98</v>
      </c>
      <c r="E397" t="s">
        <v>33</v>
      </c>
    </row>
    <row r="398" spans="1:5" x14ac:dyDescent="0.25">
      <c r="A398" t="s">
        <v>31</v>
      </c>
      <c r="B398">
        <v>0.25437500000000002</v>
      </c>
      <c r="C398" t="s">
        <v>32</v>
      </c>
      <c r="D398">
        <v>14.565000000000001</v>
      </c>
      <c r="E398" t="s">
        <v>33</v>
      </c>
    </row>
    <row r="399" spans="1:5" x14ac:dyDescent="0.25">
      <c r="A399" t="s">
        <v>31</v>
      </c>
      <c r="B399">
        <v>5.4000000000000006E-2</v>
      </c>
      <c r="C399" t="s">
        <v>32</v>
      </c>
      <c r="D399">
        <v>12.59</v>
      </c>
      <c r="E399" t="s">
        <v>33</v>
      </c>
    </row>
    <row r="400" spans="1:5" x14ac:dyDescent="0.25">
      <c r="A400" t="s">
        <v>31</v>
      </c>
      <c r="B400">
        <v>0.24944444444444447</v>
      </c>
      <c r="C400" t="s">
        <v>32</v>
      </c>
      <c r="D400">
        <v>20.399999999999999</v>
      </c>
      <c r="E400" t="s">
        <v>33</v>
      </c>
    </row>
    <row r="401" spans="1:5" x14ac:dyDescent="0.25">
      <c r="A401" t="s">
        <v>31</v>
      </c>
      <c r="B401">
        <v>0.36285714285714288</v>
      </c>
      <c r="C401" t="s">
        <v>33</v>
      </c>
      <c r="D401">
        <v>7.6750000000000007</v>
      </c>
      <c r="E401" t="s">
        <v>33</v>
      </c>
    </row>
    <row r="402" spans="1:5" x14ac:dyDescent="0.25">
      <c r="A402" t="s">
        <v>31</v>
      </c>
      <c r="B402">
        <v>0.23923076923076922</v>
      </c>
      <c r="C402" t="s">
        <v>33</v>
      </c>
      <c r="D402">
        <v>15.695</v>
      </c>
      <c r="E402" t="s">
        <v>33</v>
      </c>
    </row>
    <row r="403" spans="1:5" x14ac:dyDescent="0.25">
      <c r="A403" t="s">
        <v>31</v>
      </c>
      <c r="B403">
        <v>7.15</v>
      </c>
      <c r="C403" t="s">
        <v>33</v>
      </c>
      <c r="D403">
        <v>15.655000000000001</v>
      </c>
      <c r="E403" t="s">
        <v>33</v>
      </c>
    </row>
    <row r="404" spans="1:5" x14ac:dyDescent="0.25">
      <c r="A404" t="s">
        <v>31</v>
      </c>
      <c r="B404">
        <v>0.45277777777777778</v>
      </c>
      <c r="C404" t="s">
        <v>32</v>
      </c>
      <c r="D404">
        <v>18.27</v>
      </c>
      <c r="E404" t="s">
        <v>33</v>
      </c>
    </row>
    <row r="405" spans="1:5" x14ac:dyDescent="0.25">
      <c r="A405" t="s">
        <v>31</v>
      </c>
      <c r="B405">
        <v>0.47833333333333333</v>
      </c>
      <c r="C405" t="s">
        <v>33</v>
      </c>
      <c r="D405">
        <v>50.814999999999998</v>
      </c>
      <c r="E405" t="s">
        <v>32</v>
      </c>
    </row>
    <row r="406" spans="1:5" x14ac:dyDescent="0.25">
      <c r="A406" t="s">
        <v>31</v>
      </c>
      <c r="B406">
        <v>6.0624999999999998E-2</v>
      </c>
      <c r="C406" t="s">
        <v>33</v>
      </c>
      <c r="D406">
        <v>14.555</v>
      </c>
      <c r="E406" t="s">
        <v>33</v>
      </c>
    </row>
    <row r="407" spans="1:5" x14ac:dyDescent="0.25">
      <c r="A407" t="s">
        <v>31</v>
      </c>
      <c r="B407">
        <v>0.66749999999999998</v>
      </c>
      <c r="C407" t="s">
        <v>33</v>
      </c>
      <c r="D407">
        <v>18.63</v>
      </c>
      <c r="E407" t="s">
        <v>33</v>
      </c>
    </row>
    <row r="408" spans="1:5" x14ac:dyDescent="0.25">
      <c r="A408" t="s">
        <v>31</v>
      </c>
      <c r="B408">
        <v>0.80166666666666664</v>
      </c>
      <c r="C408" t="s">
        <v>32</v>
      </c>
      <c r="D408">
        <v>21.35</v>
      </c>
      <c r="E408" t="s">
        <v>33</v>
      </c>
    </row>
    <row r="409" spans="1:5" x14ac:dyDescent="0.25">
      <c r="A409" t="s">
        <v>31</v>
      </c>
      <c r="B409">
        <v>0.40250000000000002</v>
      </c>
      <c r="C409" t="s">
        <v>32</v>
      </c>
      <c r="D409">
        <v>21.1</v>
      </c>
      <c r="E409" t="s">
        <v>33</v>
      </c>
    </row>
    <row r="410" spans="1:5" x14ac:dyDescent="0.25">
      <c r="A410" t="s">
        <v>31</v>
      </c>
      <c r="B410">
        <v>0.30545454545454542</v>
      </c>
      <c r="C410" t="s">
        <v>33</v>
      </c>
      <c r="D410">
        <v>15.585000000000001</v>
      </c>
      <c r="E410" t="s">
        <v>33</v>
      </c>
    </row>
    <row r="411" spans="1:5" x14ac:dyDescent="0.25">
      <c r="A411" t="s">
        <v>31</v>
      </c>
      <c r="B411">
        <v>0.26928571428571429</v>
      </c>
      <c r="C411" t="s">
        <v>32</v>
      </c>
      <c r="D411">
        <v>35.884999999999998</v>
      </c>
      <c r="E411" t="s">
        <v>32</v>
      </c>
    </row>
    <row r="412" spans="1:5" x14ac:dyDescent="0.25">
      <c r="A412" t="s">
        <v>31</v>
      </c>
      <c r="B412">
        <v>2.6111111111111109E-2</v>
      </c>
      <c r="C412" t="s">
        <v>33</v>
      </c>
      <c r="D412">
        <v>14.77</v>
      </c>
      <c r="E412" t="s">
        <v>33</v>
      </c>
    </row>
    <row r="413" spans="1:5" x14ac:dyDescent="0.25">
      <c r="A413" t="s">
        <v>31</v>
      </c>
      <c r="B413">
        <v>0.26523809523809527</v>
      </c>
      <c r="C413" t="s">
        <v>33</v>
      </c>
      <c r="D413">
        <v>14.484999999999999</v>
      </c>
      <c r="E413" t="s">
        <v>33</v>
      </c>
    </row>
    <row r="414" spans="1:5" x14ac:dyDescent="0.25">
      <c r="A414" t="s">
        <v>31</v>
      </c>
      <c r="B414">
        <v>1.175</v>
      </c>
      <c r="C414" t="s">
        <v>32</v>
      </c>
      <c r="D414">
        <v>23.1</v>
      </c>
      <c r="E414" t="s">
        <v>33</v>
      </c>
    </row>
    <row r="415" spans="1:5" x14ac:dyDescent="0.25">
      <c r="A415" t="s">
        <v>31</v>
      </c>
      <c r="B415">
        <v>0.58187500000000003</v>
      </c>
      <c r="C415" t="s">
        <v>33</v>
      </c>
      <c r="D415">
        <v>25.185000000000002</v>
      </c>
      <c r="E415" t="s">
        <v>33</v>
      </c>
    </row>
    <row r="416" spans="1:5" x14ac:dyDescent="0.25">
      <c r="A416" t="s">
        <v>31</v>
      </c>
      <c r="B416">
        <v>0.32652173913043475</v>
      </c>
      <c r="C416" t="s">
        <v>32</v>
      </c>
      <c r="D416">
        <v>38.605000000000004</v>
      </c>
      <c r="E416" t="s">
        <v>32</v>
      </c>
    </row>
    <row r="417" spans="1:5" x14ac:dyDescent="0.25">
      <c r="A417" t="s">
        <v>31</v>
      </c>
      <c r="B417">
        <v>0.2119047619047619</v>
      </c>
      <c r="C417" t="s">
        <v>33</v>
      </c>
      <c r="D417">
        <v>46.134999999999998</v>
      </c>
      <c r="E417" t="s">
        <v>32</v>
      </c>
    </row>
    <row r="418" spans="1:5" x14ac:dyDescent="0.25">
      <c r="A418" t="s">
        <v>31</v>
      </c>
      <c r="B418">
        <v>0.13380952380952382</v>
      </c>
      <c r="C418" t="s">
        <v>33</v>
      </c>
      <c r="D418">
        <v>28.465</v>
      </c>
      <c r="E418" t="s">
        <v>33</v>
      </c>
    </row>
    <row r="419" spans="1:5" x14ac:dyDescent="0.25">
      <c r="A419" t="s">
        <v>31</v>
      </c>
      <c r="B419">
        <v>0.37562499999999999</v>
      </c>
      <c r="C419" t="s">
        <v>33</v>
      </c>
      <c r="D419">
        <v>13.334999999999999</v>
      </c>
      <c r="E419" t="s">
        <v>33</v>
      </c>
    </row>
    <row r="420" spans="1:5" x14ac:dyDescent="0.25">
      <c r="A420" t="s">
        <v>31</v>
      </c>
      <c r="B420">
        <v>0.20449999999999999</v>
      </c>
      <c r="C420" t="s">
        <v>33</v>
      </c>
      <c r="D420">
        <v>27.414999999999999</v>
      </c>
      <c r="E420" t="s">
        <v>33</v>
      </c>
    </row>
    <row r="421" spans="1:5" x14ac:dyDescent="0.25">
      <c r="A421" t="s">
        <v>31</v>
      </c>
      <c r="B421">
        <v>1.5466666666666666</v>
      </c>
      <c r="C421" t="s">
        <v>33</v>
      </c>
      <c r="D421">
        <v>31.93</v>
      </c>
      <c r="E421" t="s">
        <v>32</v>
      </c>
    </row>
    <row r="422" spans="1:5" x14ac:dyDescent="0.25">
      <c r="A422" t="s">
        <v>31</v>
      </c>
      <c r="B422">
        <v>2.3333333333333335</v>
      </c>
      <c r="C422" t="s">
        <v>33</v>
      </c>
      <c r="D422">
        <v>17.055</v>
      </c>
      <c r="E422" t="s">
        <v>33</v>
      </c>
    </row>
    <row r="423" spans="1:5" x14ac:dyDescent="0.25">
      <c r="A423" t="s">
        <v>31</v>
      </c>
      <c r="B423">
        <v>0.3547058823529412</v>
      </c>
      <c r="C423" t="s">
        <v>33</v>
      </c>
      <c r="D423">
        <v>13.969999999999999</v>
      </c>
      <c r="E423" t="s">
        <v>33</v>
      </c>
    </row>
    <row r="424" spans="1:5" x14ac:dyDescent="0.25">
      <c r="A424" t="s">
        <v>31</v>
      </c>
      <c r="B424">
        <v>0.14826086956521739</v>
      </c>
      <c r="C424" t="s">
        <v>33</v>
      </c>
      <c r="D424">
        <v>22.59</v>
      </c>
      <c r="E424" t="s">
        <v>33</v>
      </c>
    </row>
    <row r="425" spans="1:5" x14ac:dyDescent="0.25">
      <c r="A425" t="s">
        <v>31</v>
      </c>
      <c r="B425">
        <v>0.98333333333333339</v>
      </c>
      <c r="C425" t="s">
        <v>33</v>
      </c>
      <c r="D425">
        <v>16.265000000000001</v>
      </c>
      <c r="E425" t="s">
        <v>33</v>
      </c>
    </row>
    <row r="426" spans="1:5" x14ac:dyDescent="0.25">
      <c r="A426" t="s">
        <v>31</v>
      </c>
      <c r="B426">
        <v>0.68785714285714294</v>
      </c>
      <c r="C426" t="s">
        <v>33</v>
      </c>
      <c r="D426">
        <v>20.309999999999999</v>
      </c>
      <c r="E426" t="s">
        <v>33</v>
      </c>
    </row>
    <row r="427" spans="1:5" x14ac:dyDescent="0.25">
      <c r="A427" t="s">
        <v>31</v>
      </c>
      <c r="B427">
        <v>1.3557142857142856</v>
      </c>
      <c r="C427" t="s">
        <v>32</v>
      </c>
      <c r="D427">
        <v>10.32</v>
      </c>
      <c r="E427" t="s">
        <v>33</v>
      </c>
    </row>
    <row r="428" spans="1:5" x14ac:dyDescent="0.25">
      <c r="A428" t="s">
        <v>31</v>
      </c>
      <c r="B428">
        <v>0.28999999999999998</v>
      </c>
      <c r="C428" t="s">
        <v>32</v>
      </c>
      <c r="D428">
        <v>42.120000000000005</v>
      </c>
      <c r="E428" t="s">
        <v>32</v>
      </c>
    </row>
    <row r="429" spans="1:5" x14ac:dyDescent="0.25">
      <c r="A429" t="s">
        <v>31</v>
      </c>
      <c r="B429">
        <v>0.41449999999999998</v>
      </c>
      <c r="C429" t="s">
        <v>33</v>
      </c>
      <c r="D429">
        <v>14.375</v>
      </c>
      <c r="E429" t="s">
        <v>33</v>
      </c>
    </row>
    <row r="430" spans="1:5" x14ac:dyDescent="0.25">
      <c r="A430" t="s">
        <v>31</v>
      </c>
      <c r="B430">
        <v>0.169375</v>
      </c>
      <c r="C430" t="s">
        <v>33</v>
      </c>
      <c r="D430">
        <v>10.015000000000001</v>
      </c>
      <c r="E430" t="s">
        <v>33</v>
      </c>
    </row>
    <row r="431" spans="1:5" x14ac:dyDescent="0.25">
      <c r="A431" t="s">
        <v>31</v>
      </c>
      <c r="B431">
        <v>0.14199999999999999</v>
      </c>
      <c r="C431" t="s">
        <v>32</v>
      </c>
      <c r="D431">
        <v>4.5449999999999999</v>
      </c>
      <c r="E431" t="s">
        <v>33</v>
      </c>
    </row>
    <row r="432" spans="1:5" x14ac:dyDescent="0.25">
      <c r="A432" t="s">
        <v>31</v>
      </c>
      <c r="B432">
        <v>0.33679999999999999</v>
      </c>
      <c r="C432" t="s">
        <v>32</v>
      </c>
      <c r="D432">
        <v>56.155000000000001</v>
      </c>
      <c r="E432" t="s">
        <v>32</v>
      </c>
    </row>
    <row r="433" spans="1:5" x14ac:dyDescent="0.25">
      <c r="A433" t="s">
        <v>31</v>
      </c>
      <c r="B433">
        <v>5.541666666666667E-2</v>
      </c>
      <c r="C433" t="s">
        <v>32</v>
      </c>
      <c r="D433">
        <v>15.68</v>
      </c>
      <c r="E433" t="s">
        <v>33</v>
      </c>
    </row>
    <row r="434" spans="1:5" x14ac:dyDescent="0.25">
      <c r="A434" t="s">
        <v>31</v>
      </c>
      <c r="B434">
        <v>0.65799999999999992</v>
      </c>
      <c r="C434" t="s">
        <v>33</v>
      </c>
      <c r="D434">
        <v>25.11</v>
      </c>
      <c r="E434" t="s">
        <v>33</v>
      </c>
    </row>
    <row r="435" spans="1:5" x14ac:dyDescent="0.25">
      <c r="A435" t="s">
        <v>31</v>
      </c>
      <c r="B435">
        <v>0.20272727272727273</v>
      </c>
      <c r="C435" t="s">
        <v>32</v>
      </c>
      <c r="D435">
        <v>7.1050000000000004</v>
      </c>
      <c r="E435" t="s">
        <v>33</v>
      </c>
    </row>
    <row r="436" spans="1:5" x14ac:dyDescent="0.25">
      <c r="A436" t="s">
        <v>31</v>
      </c>
      <c r="B436">
        <v>0.80600000000000005</v>
      </c>
      <c r="C436" t="s">
        <v>33</v>
      </c>
      <c r="D436">
        <v>24.65</v>
      </c>
      <c r="E436" t="s">
        <v>33</v>
      </c>
    </row>
    <row r="437" spans="1:5" x14ac:dyDescent="0.25">
      <c r="A437" t="s">
        <v>31</v>
      </c>
      <c r="B437">
        <v>0.53857142857142859</v>
      </c>
      <c r="C437" t="s">
        <v>33</v>
      </c>
      <c r="D437">
        <v>19.965</v>
      </c>
      <c r="E437" t="s">
        <v>33</v>
      </c>
    </row>
    <row r="438" spans="1:5" x14ac:dyDescent="0.25">
      <c r="A438" t="s">
        <v>31</v>
      </c>
      <c r="B438">
        <v>0.16833333333333333</v>
      </c>
      <c r="C438" t="s">
        <v>32</v>
      </c>
      <c r="D438">
        <v>26.119999999999997</v>
      </c>
      <c r="E438" t="s">
        <v>33</v>
      </c>
    </row>
    <row r="439" spans="1:5" x14ac:dyDescent="0.25">
      <c r="A439" t="s">
        <v>31</v>
      </c>
      <c r="B439">
        <v>0.84250000000000003</v>
      </c>
      <c r="C439" t="s">
        <v>32</v>
      </c>
      <c r="D439">
        <v>10.555</v>
      </c>
      <c r="E439" t="s">
        <v>33</v>
      </c>
    </row>
    <row r="440" spans="1:5" x14ac:dyDescent="0.25">
      <c r="A440" t="s">
        <v>31</v>
      </c>
      <c r="B440">
        <v>0.12571428571428572</v>
      </c>
      <c r="C440" t="s">
        <v>33</v>
      </c>
      <c r="D440">
        <v>10.58</v>
      </c>
      <c r="E440" t="s">
        <v>33</v>
      </c>
    </row>
    <row r="441" spans="1:5" x14ac:dyDescent="0.25">
      <c r="A441" t="s">
        <v>31</v>
      </c>
      <c r="B441">
        <v>0.18000000000000002</v>
      </c>
      <c r="C441" t="s">
        <v>32</v>
      </c>
      <c r="D441">
        <v>14.984999999999999</v>
      </c>
      <c r="E441" t="s">
        <v>33</v>
      </c>
    </row>
    <row r="442" spans="1:5" x14ac:dyDescent="0.25">
      <c r="A442" t="s">
        <v>31</v>
      </c>
      <c r="B442">
        <v>0.28428571428571431</v>
      </c>
      <c r="C442" t="s">
        <v>33</v>
      </c>
      <c r="D442">
        <v>14.625</v>
      </c>
      <c r="E442" t="s">
        <v>33</v>
      </c>
    </row>
    <row r="443" spans="1:5" x14ac:dyDescent="0.25">
      <c r="A443" t="s">
        <v>31</v>
      </c>
      <c r="B443">
        <v>0.71</v>
      </c>
      <c r="C443" t="s">
        <v>33</v>
      </c>
      <c r="D443">
        <v>16.145</v>
      </c>
      <c r="E443" t="s">
        <v>33</v>
      </c>
    </row>
    <row r="444" spans="1:5" x14ac:dyDescent="0.25">
      <c r="A444" t="s">
        <v>31</v>
      </c>
      <c r="B444">
        <v>0.42789473684210533</v>
      </c>
      <c r="C444" t="s">
        <v>33</v>
      </c>
      <c r="D444">
        <v>38.369999999999997</v>
      </c>
      <c r="E444" t="s">
        <v>32</v>
      </c>
    </row>
    <row r="445" spans="1:5" x14ac:dyDescent="0.25">
      <c r="A445" t="s">
        <v>31</v>
      </c>
      <c r="B445">
        <v>0.41772727272727272</v>
      </c>
      <c r="C445" t="s">
        <v>32</v>
      </c>
      <c r="D445">
        <v>37.86</v>
      </c>
      <c r="E445" t="s">
        <v>32</v>
      </c>
    </row>
    <row r="446" spans="1:5" x14ac:dyDescent="0.25">
      <c r="A446" t="s">
        <v>31</v>
      </c>
      <c r="B446">
        <v>0.19777777777777777</v>
      </c>
      <c r="C446" t="s">
        <v>33</v>
      </c>
      <c r="D446">
        <v>17.630000000000003</v>
      </c>
      <c r="E446" t="s">
        <v>33</v>
      </c>
    </row>
    <row r="447" spans="1:5" x14ac:dyDescent="0.25">
      <c r="A447" t="s">
        <v>31</v>
      </c>
      <c r="B447">
        <v>0.3705</v>
      </c>
      <c r="C447" t="s">
        <v>33</v>
      </c>
      <c r="D447">
        <v>16.39</v>
      </c>
      <c r="E447" t="s">
        <v>33</v>
      </c>
    </row>
    <row r="448" spans="1:5" x14ac:dyDescent="0.25">
      <c r="A448" t="s">
        <v>31</v>
      </c>
      <c r="B448">
        <v>1.385</v>
      </c>
      <c r="C448" t="s">
        <v>33</v>
      </c>
      <c r="D448">
        <v>38.92</v>
      </c>
      <c r="E448" t="s">
        <v>32</v>
      </c>
    </row>
    <row r="449" spans="1:5" x14ac:dyDescent="0.25">
      <c r="A449" t="s">
        <v>31</v>
      </c>
      <c r="B449">
        <v>0.4070833333333333</v>
      </c>
      <c r="C449" t="s">
        <v>33</v>
      </c>
      <c r="D449">
        <v>26.585000000000001</v>
      </c>
      <c r="E449" t="s">
        <v>33</v>
      </c>
    </row>
    <row r="450" spans="1:5" x14ac:dyDescent="0.25">
      <c r="A450" t="s">
        <v>31</v>
      </c>
      <c r="B450">
        <v>0.21200000000000002</v>
      </c>
      <c r="C450" t="s">
        <v>33</v>
      </c>
      <c r="D450">
        <v>15.22</v>
      </c>
      <c r="E450" t="s">
        <v>33</v>
      </c>
    </row>
    <row r="451" spans="1:5" x14ac:dyDescent="0.25">
      <c r="A451" t="s">
        <v>31</v>
      </c>
      <c r="B451">
        <v>0.13500000000000001</v>
      </c>
      <c r="C451" t="s">
        <v>33</v>
      </c>
      <c r="D451">
        <v>26.240000000000002</v>
      </c>
      <c r="E451" t="s">
        <v>33</v>
      </c>
    </row>
    <row r="452" spans="1:5" x14ac:dyDescent="0.25">
      <c r="A452" t="s">
        <v>31</v>
      </c>
      <c r="B452">
        <v>0.30588235294117649</v>
      </c>
      <c r="C452" t="s">
        <v>33</v>
      </c>
      <c r="D452">
        <v>35.384999999999998</v>
      </c>
      <c r="E452" t="s">
        <v>32</v>
      </c>
    </row>
    <row r="453" spans="1:5" x14ac:dyDescent="0.25">
      <c r="A453" t="s">
        <v>31</v>
      </c>
      <c r="B453">
        <v>3.4782608695652174E-2</v>
      </c>
      <c r="C453" t="s">
        <v>32</v>
      </c>
      <c r="D453">
        <v>9.2200000000000006</v>
      </c>
      <c r="E453" t="s">
        <v>33</v>
      </c>
    </row>
    <row r="454" spans="1:5" x14ac:dyDescent="0.25">
      <c r="A454" t="s">
        <v>31</v>
      </c>
      <c r="B454">
        <v>0.34833333333333333</v>
      </c>
      <c r="C454" t="s">
        <v>33</v>
      </c>
      <c r="D454">
        <v>5.7899999999999991</v>
      </c>
      <c r="E454" t="s">
        <v>33</v>
      </c>
    </row>
    <row r="455" spans="1:5" x14ac:dyDescent="0.25">
      <c r="A455" t="s">
        <v>31</v>
      </c>
      <c r="B455">
        <v>0.72230769230769232</v>
      </c>
      <c r="C455" t="s">
        <v>33</v>
      </c>
      <c r="D455">
        <v>59.084999999999994</v>
      </c>
      <c r="E455" t="s">
        <v>32</v>
      </c>
    </row>
    <row r="456" spans="1:5" x14ac:dyDescent="0.25">
      <c r="A456" t="s">
        <v>31</v>
      </c>
      <c r="B456">
        <v>1.2042857142857142</v>
      </c>
      <c r="C456" t="s">
        <v>33</v>
      </c>
      <c r="D456">
        <v>53.275000000000006</v>
      </c>
      <c r="E456" t="s">
        <v>32</v>
      </c>
    </row>
    <row r="457" spans="1:5" x14ac:dyDescent="0.25">
      <c r="A457" t="s">
        <v>31</v>
      </c>
      <c r="B457">
        <v>2.6633333333333336</v>
      </c>
      <c r="C457" t="s">
        <v>33</v>
      </c>
      <c r="D457">
        <v>49.81</v>
      </c>
      <c r="E457" t="s">
        <v>32</v>
      </c>
    </row>
    <row r="458" spans="1:5" x14ac:dyDescent="0.25">
      <c r="A458" t="s">
        <v>31</v>
      </c>
      <c r="B458">
        <v>0.27727272727272728</v>
      </c>
      <c r="C458" t="s">
        <v>33</v>
      </c>
      <c r="D458">
        <v>29.29</v>
      </c>
      <c r="E458" t="s">
        <v>33</v>
      </c>
    </row>
    <row r="459" spans="1:5" x14ac:dyDescent="0.25">
      <c r="A459" t="s">
        <v>31</v>
      </c>
      <c r="B459">
        <v>0.38863636363636367</v>
      </c>
      <c r="C459" t="s">
        <v>33</v>
      </c>
      <c r="D459">
        <v>47.685000000000002</v>
      </c>
      <c r="E459" t="s">
        <v>32</v>
      </c>
    </row>
    <row r="460" spans="1:5" x14ac:dyDescent="0.25">
      <c r="A460" t="s">
        <v>31</v>
      </c>
      <c r="B460">
        <v>0.22166666666666668</v>
      </c>
      <c r="C460" t="s">
        <v>32</v>
      </c>
      <c r="D460">
        <v>19.845000000000002</v>
      </c>
      <c r="E460" t="s">
        <v>33</v>
      </c>
    </row>
    <row r="461" spans="1:5" x14ac:dyDescent="0.25">
      <c r="A461" t="s">
        <v>31</v>
      </c>
      <c r="B461">
        <v>0.43</v>
      </c>
      <c r="C461" t="s">
        <v>32</v>
      </c>
      <c r="D461">
        <v>7.5600000000000005</v>
      </c>
      <c r="E461" t="s">
        <v>33</v>
      </c>
    </row>
    <row r="462" spans="1:5" x14ac:dyDescent="0.25">
      <c r="A462" t="s">
        <v>31</v>
      </c>
      <c r="B462">
        <v>1.19</v>
      </c>
      <c r="C462" t="s">
        <v>33</v>
      </c>
      <c r="D462">
        <v>27.119999999999997</v>
      </c>
      <c r="E462" t="s">
        <v>33</v>
      </c>
    </row>
    <row r="463" spans="1:5" x14ac:dyDescent="0.25">
      <c r="A463" t="s">
        <v>31</v>
      </c>
      <c r="B463">
        <v>1.5716666666666665</v>
      </c>
      <c r="C463" t="s">
        <v>33</v>
      </c>
      <c r="D463">
        <v>17.515000000000001</v>
      </c>
      <c r="E463" t="s">
        <v>33</v>
      </c>
    </row>
    <row r="464" spans="1:5" x14ac:dyDescent="0.25">
      <c r="A464" t="s">
        <v>31</v>
      </c>
      <c r="B464">
        <v>9.75</v>
      </c>
      <c r="C464" t="s">
        <v>33</v>
      </c>
      <c r="D464">
        <v>18.064999999999998</v>
      </c>
      <c r="E464" t="s">
        <v>33</v>
      </c>
    </row>
    <row r="465" spans="1:5" x14ac:dyDescent="0.25">
      <c r="A465" t="s">
        <v>31</v>
      </c>
      <c r="B465">
        <v>1.6363636363636361E-2</v>
      </c>
      <c r="C465" t="s">
        <v>33</v>
      </c>
      <c r="D465">
        <v>5.24</v>
      </c>
      <c r="E465" t="s">
        <v>33</v>
      </c>
    </row>
    <row r="466" spans="1:5" x14ac:dyDescent="0.25">
      <c r="A466" t="s">
        <v>31</v>
      </c>
      <c r="B466">
        <v>0.47111111111111115</v>
      </c>
      <c r="C466" t="s">
        <v>33</v>
      </c>
      <c r="D466">
        <v>19.605</v>
      </c>
      <c r="E466" t="s">
        <v>33</v>
      </c>
    </row>
    <row r="467" spans="1:5" x14ac:dyDescent="0.25">
      <c r="A467" t="s">
        <v>31</v>
      </c>
      <c r="B467">
        <v>0.22190476190476191</v>
      </c>
      <c r="C467" t="s">
        <v>32</v>
      </c>
      <c r="D467">
        <v>25.62</v>
      </c>
      <c r="E467" t="s">
        <v>33</v>
      </c>
    </row>
    <row r="468" spans="1:5" x14ac:dyDescent="0.25">
      <c r="A468" t="s">
        <v>31</v>
      </c>
      <c r="B468">
        <v>2.7142857142857142E-2</v>
      </c>
      <c r="C468" t="s">
        <v>33</v>
      </c>
      <c r="D468">
        <v>7.5250000000000004</v>
      </c>
      <c r="E468" t="s">
        <v>33</v>
      </c>
    </row>
    <row r="469" spans="1:5" x14ac:dyDescent="0.25">
      <c r="A469" t="s">
        <v>31</v>
      </c>
      <c r="B469">
        <v>3.5833333333333335E-2</v>
      </c>
      <c r="C469" t="s">
        <v>33</v>
      </c>
      <c r="D469">
        <v>6.3900000000000006</v>
      </c>
      <c r="E469" t="s">
        <v>33</v>
      </c>
    </row>
    <row r="470" spans="1:5" x14ac:dyDescent="0.25">
      <c r="A470" t="s">
        <v>31</v>
      </c>
      <c r="B470">
        <v>0.48684210526315791</v>
      </c>
      <c r="C470" t="s">
        <v>33</v>
      </c>
      <c r="D470">
        <v>53.739999999999995</v>
      </c>
      <c r="E470" t="s">
        <v>32</v>
      </c>
    </row>
    <row r="471" spans="1:5" x14ac:dyDescent="0.25">
      <c r="A471" t="s">
        <v>31</v>
      </c>
      <c r="B471">
        <v>1.1000000000000001</v>
      </c>
      <c r="C471" t="s">
        <v>33</v>
      </c>
      <c r="D471">
        <v>20.765000000000001</v>
      </c>
      <c r="E471" t="s">
        <v>33</v>
      </c>
    </row>
    <row r="472" spans="1:5" x14ac:dyDescent="0.25">
      <c r="A472" t="s">
        <v>31</v>
      </c>
      <c r="B472">
        <v>0.20555555555555557</v>
      </c>
      <c r="C472" t="s">
        <v>33</v>
      </c>
      <c r="D472">
        <v>16.835000000000001</v>
      </c>
      <c r="E472" t="s">
        <v>33</v>
      </c>
    </row>
    <row r="473" spans="1:5" x14ac:dyDescent="0.25">
      <c r="A473" t="s">
        <v>31</v>
      </c>
      <c r="B473">
        <v>1.1033333333333333</v>
      </c>
      <c r="C473" t="s">
        <v>33</v>
      </c>
      <c r="D473">
        <v>35.094999999999999</v>
      </c>
      <c r="E473" t="s">
        <v>32</v>
      </c>
    </row>
    <row r="474" spans="1:5" x14ac:dyDescent="0.25">
      <c r="A474" t="s">
        <v>31</v>
      </c>
      <c r="B474">
        <v>0.71923076923076923</v>
      </c>
      <c r="C474" t="s">
        <v>33</v>
      </c>
      <c r="D474">
        <v>16.489999999999998</v>
      </c>
      <c r="E474" t="s">
        <v>33</v>
      </c>
    </row>
    <row r="475" spans="1:5" x14ac:dyDescent="0.25">
      <c r="A475" t="s">
        <v>31</v>
      </c>
      <c r="B475">
        <v>0.1542857142857143</v>
      </c>
      <c r="C475" t="s">
        <v>33</v>
      </c>
      <c r="D475">
        <v>7.48</v>
      </c>
      <c r="E475" t="s">
        <v>33</v>
      </c>
    </row>
    <row r="476" spans="1:5" x14ac:dyDescent="0.25">
      <c r="A476" t="s">
        <v>31</v>
      </c>
      <c r="B476">
        <v>0.14705882352941177</v>
      </c>
      <c r="C476" t="s">
        <v>33</v>
      </c>
      <c r="D476">
        <v>20.48</v>
      </c>
      <c r="E476" t="s">
        <v>33</v>
      </c>
    </row>
    <row r="477" spans="1:5" x14ac:dyDescent="0.25">
      <c r="A477" t="s">
        <v>31</v>
      </c>
      <c r="B477">
        <v>1.1714285714285713</v>
      </c>
      <c r="C477" t="s">
        <v>33</v>
      </c>
      <c r="D477">
        <v>23.615000000000002</v>
      </c>
      <c r="E477" t="s">
        <v>33</v>
      </c>
    </row>
    <row r="478" spans="1:5" x14ac:dyDescent="0.25">
      <c r="A478" t="s">
        <v>31</v>
      </c>
      <c r="B478">
        <v>0.52200000000000002</v>
      </c>
      <c r="C478" t="s">
        <v>32</v>
      </c>
      <c r="D478">
        <v>15.105</v>
      </c>
      <c r="E478" t="s">
        <v>33</v>
      </c>
    </row>
    <row r="479" spans="1:5" x14ac:dyDescent="0.25">
      <c r="A479" t="s">
        <v>31</v>
      </c>
      <c r="B479">
        <v>0.22588235294117645</v>
      </c>
      <c r="C479" t="s">
        <v>33</v>
      </c>
      <c r="D479">
        <v>30.365000000000002</v>
      </c>
      <c r="E479" t="s">
        <v>32</v>
      </c>
    </row>
    <row r="480" spans="1:5" x14ac:dyDescent="0.25">
      <c r="A480" t="s">
        <v>31</v>
      </c>
      <c r="B480">
        <v>5.6000000000000008E-2</v>
      </c>
      <c r="C480" t="s">
        <v>33</v>
      </c>
      <c r="D480">
        <v>10.89</v>
      </c>
      <c r="E480" t="s">
        <v>33</v>
      </c>
    </row>
    <row r="481" spans="1:5" x14ac:dyDescent="0.25">
      <c r="A481" t="s">
        <v>31</v>
      </c>
      <c r="B481">
        <v>0.32040000000000002</v>
      </c>
      <c r="C481" t="s">
        <v>32</v>
      </c>
      <c r="D481">
        <v>35.935000000000002</v>
      </c>
      <c r="E481" t="s">
        <v>32</v>
      </c>
    </row>
    <row r="482" spans="1:5" x14ac:dyDescent="0.25">
      <c r="A482" t="s">
        <v>31</v>
      </c>
      <c r="B482">
        <v>5.0000000000000001E-3</v>
      </c>
      <c r="C482" t="s">
        <v>33</v>
      </c>
      <c r="D482">
        <v>7.2449999999999992</v>
      </c>
      <c r="E482" t="s">
        <v>33</v>
      </c>
    </row>
    <row r="483" spans="1:5" x14ac:dyDescent="0.25">
      <c r="A483" t="s">
        <v>31</v>
      </c>
      <c r="B483">
        <v>0.19500000000000001</v>
      </c>
      <c r="C483" t="s">
        <v>33</v>
      </c>
      <c r="D483">
        <v>24.200000000000003</v>
      </c>
      <c r="E483" t="s">
        <v>33</v>
      </c>
    </row>
    <row r="484" spans="1:5" x14ac:dyDescent="0.25">
      <c r="A484" t="s">
        <v>31</v>
      </c>
      <c r="B484">
        <v>0.11272727272727273</v>
      </c>
      <c r="C484" t="s">
        <v>33</v>
      </c>
      <c r="D484">
        <v>16.594999999999999</v>
      </c>
      <c r="E484" t="s">
        <v>33</v>
      </c>
    </row>
    <row r="485" spans="1:5" x14ac:dyDescent="0.25">
      <c r="A485" t="s">
        <v>31</v>
      </c>
      <c r="B485">
        <v>0.25739130434782609</v>
      </c>
      <c r="C485" t="s">
        <v>33</v>
      </c>
      <c r="D485">
        <v>36.700000000000003</v>
      </c>
      <c r="E485" t="s">
        <v>32</v>
      </c>
    </row>
    <row r="486" spans="1:5" x14ac:dyDescent="0.25">
      <c r="A486" t="s">
        <v>31</v>
      </c>
      <c r="B486">
        <v>1.6190476190476193E-2</v>
      </c>
      <c r="C486" t="s">
        <v>33</v>
      </c>
      <c r="D486">
        <v>6.9550000000000001</v>
      </c>
      <c r="E486" t="s">
        <v>33</v>
      </c>
    </row>
    <row r="487" spans="1:5" x14ac:dyDescent="0.25">
      <c r="A487" t="s">
        <v>31</v>
      </c>
      <c r="B487">
        <v>8.199999999999999E-2</v>
      </c>
      <c r="C487" t="s">
        <v>33</v>
      </c>
      <c r="D487">
        <v>8.41</v>
      </c>
      <c r="E487" t="s">
        <v>33</v>
      </c>
    </row>
    <row r="488" spans="1:5" x14ac:dyDescent="0.25">
      <c r="A488" t="s">
        <v>31</v>
      </c>
      <c r="B488">
        <v>0.31227272727272726</v>
      </c>
      <c r="C488" t="s">
        <v>33</v>
      </c>
      <c r="D488">
        <v>19.914999999999999</v>
      </c>
      <c r="E488" t="s">
        <v>33</v>
      </c>
    </row>
    <row r="489" spans="1:5" x14ac:dyDescent="0.25">
      <c r="A489" t="s">
        <v>31</v>
      </c>
      <c r="B489">
        <v>0.3947619047619047</v>
      </c>
      <c r="C489" t="s">
        <v>33</v>
      </c>
      <c r="D489">
        <v>35.690000000000005</v>
      </c>
      <c r="E489" t="s">
        <v>32</v>
      </c>
    </row>
    <row r="490" spans="1:5" x14ac:dyDescent="0.25">
      <c r="A490" t="s">
        <v>31</v>
      </c>
      <c r="B490">
        <v>0.31900000000000001</v>
      </c>
      <c r="C490" t="s">
        <v>33</v>
      </c>
      <c r="D490">
        <v>20.814999999999998</v>
      </c>
      <c r="E490" t="s">
        <v>33</v>
      </c>
    </row>
    <row r="491" spans="1:5" x14ac:dyDescent="0.25">
      <c r="A491" t="s">
        <v>31</v>
      </c>
      <c r="B491">
        <v>0.34499999999999997</v>
      </c>
      <c r="C491" t="s">
        <v>33</v>
      </c>
      <c r="D491">
        <v>49.74</v>
      </c>
      <c r="E491" t="s">
        <v>32</v>
      </c>
    </row>
    <row r="492" spans="1:5" x14ac:dyDescent="0.25">
      <c r="A492" t="s">
        <v>31</v>
      </c>
      <c r="B492">
        <v>0.10880000000000001</v>
      </c>
      <c r="C492" t="s">
        <v>33</v>
      </c>
      <c r="D492">
        <v>22.66</v>
      </c>
      <c r="E492" t="s">
        <v>33</v>
      </c>
    </row>
    <row r="493" spans="1:5" x14ac:dyDescent="0.25">
      <c r="A493" t="s">
        <v>31</v>
      </c>
      <c r="B493">
        <v>3.5454545454545454E-2</v>
      </c>
      <c r="C493" t="s">
        <v>32</v>
      </c>
      <c r="D493">
        <v>9.69</v>
      </c>
      <c r="E493" t="s">
        <v>33</v>
      </c>
    </row>
    <row r="494" spans="1:5" x14ac:dyDescent="0.25">
      <c r="A494" t="s">
        <v>31</v>
      </c>
      <c r="B494">
        <v>0.97</v>
      </c>
      <c r="C494" t="s">
        <v>33</v>
      </c>
      <c r="D494">
        <v>25.97</v>
      </c>
      <c r="E494" t="s">
        <v>33</v>
      </c>
    </row>
    <row r="495" spans="1:5" x14ac:dyDescent="0.25">
      <c r="A495" t="s">
        <v>31</v>
      </c>
      <c r="B495">
        <v>0.85</v>
      </c>
      <c r="C495" t="s">
        <v>33</v>
      </c>
      <c r="D495">
        <v>4.0449999999999999</v>
      </c>
      <c r="E495" t="s">
        <v>33</v>
      </c>
    </row>
    <row r="496" spans="1:5" x14ac:dyDescent="0.25">
      <c r="A496" t="s">
        <v>31</v>
      </c>
      <c r="B496">
        <v>0.63363636363636366</v>
      </c>
      <c r="C496" t="s">
        <v>33</v>
      </c>
      <c r="D496">
        <v>15.62</v>
      </c>
      <c r="E496" t="s">
        <v>33</v>
      </c>
    </row>
    <row r="497" spans="1:5" x14ac:dyDescent="0.25">
      <c r="A497" t="s">
        <v>31</v>
      </c>
      <c r="B497">
        <v>2.6666666666666668E-2</v>
      </c>
      <c r="C497" t="s">
        <v>32</v>
      </c>
      <c r="D497">
        <v>10.83</v>
      </c>
      <c r="E497" t="s">
        <v>33</v>
      </c>
    </row>
    <row r="498" spans="1:5" x14ac:dyDescent="0.25">
      <c r="A498" t="s">
        <v>31</v>
      </c>
      <c r="B498">
        <v>3.56</v>
      </c>
      <c r="C498" t="s">
        <v>33</v>
      </c>
      <c r="D498">
        <v>23.205000000000002</v>
      </c>
      <c r="E498" t="s">
        <v>33</v>
      </c>
    </row>
    <row r="499" spans="1:5" x14ac:dyDescent="0.25">
      <c r="A499" t="s">
        <v>31</v>
      </c>
      <c r="B499">
        <v>5.6666666666666664E-2</v>
      </c>
      <c r="C499" t="s">
        <v>32</v>
      </c>
      <c r="D499">
        <v>3.2800000000000002</v>
      </c>
      <c r="E499" t="s">
        <v>33</v>
      </c>
    </row>
    <row r="500" spans="1:5" x14ac:dyDescent="0.25">
      <c r="A500" t="s">
        <v>31</v>
      </c>
      <c r="B500">
        <v>0.14318181818181819</v>
      </c>
      <c r="C500" t="s">
        <v>32</v>
      </c>
      <c r="D500">
        <v>8.379999999999999</v>
      </c>
      <c r="E500" t="s">
        <v>33</v>
      </c>
    </row>
    <row r="501" spans="1:5" x14ac:dyDescent="0.25">
      <c r="A501" t="s">
        <v>31</v>
      </c>
      <c r="B501">
        <v>8.8333333333333333E-2</v>
      </c>
      <c r="C501" t="s">
        <v>33</v>
      </c>
      <c r="D501">
        <v>12.754999999999999</v>
      </c>
      <c r="E501" t="s">
        <v>33</v>
      </c>
    </row>
    <row r="502" spans="1:5" x14ac:dyDescent="0.25">
      <c r="A502" t="s">
        <v>31</v>
      </c>
      <c r="B502">
        <v>0.78700000000000003</v>
      </c>
      <c r="C502" t="s">
        <v>33</v>
      </c>
      <c r="D502">
        <v>14.195</v>
      </c>
      <c r="E502" t="s">
        <v>33</v>
      </c>
    </row>
    <row r="503" spans="1:5" x14ac:dyDescent="0.25">
      <c r="A503" t="s">
        <v>31</v>
      </c>
      <c r="B503">
        <v>0.20615384615384616</v>
      </c>
      <c r="C503" t="s">
        <v>33</v>
      </c>
      <c r="D503">
        <v>14.594999999999999</v>
      </c>
      <c r="E503" t="s">
        <v>33</v>
      </c>
    </row>
    <row r="504" spans="1:5" x14ac:dyDescent="0.25">
      <c r="A504" t="s">
        <v>31</v>
      </c>
      <c r="B504">
        <v>1.1599999999999999</v>
      </c>
      <c r="C504" t="s">
        <v>33</v>
      </c>
      <c r="D504">
        <v>7.5249999999999995</v>
      </c>
      <c r="E504" t="s">
        <v>33</v>
      </c>
    </row>
    <row r="505" spans="1:5" x14ac:dyDescent="0.25">
      <c r="A505" t="s">
        <v>31</v>
      </c>
      <c r="B505">
        <v>0.41500000000000004</v>
      </c>
      <c r="C505" t="s">
        <v>33</v>
      </c>
      <c r="D505">
        <v>33.21</v>
      </c>
      <c r="E505" t="s">
        <v>32</v>
      </c>
    </row>
    <row r="506" spans="1:5" x14ac:dyDescent="0.25">
      <c r="A506" t="s">
        <v>31</v>
      </c>
      <c r="B506">
        <v>4.5454545454545461E-3</v>
      </c>
      <c r="C506" t="s">
        <v>33</v>
      </c>
      <c r="D506">
        <v>2.6550000000000002</v>
      </c>
      <c r="E506" t="s">
        <v>33</v>
      </c>
    </row>
    <row r="507" spans="1:5" x14ac:dyDescent="0.25">
      <c r="A507" t="s">
        <v>31</v>
      </c>
      <c r="B507">
        <v>1.9950000000000001</v>
      </c>
      <c r="C507" t="s">
        <v>33</v>
      </c>
      <c r="D507">
        <v>16.965</v>
      </c>
      <c r="E507" t="s">
        <v>33</v>
      </c>
    </row>
    <row r="508" spans="1:5" x14ac:dyDescent="0.25">
      <c r="A508" t="s">
        <v>31</v>
      </c>
      <c r="B508">
        <v>3.6999999999999998E-2</v>
      </c>
      <c r="C508" t="s">
        <v>32</v>
      </c>
      <c r="D508">
        <v>9.4150000000000009</v>
      </c>
      <c r="E508" t="s">
        <v>33</v>
      </c>
    </row>
    <row r="509" spans="1:5" x14ac:dyDescent="0.25">
      <c r="A509" t="s">
        <v>31</v>
      </c>
      <c r="B509">
        <v>0.33357142857142857</v>
      </c>
      <c r="C509" t="s">
        <v>33</v>
      </c>
      <c r="D509">
        <v>37.545000000000002</v>
      </c>
      <c r="E509" t="s">
        <v>32</v>
      </c>
    </row>
    <row r="510" spans="1:5" x14ac:dyDescent="0.25">
      <c r="A510" t="s">
        <v>31</v>
      </c>
      <c r="B510">
        <v>0.2961111111111111</v>
      </c>
      <c r="C510" t="s">
        <v>33</v>
      </c>
      <c r="D510">
        <v>13.669999999999998</v>
      </c>
      <c r="E510" t="s">
        <v>33</v>
      </c>
    </row>
    <row r="511" spans="1:5" x14ac:dyDescent="0.25">
      <c r="A511" t="s">
        <v>31</v>
      </c>
      <c r="B511">
        <v>0.72692307692307689</v>
      </c>
      <c r="C511" t="s">
        <v>33</v>
      </c>
      <c r="D511">
        <v>35.92</v>
      </c>
      <c r="E511" t="s">
        <v>32</v>
      </c>
    </row>
    <row r="512" spans="1:5" x14ac:dyDescent="0.25">
      <c r="A512" t="s">
        <v>31</v>
      </c>
      <c r="B512">
        <v>0.38565217391304346</v>
      </c>
      <c r="C512" t="s">
        <v>33</v>
      </c>
      <c r="D512">
        <v>25.85</v>
      </c>
      <c r="E512" t="s">
        <v>33</v>
      </c>
    </row>
    <row r="513" spans="1:5" x14ac:dyDescent="0.25">
      <c r="A513" t="s">
        <v>31</v>
      </c>
      <c r="B513">
        <v>0.68777777777777782</v>
      </c>
      <c r="C513" t="s">
        <v>33</v>
      </c>
      <c r="D513">
        <v>24.555</v>
      </c>
      <c r="E513" t="s">
        <v>33</v>
      </c>
    </row>
    <row r="514" spans="1:5" x14ac:dyDescent="0.25">
      <c r="A514" t="s">
        <v>31</v>
      </c>
      <c r="B514">
        <v>0.38800000000000001</v>
      </c>
      <c r="C514" t="s">
        <v>33</v>
      </c>
      <c r="D514">
        <v>29</v>
      </c>
      <c r="E514" t="s">
        <v>33</v>
      </c>
    </row>
    <row r="515" spans="1:5" x14ac:dyDescent="0.25">
      <c r="A515" t="s">
        <v>31</v>
      </c>
      <c r="B515">
        <v>0.40250000000000002</v>
      </c>
      <c r="C515" t="s">
        <v>33</v>
      </c>
      <c r="D515">
        <v>10.754999999999999</v>
      </c>
      <c r="E515" t="s">
        <v>33</v>
      </c>
    </row>
    <row r="516" spans="1:5" x14ac:dyDescent="0.25">
      <c r="A516" t="s">
        <v>31</v>
      </c>
      <c r="B516">
        <v>1.08</v>
      </c>
      <c r="C516" t="s">
        <v>33</v>
      </c>
      <c r="D516">
        <v>26.455000000000002</v>
      </c>
      <c r="E516" t="s">
        <v>33</v>
      </c>
    </row>
    <row r="517" spans="1:5" x14ac:dyDescent="0.25">
      <c r="A517" t="s">
        <v>31</v>
      </c>
      <c r="B517">
        <v>0.22666666666666668</v>
      </c>
      <c r="C517" t="s">
        <v>33</v>
      </c>
      <c r="D517">
        <v>44.615000000000002</v>
      </c>
      <c r="E517" t="s">
        <v>32</v>
      </c>
    </row>
    <row r="518" spans="1:5" x14ac:dyDescent="0.25">
      <c r="A518" t="s">
        <v>31</v>
      </c>
      <c r="B518">
        <v>0.13375000000000001</v>
      </c>
      <c r="C518" t="s">
        <v>32</v>
      </c>
      <c r="D518">
        <v>15.27</v>
      </c>
      <c r="E518" t="s">
        <v>33</v>
      </c>
    </row>
    <row r="519" spans="1:5" x14ac:dyDescent="0.25">
      <c r="A519" t="s">
        <v>31</v>
      </c>
      <c r="B519">
        <v>2.3333333333333335</v>
      </c>
      <c r="C519" t="s">
        <v>32</v>
      </c>
      <c r="D519">
        <v>16.990000000000002</v>
      </c>
      <c r="E519" t="s">
        <v>33</v>
      </c>
    </row>
    <row r="520" spans="1:5" x14ac:dyDescent="0.25">
      <c r="A520" t="s">
        <v>31</v>
      </c>
      <c r="B520">
        <v>0.65066666666666662</v>
      </c>
      <c r="C520" t="s">
        <v>33</v>
      </c>
      <c r="D520">
        <v>33.274999999999999</v>
      </c>
      <c r="E520" t="s">
        <v>32</v>
      </c>
    </row>
    <row r="521" spans="1:5" x14ac:dyDescent="0.25">
      <c r="A521" t="s">
        <v>31</v>
      </c>
      <c r="B521">
        <v>0.1535</v>
      </c>
      <c r="C521" t="s">
        <v>33</v>
      </c>
      <c r="D521">
        <v>19.155000000000001</v>
      </c>
      <c r="E521" t="s">
        <v>33</v>
      </c>
    </row>
    <row r="522" spans="1:5" x14ac:dyDescent="0.25">
      <c r="A522" t="s">
        <v>31</v>
      </c>
      <c r="B522">
        <v>4.7619047619047619E-4</v>
      </c>
      <c r="C522" t="s">
        <v>33</v>
      </c>
      <c r="D522">
        <v>3.375</v>
      </c>
      <c r="E522" t="s">
        <v>33</v>
      </c>
    </row>
    <row r="523" spans="1:5" x14ac:dyDescent="0.25">
      <c r="A523" t="s">
        <v>31</v>
      </c>
      <c r="B523">
        <v>0.45294117647058824</v>
      </c>
      <c r="C523" t="s">
        <v>33</v>
      </c>
      <c r="D523">
        <v>16.225000000000001</v>
      </c>
      <c r="E523" t="s">
        <v>33</v>
      </c>
    </row>
    <row r="524" spans="1:5" x14ac:dyDescent="0.25">
      <c r="A524" t="s">
        <v>31</v>
      </c>
      <c r="B524">
        <v>0.46500000000000002</v>
      </c>
      <c r="C524" t="s">
        <v>33</v>
      </c>
      <c r="D524">
        <v>14.695</v>
      </c>
      <c r="E524" t="s">
        <v>33</v>
      </c>
    </row>
    <row r="525" spans="1:5" x14ac:dyDescent="0.25">
      <c r="A525" t="s">
        <v>31</v>
      </c>
      <c r="B525">
        <v>5.3000000000000005E-2</v>
      </c>
      <c r="C525" t="s">
        <v>33</v>
      </c>
      <c r="D525">
        <v>7.5600000000000005</v>
      </c>
      <c r="E525" t="s">
        <v>33</v>
      </c>
    </row>
    <row r="526" spans="1:5" x14ac:dyDescent="0.25">
      <c r="A526" t="s">
        <v>31</v>
      </c>
      <c r="B526">
        <v>1</v>
      </c>
      <c r="C526" t="s">
        <v>33</v>
      </c>
      <c r="D526">
        <v>26.97</v>
      </c>
      <c r="E526" t="s">
        <v>33</v>
      </c>
    </row>
    <row r="527" spans="1:5" x14ac:dyDescent="0.25">
      <c r="A527" t="s">
        <v>31</v>
      </c>
      <c r="B527">
        <v>0.32416666666666666</v>
      </c>
      <c r="C527" t="s">
        <v>33</v>
      </c>
      <c r="D527">
        <v>38.57</v>
      </c>
      <c r="E527" t="s">
        <v>32</v>
      </c>
    </row>
    <row r="528" spans="1:5" x14ac:dyDescent="0.25">
      <c r="A528" t="s">
        <v>31</v>
      </c>
      <c r="B528">
        <v>0.89500000000000002</v>
      </c>
      <c r="C528" t="s">
        <v>33</v>
      </c>
      <c r="D528">
        <v>12.649999999999999</v>
      </c>
      <c r="E528" t="s">
        <v>33</v>
      </c>
    </row>
    <row r="529" spans="1:5" x14ac:dyDescent="0.25">
      <c r="A529" t="s">
        <v>31</v>
      </c>
      <c r="B529">
        <v>8.7999999999999995E-2</v>
      </c>
      <c r="C529" t="s">
        <v>33</v>
      </c>
      <c r="D529">
        <v>4.8650000000000002</v>
      </c>
      <c r="E529" t="s">
        <v>33</v>
      </c>
    </row>
    <row r="530" spans="1:5" x14ac:dyDescent="0.25">
      <c r="A530" t="s">
        <v>31</v>
      </c>
      <c r="B530">
        <v>0.78636363636363638</v>
      </c>
      <c r="C530" t="s">
        <v>33</v>
      </c>
      <c r="D530">
        <v>27.01</v>
      </c>
      <c r="E530" t="s">
        <v>33</v>
      </c>
    </row>
    <row r="531" spans="1:5" x14ac:dyDescent="0.25">
      <c r="A531" t="s">
        <v>31</v>
      </c>
      <c r="B531">
        <v>0.68428571428571427</v>
      </c>
      <c r="C531" t="s">
        <v>33</v>
      </c>
      <c r="D531">
        <v>21.645</v>
      </c>
      <c r="E531" t="s">
        <v>33</v>
      </c>
    </row>
    <row r="532" spans="1:5" x14ac:dyDescent="0.25">
      <c r="A532" t="s">
        <v>31</v>
      </c>
      <c r="B532">
        <v>0.48749999999999999</v>
      </c>
      <c r="C532" t="s">
        <v>32</v>
      </c>
      <c r="D532">
        <v>50.62</v>
      </c>
      <c r="E532" t="s">
        <v>32</v>
      </c>
    </row>
    <row r="533" spans="1:5" x14ac:dyDescent="0.25">
      <c r="A533" t="s">
        <v>31</v>
      </c>
      <c r="B533">
        <v>0.28249999999999997</v>
      </c>
      <c r="C533" t="s">
        <v>32</v>
      </c>
      <c r="D533">
        <v>20.38</v>
      </c>
      <c r="E533" t="s">
        <v>33</v>
      </c>
    </row>
    <row r="534" spans="1:5" x14ac:dyDescent="0.25">
      <c r="A534" t="s">
        <v>31</v>
      </c>
      <c r="B534">
        <v>0.45916666666666667</v>
      </c>
      <c r="C534" t="s">
        <v>32</v>
      </c>
      <c r="D534">
        <v>19.685000000000002</v>
      </c>
      <c r="E534" t="s">
        <v>33</v>
      </c>
    </row>
    <row r="535" spans="1:5" x14ac:dyDescent="0.25">
      <c r="A535" t="s">
        <v>31</v>
      </c>
      <c r="B535">
        <v>0.26947368421052631</v>
      </c>
      <c r="C535" t="s">
        <v>33</v>
      </c>
      <c r="D535">
        <v>31.384999999999998</v>
      </c>
      <c r="E535" t="s">
        <v>32</v>
      </c>
    </row>
    <row r="536" spans="1:5" x14ac:dyDescent="0.25">
      <c r="A536" t="s">
        <v>31</v>
      </c>
      <c r="B536">
        <v>0.12782608695652173</v>
      </c>
      <c r="C536" t="s">
        <v>33</v>
      </c>
      <c r="D536">
        <v>17.724999999999998</v>
      </c>
      <c r="E536" t="s">
        <v>33</v>
      </c>
    </row>
    <row r="537" spans="1:5" x14ac:dyDescent="0.25">
      <c r="A537" t="s">
        <v>31</v>
      </c>
      <c r="B537">
        <v>0.2870833333333333</v>
      </c>
      <c r="C537" t="s">
        <v>33</v>
      </c>
      <c r="D537">
        <v>25.805</v>
      </c>
      <c r="E537" t="s">
        <v>33</v>
      </c>
    </row>
    <row r="538" spans="1:5" x14ac:dyDescent="0.25">
      <c r="A538" t="s">
        <v>31</v>
      </c>
      <c r="B538">
        <v>0.25611111111111112</v>
      </c>
      <c r="C538" t="s">
        <v>33</v>
      </c>
      <c r="D538">
        <v>10.67</v>
      </c>
      <c r="E538" t="s">
        <v>33</v>
      </c>
    </row>
    <row r="539" spans="1:5" x14ac:dyDescent="0.25">
      <c r="A539" t="s">
        <v>31</v>
      </c>
      <c r="B539">
        <v>1.4179999999999999</v>
      </c>
      <c r="C539" t="s">
        <v>33</v>
      </c>
      <c r="D539">
        <v>14.795</v>
      </c>
      <c r="E539" t="s">
        <v>33</v>
      </c>
    </row>
    <row r="540" spans="1:5" x14ac:dyDescent="0.25">
      <c r="A540" t="s">
        <v>31</v>
      </c>
      <c r="B540">
        <v>0.90800000000000003</v>
      </c>
      <c r="C540" t="s">
        <v>33</v>
      </c>
      <c r="D540">
        <v>40.385000000000005</v>
      </c>
      <c r="E540" t="s">
        <v>32</v>
      </c>
    </row>
    <row r="541" spans="1:5" x14ac:dyDescent="0.25">
      <c r="A541" t="s">
        <v>31</v>
      </c>
      <c r="B541">
        <v>1.5960000000000001</v>
      </c>
      <c r="C541" t="s">
        <v>32</v>
      </c>
      <c r="D541">
        <v>29.055</v>
      </c>
      <c r="E541" t="s">
        <v>33</v>
      </c>
    </row>
    <row r="542" spans="1:5" x14ac:dyDescent="0.25">
      <c r="A542" t="s">
        <v>31</v>
      </c>
      <c r="B542">
        <v>0.12307692307692308</v>
      </c>
      <c r="C542" t="s">
        <v>33</v>
      </c>
      <c r="D542">
        <v>9.0350000000000001</v>
      </c>
      <c r="E542" t="s">
        <v>33</v>
      </c>
    </row>
    <row r="543" spans="1:5" x14ac:dyDescent="0.25">
      <c r="A543" t="s">
        <v>31</v>
      </c>
      <c r="B543">
        <v>0.33666666666666667</v>
      </c>
      <c r="C543" t="s">
        <v>33</v>
      </c>
      <c r="D543">
        <v>46.65</v>
      </c>
      <c r="E543" t="s">
        <v>32</v>
      </c>
    </row>
    <row r="544" spans="1:5" x14ac:dyDescent="0.25">
      <c r="A544" t="s">
        <v>31</v>
      </c>
      <c r="B544">
        <v>0.19083333333333333</v>
      </c>
      <c r="C544" t="s">
        <v>33</v>
      </c>
      <c r="D544">
        <v>19.88</v>
      </c>
      <c r="E544" t="s">
        <v>33</v>
      </c>
    </row>
    <row r="545" spans="1:5" x14ac:dyDescent="0.25">
      <c r="A545" t="s">
        <v>31</v>
      </c>
      <c r="B545">
        <v>2.1800000000000002</v>
      </c>
      <c r="C545" t="s">
        <v>32</v>
      </c>
      <c r="D545">
        <v>6.625</v>
      </c>
      <c r="E545" t="s">
        <v>33</v>
      </c>
    </row>
    <row r="546" spans="1:5" x14ac:dyDescent="0.25">
      <c r="A546" t="s">
        <v>31</v>
      </c>
      <c r="B546">
        <v>0.83499999999999996</v>
      </c>
      <c r="C546" t="s">
        <v>33</v>
      </c>
      <c r="D546">
        <v>13.16</v>
      </c>
      <c r="E546" t="s">
        <v>33</v>
      </c>
    </row>
    <row r="547" spans="1:5" x14ac:dyDescent="0.25">
      <c r="A547" t="s">
        <v>31</v>
      </c>
      <c r="B547">
        <v>0.30909090909090908</v>
      </c>
      <c r="C547" t="s">
        <v>33</v>
      </c>
      <c r="D547">
        <v>18.82</v>
      </c>
      <c r="E547" t="s">
        <v>33</v>
      </c>
    </row>
    <row r="548" spans="1:5" x14ac:dyDescent="0.25">
      <c r="A548" t="s">
        <v>31</v>
      </c>
      <c r="B548">
        <v>0.54</v>
      </c>
      <c r="C548" t="s">
        <v>33</v>
      </c>
      <c r="D548">
        <v>22.224999999999998</v>
      </c>
      <c r="E548" t="s">
        <v>33</v>
      </c>
    </row>
    <row r="549" spans="1:5" x14ac:dyDescent="0.25">
      <c r="A549" t="s">
        <v>31</v>
      </c>
      <c r="B549">
        <v>2.41</v>
      </c>
      <c r="C549" t="s">
        <v>32</v>
      </c>
      <c r="D549">
        <v>17.899999999999999</v>
      </c>
      <c r="E549" t="s">
        <v>33</v>
      </c>
    </row>
    <row r="550" spans="1:5" x14ac:dyDescent="0.25">
      <c r="A550" t="s">
        <v>31</v>
      </c>
      <c r="B550">
        <v>0.5714285714285714</v>
      </c>
      <c r="C550" t="s">
        <v>32</v>
      </c>
      <c r="D550">
        <v>34.174999999999997</v>
      </c>
      <c r="E550" t="s">
        <v>32</v>
      </c>
    </row>
    <row r="551" spans="1:5" x14ac:dyDescent="0.25">
      <c r="A551" t="s">
        <v>31</v>
      </c>
      <c r="B551">
        <v>0.19857142857142857</v>
      </c>
      <c r="C551" t="s">
        <v>33</v>
      </c>
      <c r="D551">
        <v>7.7850000000000001</v>
      </c>
      <c r="E551" t="s">
        <v>33</v>
      </c>
    </row>
    <row r="552" spans="1:5" x14ac:dyDescent="0.25">
      <c r="A552" t="s">
        <v>31</v>
      </c>
      <c r="B552">
        <v>0.34874999999999995</v>
      </c>
      <c r="C552" t="s">
        <v>33</v>
      </c>
      <c r="D552">
        <v>19.759999999999998</v>
      </c>
      <c r="E552" t="s">
        <v>33</v>
      </c>
    </row>
    <row r="553" spans="1:5" x14ac:dyDescent="0.25">
      <c r="A553" t="s">
        <v>31</v>
      </c>
      <c r="B553">
        <v>0.32928571428571429</v>
      </c>
      <c r="C553" t="s">
        <v>33</v>
      </c>
      <c r="D553">
        <v>11.559999999999999</v>
      </c>
      <c r="E553" t="s">
        <v>33</v>
      </c>
    </row>
    <row r="554" spans="1:5" x14ac:dyDescent="0.25">
      <c r="A554" t="s">
        <v>31</v>
      </c>
      <c r="B554">
        <v>3.1176470588235295E-2</v>
      </c>
      <c r="C554" t="s">
        <v>32</v>
      </c>
      <c r="D554">
        <v>5.0200000000000005</v>
      </c>
      <c r="E554" t="s">
        <v>33</v>
      </c>
    </row>
    <row r="555" spans="1:5" x14ac:dyDescent="0.25">
      <c r="A555" t="s">
        <v>31</v>
      </c>
      <c r="B555">
        <v>0.1225</v>
      </c>
      <c r="C555" t="s">
        <v>32</v>
      </c>
      <c r="D555">
        <v>11.67</v>
      </c>
      <c r="E555" t="s">
        <v>33</v>
      </c>
    </row>
    <row r="556" spans="1:5" x14ac:dyDescent="0.25">
      <c r="A556" t="s">
        <v>31</v>
      </c>
      <c r="B556">
        <v>0.42384615384615382</v>
      </c>
      <c r="C556" t="s">
        <v>33</v>
      </c>
      <c r="D556">
        <v>28.349999999999998</v>
      </c>
      <c r="E556" t="s">
        <v>33</v>
      </c>
    </row>
    <row r="557" spans="1:5" x14ac:dyDescent="0.25">
      <c r="A557" t="s">
        <v>31</v>
      </c>
      <c r="B557">
        <v>0.2533333333333333</v>
      </c>
      <c r="C557" t="s">
        <v>33</v>
      </c>
      <c r="D557">
        <v>29.25</v>
      </c>
      <c r="E557" t="s">
        <v>33</v>
      </c>
    </row>
    <row r="558" spans="1:5" x14ac:dyDescent="0.25">
      <c r="A558" t="s">
        <v>31</v>
      </c>
      <c r="B558">
        <v>0.11333333333333334</v>
      </c>
      <c r="C558" t="s">
        <v>32</v>
      </c>
      <c r="D558">
        <v>15.695</v>
      </c>
      <c r="E558" t="s">
        <v>33</v>
      </c>
    </row>
    <row r="559" spans="1:5" x14ac:dyDescent="0.25">
      <c r="A559" t="s">
        <v>31</v>
      </c>
      <c r="B559">
        <v>1.1950000000000001</v>
      </c>
      <c r="C559" t="s">
        <v>33</v>
      </c>
      <c r="D559">
        <v>48.454999999999998</v>
      </c>
      <c r="E559" t="s">
        <v>32</v>
      </c>
    </row>
    <row r="560" spans="1:5" x14ac:dyDescent="0.25">
      <c r="A560" t="s">
        <v>31</v>
      </c>
      <c r="B560">
        <v>0.13999999999999999</v>
      </c>
      <c r="C560" t="s">
        <v>32</v>
      </c>
      <c r="D560">
        <v>12.395</v>
      </c>
      <c r="E560" t="s">
        <v>33</v>
      </c>
    </row>
    <row r="561" spans="1:5" x14ac:dyDescent="0.25">
      <c r="A561" t="s">
        <v>31</v>
      </c>
      <c r="B561">
        <v>0.18833333333333332</v>
      </c>
      <c r="C561" t="s">
        <v>32</v>
      </c>
      <c r="D561">
        <v>10.025</v>
      </c>
      <c r="E561" t="s">
        <v>33</v>
      </c>
    </row>
    <row r="562" spans="1:5" x14ac:dyDescent="0.25">
      <c r="A562" t="s">
        <v>31</v>
      </c>
      <c r="B562">
        <v>1.89</v>
      </c>
      <c r="C562" t="s">
        <v>33</v>
      </c>
      <c r="D562">
        <v>17.27</v>
      </c>
      <c r="E562" t="s">
        <v>33</v>
      </c>
    </row>
    <row r="563" spans="1:5" x14ac:dyDescent="0.25">
      <c r="A563" t="s">
        <v>31</v>
      </c>
      <c r="B563">
        <v>8.3636363636363634E-2</v>
      </c>
      <c r="C563" t="s">
        <v>32</v>
      </c>
      <c r="D563">
        <v>12.780000000000001</v>
      </c>
      <c r="E563" t="s">
        <v>33</v>
      </c>
    </row>
    <row r="564" spans="1:5" x14ac:dyDescent="0.25">
      <c r="A564" t="s">
        <v>31</v>
      </c>
      <c r="B564">
        <v>5.0588235294117649E-2</v>
      </c>
      <c r="C564" t="s">
        <v>33</v>
      </c>
      <c r="D564">
        <v>17.774999999999999</v>
      </c>
      <c r="E564" t="s">
        <v>33</v>
      </c>
    </row>
    <row r="565" spans="1:5" x14ac:dyDescent="0.25">
      <c r="A565" t="s">
        <v>31</v>
      </c>
      <c r="B565">
        <v>0.46842105263157896</v>
      </c>
      <c r="C565" t="s">
        <v>33</v>
      </c>
      <c r="D565">
        <v>17.96</v>
      </c>
      <c r="E565" t="s">
        <v>33</v>
      </c>
    </row>
    <row r="566" spans="1:5" x14ac:dyDescent="0.25">
      <c r="A566" t="s">
        <v>31</v>
      </c>
      <c r="B566">
        <v>1.6666666666666666E-3</v>
      </c>
      <c r="C566" t="s">
        <v>32</v>
      </c>
      <c r="D566">
        <v>5.79</v>
      </c>
      <c r="E566" t="s">
        <v>33</v>
      </c>
    </row>
    <row r="567" spans="1:5" x14ac:dyDescent="0.25">
      <c r="A567" t="s">
        <v>31</v>
      </c>
      <c r="B567">
        <v>0.70416666666666661</v>
      </c>
      <c r="C567" t="s">
        <v>33</v>
      </c>
      <c r="D567">
        <v>17.224999999999998</v>
      </c>
      <c r="E567" t="s">
        <v>33</v>
      </c>
    </row>
    <row r="568" spans="1:5" x14ac:dyDescent="0.25">
      <c r="A568" t="s">
        <v>31</v>
      </c>
      <c r="B568">
        <v>0.13166666666666668</v>
      </c>
      <c r="C568" t="s">
        <v>32</v>
      </c>
      <c r="D568">
        <v>22.885000000000002</v>
      </c>
      <c r="E568" t="s">
        <v>33</v>
      </c>
    </row>
    <row r="569" spans="1:5" x14ac:dyDescent="0.25">
      <c r="A569" t="s">
        <v>31</v>
      </c>
      <c r="B569">
        <v>0.37999999999999995</v>
      </c>
      <c r="C569" t="s">
        <v>32</v>
      </c>
      <c r="D569">
        <v>34.29</v>
      </c>
      <c r="E569" t="s">
        <v>32</v>
      </c>
    </row>
    <row r="570" spans="1:5" x14ac:dyDescent="0.25">
      <c r="A570" t="s">
        <v>31</v>
      </c>
      <c r="B570">
        <v>0.51500000000000001</v>
      </c>
      <c r="C570" t="s">
        <v>32</v>
      </c>
      <c r="D570">
        <v>9.125</v>
      </c>
      <c r="E570" t="s">
        <v>33</v>
      </c>
    </row>
    <row r="571" spans="1:5" x14ac:dyDescent="0.25">
      <c r="A571" t="s">
        <v>31</v>
      </c>
      <c r="B571">
        <v>1.528</v>
      </c>
      <c r="C571" t="s">
        <v>32</v>
      </c>
      <c r="D571">
        <v>26.455000000000002</v>
      </c>
      <c r="E571" t="s">
        <v>33</v>
      </c>
    </row>
    <row r="572" spans="1:5" x14ac:dyDescent="0.25">
      <c r="A572" t="s">
        <v>31</v>
      </c>
      <c r="B572">
        <v>3.7</v>
      </c>
      <c r="C572" t="s">
        <v>33</v>
      </c>
      <c r="D572">
        <v>16.305</v>
      </c>
      <c r="E572" t="s">
        <v>33</v>
      </c>
    </row>
    <row r="573" spans="1:5" x14ac:dyDescent="0.25">
      <c r="A573" t="s">
        <v>31</v>
      </c>
      <c r="B573">
        <v>0.59833333333333327</v>
      </c>
      <c r="C573" t="s">
        <v>33</v>
      </c>
      <c r="D573">
        <v>21.68</v>
      </c>
      <c r="E573" t="s">
        <v>33</v>
      </c>
    </row>
    <row r="574" spans="1:5" x14ac:dyDescent="0.25">
      <c r="A574" t="s">
        <v>31</v>
      </c>
      <c r="B574">
        <v>0.56428571428571428</v>
      </c>
      <c r="C574" t="s">
        <v>32</v>
      </c>
      <c r="D574">
        <v>6.9050000000000002</v>
      </c>
      <c r="E574" t="s">
        <v>33</v>
      </c>
    </row>
    <row r="575" spans="1:5" x14ac:dyDescent="0.25">
      <c r="A575" t="s">
        <v>31</v>
      </c>
      <c r="B575">
        <v>0.59000000000000008</v>
      </c>
      <c r="C575" t="s">
        <v>32</v>
      </c>
      <c r="D575">
        <v>23.900000000000002</v>
      </c>
      <c r="E575" t="s">
        <v>33</v>
      </c>
    </row>
    <row r="576" spans="1:5" x14ac:dyDescent="0.25">
      <c r="A576" t="s">
        <v>31</v>
      </c>
      <c r="B576">
        <v>8.5909090909090907E-2</v>
      </c>
      <c r="C576" t="s">
        <v>33</v>
      </c>
      <c r="D576">
        <v>26.85</v>
      </c>
      <c r="E576" t="s">
        <v>33</v>
      </c>
    </row>
    <row r="577" spans="1:5" x14ac:dyDescent="0.25">
      <c r="A577" t="s">
        <v>31</v>
      </c>
      <c r="B577">
        <v>1.52E-2</v>
      </c>
      <c r="C577" t="s">
        <v>33</v>
      </c>
      <c r="D577">
        <v>6.94</v>
      </c>
      <c r="E577" t="s">
        <v>33</v>
      </c>
    </row>
    <row r="578" spans="1:5" x14ac:dyDescent="0.25">
      <c r="A578" t="s">
        <v>31</v>
      </c>
      <c r="B578">
        <v>1.0257142857142856</v>
      </c>
      <c r="C578" t="s">
        <v>32</v>
      </c>
      <c r="D578">
        <v>36.08</v>
      </c>
      <c r="E578" t="s">
        <v>32</v>
      </c>
    </row>
    <row r="579" spans="1:5" x14ac:dyDescent="0.25">
      <c r="A579" t="s">
        <v>31</v>
      </c>
      <c r="B579">
        <v>0.24352941176470586</v>
      </c>
      <c r="C579" t="s">
        <v>32</v>
      </c>
      <c r="D579">
        <v>21.445</v>
      </c>
      <c r="E579" t="s">
        <v>33</v>
      </c>
    </row>
    <row r="580" spans="1:5" x14ac:dyDescent="0.25">
      <c r="A580" t="s">
        <v>31</v>
      </c>
      <c r="B580">
        <v>0.66692307692307695</v>
      </c>
      <c r="C580" t="s">
        <v>33</v>
      </c>
      <c r="D580">
        <v>21.54</v>
      </c>
      <c r="E580" t="s">
        <v>33</v>
      </c>
    </row>
    <row r="581" spans="1:5" x14ac:dyDescent="0.25">
      <c r="A581" t="s">
        <v>31</v>
      </c>
      <c r="B581">
        <v>0.10095238095238096</v>
      </c>
      <c r="C581" t="s">
        <v>33</v>
      </c>
      <c r="D581">
        <v>25.259999999999998</v>
      </c>
      <c r="E581" t="s">
        <v>33</v>
      </c>
    </row>
    <row r="582" spans="1:5" x14ac:dyDescent="0.25">
      <c r="A582" t="s">
        <v>31</v>
      </c>
      <c r="B582">
        <v>7.000000000000001E-3</v>
      </c>
      <c r="C582" t="s">
        <v>33</v>
      </c>
      <c r="D582">
        <v>2.06</v>
      </c>
      <c r="E582" t="s">
        <v>33</v>
      </c>
    </row>
    <row r="583" spans="1:5" x14ac:dyDescent="0.25">
      <c r="A583" t="s">
        <v>31</v>
      </c>
      <c r="B583">
        <v>0.11105263157894736</v>
      </c>
      <c r="C583" t="s">
        <v>33</v>
      </c>
      <c r="D583">
        <v>10.06</v>
      </c>
      <c r="E583" t="s">
        <v>33</v>
      </c>
    </row>
    <row r="584" spans="1:5" x14ac:dyDescent="0.25">
      <c r="A584" t="s">
        <v>31</v>
      </c>
      <c r="B584">
        <v>0.26727272727272727</v>
      </c>
      <c r="C584" t="s">
        <v>33</v>
      </c>
      <c r="D584">
        <v>23.305</v>
      </c>
      <c r="E584" t="s">
        <v>33</v>
      </c>
    </row>
    <row r="585" spans="1:5" x14ac:dyDescent="0.25">
      <c r="A585" t="s">
        <v>31</v>
      </c>
      <c r="B585">
        <v>0.23590909090909093</v>
      </c>
      <c r="C585" t="s">
        <v>33</v>
      </c>
      <c r="D585">
        <v>42.14</v>
      </c>
      <c r="E585" t="s">
        <v>32</v>
      </c>
    </row>
    <row r="586" spans="1:5" x14ac:dyDescent="0.25">
      <c r="A586" t="s">
        <v>31</v>
      </c>
      <c r="B586">
        <v>1.3616666666666666</v>
      </c>
      <c r="C586" t="s">
        <v>33</v>
      </c>
      <c r="D586">
        <v>56.91</v>
      </c>
      <c r="E586" t="s">
        <v>32</v>
      </c>
    </row>
    <row r="587" spans="1:5" x14ac:dyDescent="0.25">
      <c r="A587" t="s">
        <v>31</v>
      </c>
      <c r="B587">
        <v>0.5535714285714286</v>
      </c>
      <c r="C587" t="s">
        <v>33</v>
      </c>
      <c r="D587">
        <v>27.42</v>
      </c>
      <c r="E587" t="s">
        <v>33</v>
      </c>
    </row>
    <row r="588" spans="1:5" x14ac:dyDescent="0.25">
      <c r="A588" t="s">
        <v>31</v>
      </c>
      <c r="B588">
        <v>1.18</v>
      </c>
      <c r="C588" t="s">
        <v>32</v>
      </c>
      <c r="D588">
        <v>51.135000000000005</v>
      </c>
      <c r="E588" t="s">
        <v>32</v>
      </c>
    </row>
    <row r="589" spans="1:5" x14ac:dyDescent="0.25">
      <c r="A589" t="s">
        <v>31</v>
      </c>
      <c r="B589">
        <v>0.85624999999999996</v>
      </c>
      <c r="C589" t="s">
        <v>33</v>
      </c>
      <c r="D589">
        <v>25.14</v>
      </c>
      <c r="E589" t="s">
        <v>33</v>
      </c>
    </row>
    <row r="590" spans="1:5" x14ac:dyDescent="0.25">
      <c r="A590" t="s">
        <v>31</v>
      </c>
      <c r="B590">
        <v>6.5000000000000002E-2</v>
      </c>
      <c r="C590" t="s">
        <v>33</v>
      </c>
      <c r="D590">
        <v>6.05</v>
      </c>
      <c r="E590" t="s">
        <v>33</v>
      </c>
    </row>
    <row r="591" spans="1:5" x14ac:dyDescent="0.25">
      <c r="A591" t="s">
        <v>31</v>
      </c>
      <c r="B591">
        <v>0.3611111111111111</v>
      </c>
      <c r="C591" t="s">
        <v>33</v>
      </c>
      <c r="D591">
        <v>38.33</v>
      </c>
      <c r="E591" t="s">
        <v>32</v>
      </c>
    </row>
    <row r="592" spans="1:5" x14ac:dyDescent="0.25">
      <c r="A592" t="s">
        <v>31</v>
      </c>
      <c r="B592">
        <v>0.83250000000000002</v>
      </c>
      <c r="C592" t="s">
        <v>32</v>
      </c>
      <c r="D592">
        <v>12.115</v>
      </c>
      <c r="E592" t="s">
        <v>33</v>
      </c>
    </row>
    <row r="593" spans="1:5" x14ac:dyDescent="0.25">
      <c r="A593" t="s">
        <v>31</v>
      </c>
      <c r="B593">
        <v>0.17499999999999999</v>
      </c>
      <c r="C593" t="s">
        <v>33</v>
      </c>
      <c r="D593">
        <v>8.8350000000000009</v>
      </c>
      <c r="E593" t="s">
        <v>33</v>
      </c>
    </row>
    <row r="594" spans="1:5" x14ac:dyDescent="0.25">
      <c r="A594" t="s">
        <v>31</v>
      </c>
      <c r="B594">
        <v>0.38</v>
      </c>
      <c r="C594" t="s">
        <v>33</v>
      </c>
      <c r="D594">
        <v>13.39</v>
      </c>
      <c r="E594" t="s">
        <v>33</v>
      </c>
    </row>
    <row r="595" spans="1:5" x14ac:dyDescent="0.25">
      <c r="A595" t="s">
        <v>31</v>
      </c>
      <c r="B595">
        <v>0.88777777777777778</v>
      </c>
      <c r="C595" t="s">
        <v>32</v>
      </c>
      <c r="D595">
        <v>49.475000000000001</v>
      </c>
      <c r="E595" t="s">
        <v>32</v>
      </c>
    </row>
    <row r="596" spans="1:5" x14ac:dyDescent="0.25">
      <c r="A596" t="s">
        <v>31</v>
      </c>
      <c r="B596">
        <v>0.52857142857142858</v>
      </c>
      <c r="C596" t="s">
        <v>33</v>
      </c>
      <c r="D596">
        <v>21.065000000000001</v>
      </c>
      <c r="E596" t="s">
        <v>33</v>
      </c>
    </row>
    <row r="597" spans="1:5" x14ac:dyDescent="0.25">
      <c r="A597" t="s">
        <v>31</v>
      </c>
      <c r="B597">
        <v>0.33681818181818185</v>
      </c>
      <c r="C597" t="s">
        <v>33</v>
      </c>
      <c r="D597">
        <v>17.774999999999999</v>
      </c>
      <c r="E597" t="s">
        <v>33</v>
      </c>
    </row>
    <row r="598" spans="1:5" x14ac:dyDescent="0.25">
      <c r="A598" t="s">
        <v>31</v>
      </c>
      <c r="B598">
        <v>0.11583333333333333</v>
      </c>
      <c r="C598" t="s">
        <v>33</v>
      </c>
      <c r="D598">
        <v>24.130000000000003</v>
      </c>
      <c r="E598" t="s">
        <v>33</v>
      </c>
    </row>
    <row r="599" spans="1:5" x14ac:dyDescent="0.25">
      <c r="A599" t="s">
        <v>31</v>
      </c>
      <c r="B599">
        <v>6.6363636363636361E-2</v>
      </c>
      <c r="C599" t="s">
        <v>33</v>
      </c>
      <c r="D599">
        <v>13.245000000000001</v>
      </c>
      <c r="E599" t="s">
        <v>33</v>
      </c>
    </row>
    <row r="600" spans="1:5" x14ac:dyDescent="0.25">
      <c r="A600" t="s">
        <v>31</v>
      </c>
      <c r="B600">
        <v>0.21</v>
      </c>
      <c r="C600" t="s">
        <v>33</v>
      </c>
      <c r="D600">
        <v>22.634999999999998</v>
      </c>
      <c r="E600" t="s">
        <v>33</v>
      </c>
    </row>
    <row r="601" spans="1:5" x14ac:dyDescent="0.25">
      <c r="A601" t="s">
        <v>31</v>
      </c>
      <c r="B601">
        <v>4.1538461538461538E-2</v>
      </c>
      <c r="C601" t="s">
        <v>33</v>
      </c>
      <c r="D601">
        <v>9.3049999999999997</v>
      </c>
      <c r="E601" t="s">
        <v>33</v>
      </c>
    </row>
    <row r="602" spans="1:5" x14ac:dyDescent="0.25">
      <c r="A602" t="s">
        <v>31</v>
      </c>
      <c r="B602">
        <v>0.27666666666666667</v>
      </c>
      <c r="C602" t="s">
        <v>33</v>
      </c>
      <c r="D602">
        <v>32.6</v>
      </c>
      <c r="E602" t="s">
        <v>32</v>
      </c>
    </row>
    <row r="603" spans="1:5" x14ac:dyDescent="0.25">
      <c r="A603" t="s">
        <v>31</v>
      </c>
      <c r="B603">
        <v>9.2666666666666661E-2</v>
      </c>
      <c r="C603" t="s">
        <v>33</v>
      </c>
      <c r="D603">
        <v>2.6550000000000002</v>
      </c>
      <c r="E603" t="s">
        <v>33</v>
      </c>
    </row>
    <row r="604" spans="1:5" x14ac:dyDescent="0.25">
      <c r="A604" t="s">
        <v>31</v>
      </c>
      <c r="B604">
        <v>0.53230769230769226</v>
      </c>
      <c r="C604" t="s">
        <v>32</v>
      </c>
      <c r="D604">
        <v>26.799999999999997</v>
      </c>
      <c r="E604" t="s">
        <v>33</v>
      </c>
    </row>
    <row r="605" spans="1:5" x14ac:dyDescent="0.25">
      <c r="A605" t="s">
        <v>31</v>
      </c>
      <c r="B605">
        <v>0.02</v>
      </c>
      <c r="C605" t="s">
        <v>33</v>
      </c>
      <c r="D605">
        <v>3.6150000000000002</v>
      </c>
      <c r="E605" t="s">
        <v>33</v>
      </c>
    </row>
    <row r="606" spans="1:5" x14ac:dyDescent="0.25">
      <c r="A606" t="s">
        <v>31</v>
      </c>
      <c r="B606">
        <v>0.47437499999999999</v>
      </c>
      <c r="C606" t="s">
        <v>32</v>
      </c>
      <c r="D606">
        <v>19.63</v>
      </c>
      <c r="E606" t="s">
        <v>33</v>
      </c>
    </row>
    <row r="607" spans="1:5" x14ac:dyDescent="0.25">
      <c r="A607" t="s">
        <v>31</v>
      </c>
      <c r="B607">
        <v>0.10142857142857142</v>
      </c>
      <c r="C607" t="s">
        <v>33</v>
      </c>
      <c r="D607">
        <v>7.9300000000000006</v>
      </c>
      <c r="E607" t="s">
        <v>33</v>
      </c>
    </row>
    <row r="608" spans="1:5" x14ac:dyDescent="0.25">
      <c r="A608" t="s">
        <v>31</v>
      </c>
      <c r="B608">
        <v>0.63750000000000007</v>
      </c>
      <c r="C608" t="s">
        <v>33</v>
      </c>
      <c r="D608">
        <v>18.54</v>
      </c>
      <c r="E608" t="s">
        <v>33</v>
      </c>
    </row>
    <row r="609" spans="1:5" x14ac:dyDescent="0.25">
      <c r="A609" t="s">
        <v>31</v>
      </c>
      <c r="B609">
        <v>0.43142857142857144</v>
      </c>
      <c r="C609" t="s">
        <v>33</v>
      </c>
      <c r="D609">
        <v>21.82</v>
      </c>
      <c r="E609" t="s">
        <v>33</v>
      </c>
    </row>
    <row r="610" spans="1:5" x14ac:dyDescent="0.25">
      <c r="A610" t="s">
        <v>31</v>
      </c>
      <c r="B610">
        <v>2.0434782608695651E-2</v>
      </c>
      <c r="C610" t="s">
        <v>33</v>
      </c>
      <c r="D610">
        <v>5.79</v>
      </c>
      <c r="E610" t="s">
        <v>33</v>
      </c>
    </row>
    <row r="611" spans="1:5" x14ac:dyDescent="0.25">
      <c r="A611" t="s">
        <v>31</v>
      </c>
      <c r="B611">
        <v>6.9130434782608705E-2</v>
      </c>
      <c r="C611" t="s">
        <v>33</v>
      </c>
      <c r="D611">
        <v>6.1899999999999995</v>
      </c>
      <c r="E611" t="s">
        <v>33</v>
      </c>
    </row>
    <row r="612" spans="1:5" x14ac:dyDescent="0.25">
      <c r="A612" t="s">
        <v>31</v>
      </c>
      <c r="B612">
        <v>0.91714285714285715</v>
      </c>
      <c r="C612" t="s">
        <v>32</v>
      </c>
      <c r="D612">
        <v>23.79</v>
      </c>
      <c r="E612" t="s">
        <v>33</v>
      </c>
    </row>
    <row r="613" spans="1:5" x14ac:dyDescent="0.25">
      <c r="A613" t="s">
        <v>31</v>
      </c>
      <c r="B613">
        <v>0.11000000000000001</v>
      </c>
      <c r="C613" t="s">
        <v>32</v>
      </c>
      <c r="D613">
        <v>6.93</v>
      </c>
      <c r="E613" t="s">
        <v>33</v>
      </c>
    </row>
    <row r="614" spans="1:5" x14ac:dyDescent="0.25">
      <c r="A614" t="s">
        <v>31</v>
      </c>
      <c r="B614">
        <v>0.47166666666666668</v>
      </c>
      <c r="C614" t="s">
        <v>33</v>
      </c>
      <c r="D614">
        <v>24.54</v>
      </c>
      <c r="E614" t="s">
        <v>33</v>
      </c>
    </row>
    <row r="615" spans="1:5" x14ac:dyDescent="0.25">
      <c r="A615" t="s">
        <v>31</v>
      </c>
      <c r="B615">
        <v>0.44315789473684208</v>
      </c>
      <c r="C615" t="s">
        <v>33</v>
      </c>
      <c r="D615">
        <v>25.634999999999998</v>
      </c>
      <c r="E615" t="s">
        <v>33</v>
      </c>
    </row>
    <row r="616" spans="1:5" x14ac:dyDescent="0.25">
      <c r="A616" t="s">
        <v>31</v>
      </c>
      <c r="B616">
        <v>0.28769230769230769</v>
      </c>
      <c r="C616" t="s">
        <v>33</v>
      </c>
      <c r="D616">
        <v>15.364999999999998</v>
      </c>
      <c r="E616" t="s">
        <v>33</v>
      </c>
    </row>
    <row r="617" spans="1:5" x14ac:dyDescent="0.25">
      <c r="A617" t="s">
        <v>31</v>
      </c>
      <c r="B617">
        <v>0.57000000000000006</v>
      </c>
      <c r="C617" t="s">
        <v>33</v>
      </c>
      <c r="D617">
        <v>19.995000000000001</v>
      </c>
      <c r="E617" t="s">
        <v>33</v>
      </c>
    </row>
    <row r="618" spans="1:5" x14ac:dyDescent="0.25">
      <c r="A618" t="s">
        <v>31</v>
      </c>
      <c r="B618">
        <v>4.5789473684210526E-2</v>
      </c>
      <c r="C618" t="s">
        <v>33</v>
      </c>
      <c r="D618">
        <v>5.43</v>
      </c>
      <c r="E618" t="s">
        <v>33</v>
      </c>
    </row>
    <row r="619" spans="1:5" x14ac:dyDescent="0.25">
      <c r="A619" t="s">
        <v>31</v>
      </c>
      <c r="B619">
        <v>4.7949999999999999</v>
      </c>
      <c r="C619" t="s">
        <v>32</v>
      </c>
      <c r="D619">
        <v>54.410000000000004</v>
      </c>
      <c r="E619" t="s">
        <v>32</v>
      </c>
    </row>
    <row r="620" spans="1:5" x14ac:dyDescent="0.25">
      <c r="A620" t="s">
        <v>31</v>
      </c>
      <c r="B620">
        <v>0.66799999999999993</v>
      </c>
      <c r="C620" t="s">
        <v>32</v>
      </c>
      <c r="D620">
        <v>22.45</v>
      </c>
      <c r="E620" t="s">
        <v>33</v>
      </c>
    </row>
    <row r="621" spans="1:5" x14ac:dyDescent="0.25">
      <c r="A621" t="s">
        <v>31</v>
      </c>
      <c r="B621">
        <v>0.78222222222222226</v>
      </c>
      <c r="C621" t="s">
        <v>32</v>
      </c>
      <c r="D621">
        <v>14.094999999999999</v>
      </c>
      <c r="E621" t="s">
        <v>33</v>
      </c>
    </row>
    <row r="622" spans="1:5" x14ac:dyDescent="0.25">
      <c r="A622" t="s">
        <v>31</v>
      </c>
      <c r="B622">
        <v>0.2384</v>
      </c>
      <c r="C622" t="s">
        <v>33</v>
      </c>
      <c r="D622">
        <v>34.924999999999997</v>
      </c>
      <c r="E622" t="s">
        <v>32</v>
      </c>
    </row>
    <row r="623" spans="1:5" x14ac:dyDescent="0.25">
      <c r="A623" t="s">
        <v>31</v>
      </c>
      <c r="B623">
        <v>0.23428571428571429</v>
      </c>
      <c r="C623" t="s">
        <v>33</v>
      </c>
      <c r="D623">
        <v>25.125</v>
      </c>
      <c r="E623" t="s">
        <v>33</v>
      </c>
    </row>
    <row r="624" spans="1:5" x14ac:dyDescent="0.25">
      <c r="A624" t="s">
        <v>31</v>
      </c>
      <c r="B624">
        <v>0.15363636363636363</v>
      </c>
      <c r="C624" t="s">
        <v>33</v>
      </c>
      <c r="D624">
        <v>16.425000000000001</v>
      </c>
      <c r="E624" t="s">
        <v>33</v>
      </c>
    </row>
    <row r="625" spans="1:5" x14ac:dyDescent="0.25">
      <c r="A625" t="s">
        <v>31</v>
      </c>
      <c r="B625">
        <v>2.7000000000000003E-2</v>
      </c>
      <c r="C625" t="s">
        <v>33</v>
      </c>
      <c r="D625">
        <v>9.5300000000000011</v>
      </c>
      <c r="E625" t="s">
        <v>33</v>
      </c>
    </row>
    <row r="626" spans="1:5" x14ac:dyDescent="0.25">
      <c r="A626" t="s">
        <v>31</v>
      </c>
      <c r="B626">
        <v>6.2307692307692314E-2</v>
      </c>
      <c r="C626" t="s">
        <v>32</v>
      </c>
      <c r="D626">
        <v>8.94</v>
      </c>
      <c r="E626" t="s">
        <v>33</v>
      </c>
    </row>
    <row r="627" spans="1:5" x14ac:dyDescent="0.25">
      <c r="A627" t="s">
        <v>31</v>
      </c>
      <c r="B627">
        <v>0.34849999999999998</v>
      </c>
      <c r="C627" t="s">
        <v>33</v>
      </c>
      <c r="D627">
        <v>27.605</v>
      </c>
      <c r="E627" t="s">
        <v>33</v>
      </c>
    </row>
    <row r="628" spans="1:5" x14ac:dyDescent="0.25">
      <c r="A628" t="s">
        <v>31</v>
      </c>
      <c r="B628">
        <v>0.12291666666666667</v>
      </c>
      <c r="C628" t="s">
        <v>33</v>
      </c>
      <c r="D628">
        <v>23.954999999999998</v>
      </c>
      <c r="E628" t="s">
        <v>33</v>
      </c>
    </row>
    <row r="629" spans="1:5" x14ac:dyDescent="0.25">
      <c r="A629" t="s">
        <v>31</v>
      </c>
      <c r="B629">
        <v>0.25055555555555553</v>
      </c>
      <c r="C629" t="s">
        <v>32</v>
      </c>
      <c r="D629">
        <v>14.125</v>
      </c>
      <c r="E629" t="s">
        <v>33</v>
      </c>
    </row>
    <row r="630" spans="1:5" x14ac:dyDescent="0.25">
      <c r="A630" t="s">
        <v>31</v>
      </c>
      <c r="B630">
        <v>0.35680000000000001</v>
      </c>
      <c r="C630" t="s">
        <v>33</v>
      </c>
      <c r="D630">
        <v>20.259999999999998</v>
      </c>
      <c r="E630" t="s">
        <v>33</v>
      </c>
    </row>
    <row r="631" spans="1:5" x14ac:dyDescent="0.25">
      <c r="A631" t="s">
        <v>31</v>
      </c>
      <c r="B631">
        <v>0.88666666666666671</v>
      </c>
      <c r="C631" t="s">
        <v>33</v>
      </c>
      <c r="D631">
        <v>11.95</v>
      </c>
      <c r="E631" t="s">
        <v>33</v>
      </c>
    </row>
    <row r="632" spans="1:5" x14ac:dyDescent="0.25">
      <c r="A632" t="s">
        <v>31</v>
      </c>
      <c r="B632">
        <v>1.5920000000000001</v>
      </c>
      <c r="C632" t="s">
        <v>32</v>
      </c>
      <c r="D632">
        <v>33.905000000000001</v>
      </c>
      <c r="E632" t="s">
        <v>32</v>
      </c>
    </row>
    <row r="633" spans="1:5" x14ac:dyDescent="0.25">
      <c r="A633" t="s">
        <v>31</v>
      </c>
      <c r="B633">
        <v>9.1666666666666667E-3</v>
      </c>
      <c r="C633" t="s">
        <v>33</v>
      </c>
      <c r="D633">
        <v>7.01</v>
      </c>
      <c r="E633" t="s">
        <v>33</v>
      </c>
    </row>
    <row r="634" spans="1:5" x14ac:dyDescent="0.25">
      <c r="A634" t="s">
        <v>31</v>
      </c>
      <c r="B634">
        <v>0.34583333333333338</v>
      </c>
      <c r="C634" t="s">
        <v>32</v>
      </c>
      <c r="D634">
        <v>13.585000000000001</v>
      </c>
      <c r="E634" t="s">
        <v>33</v>
      </c>
    </row>
    <row r="635" spans="1:5" x14ac:dyDescent="0.25">
      <c r="A635" t="s">
        <v>31</v>
      </c>
      <c r="B635">
        <v>0.68285714285714294</v>
      </c>
      <c r="C635" t="s">
        <v>33</v>
      </c>
      <c r="D635">
        <v>15.46</v>
      </c>
      <c r="E635" t="s">
        <v>33</v>
      </c>
    </row>
    <row r="636" spans="1:5" x14ac:dyDescent="0.25">
      <c r="A636" t="s">
        <v>31</v>
      </c>
      <c r="B636">
        <v>0.44999999999999996</v>
      </c>
      <c r="C636" t="s">
        <v>33</v>
      </c>
      <c r="D636">
        <v>22.32</v>
      </c>
      <c r="E636" t="s">
        <v>33</v>
      </c>
    </row>
    <row r="637" spans="1:5" x14ac:dyDescent="0.25">
      <c r="A637" t="s">
        <v>31</v>
      </c>
      <c r="B637">
        <v>0.3125</v>
      </c>
      <c r="C637" t="s">
        <v>32</v>
      </c>
      <c r="D637">
        <v>9.7349999999999994</v>
      </c>
      <c r="E637" t="s">
        <v>33</v>
      </c>
    </row>
    <row r="638" spans="1:5" x14ac:dyDescent="0.25">
      <c r="A638" t="s">
        <v>31</v>
      </c>
      <c r="B638">
        <v>0.19666666666666666</v>
      </c>
      <c r="C638" t="s">
        <v>32</v>
      </c>
      <c r="D638">
        <v>24.98</v>
      </c>
      <c r="E638" t="s">
        <v>33</v>
      </c>
    </row>
    <row r="639" spans="1:5" x14ac:dyDescent="0.25">
      <c r="A639" t="s">
        <v>31</v>
      </c>
      <c r="B639">
        <v>3.8450000000000002</v>
      </c>
      <c r="C639" t="s">
        <v>33</v>
      </c>
      <c r="D639">
        <v>21.310000000000002</v>
      </c>
      <c r="E639" t="s">
        <v>33</v>
      </c>
    </row>
    <row r="640" spans="1:5" x14ac:dyDescent="0.25">
      <c r="A640" t="s">
        <v>31</v>
      </c>
      <c r="B640">
        <v>1.1937500000000001</v>
      </c>
      <c r="C640" t="s">
        <v>33</v>
      </c>
      <c r="D640">
        <v>29.634999999999998</v>
      </c>
      <c r="E640" t="s">
        <v>33</v>
      </c>
    </row>
    <row r="641" spans="1:5" x14ac:dyDescent="0.25">
      <c r="A641" t="s">
        <v>31</v>
      </c>
      <c r="B641">
        <v>1.07</v>
      </c>
      <c r="C641" t="s">
        <v>33</v>
      </c>
      <c r="D641">
        <v>26.035</v>
      </c>
      <c r="E641" t="s">
        <v>33</v>
      </c>
    </row>
    <row r="642" spans="1:5" x14ac:dyDescent="0.25">
      <c r="A642" t="s">
        <v>31</v>
      </c>
      <c r="B642">
        <v>0.74307692307692308</v>
      </c>
      <c r="C642" t="s">
        <v>32</v>
      </c>
      <c r="D642">
        <v>23.375</v>
      </c>
      <c r="E642" t="s">
        <v>33</v>
      </c>
    </row>
    <row r="643" spans="1:5" x14ac:dyDescent="0.25">
      <c r="A643" t="s">
        <v>31</v>
      </c>
      <c r="B643">
        <v>0.23399999999999999</v>
      </c>
      <c r="C643" t="s">
        <v>33</v>
      </c>
      <c r="D643">
        <v>37.26</v>
      </c>
      <c r="E643" t="s">
        <v>32</v>
      </c>
    </row>
    <row r="644" spans="1:5" x14ac:dyDescent="0.25">
      <c r="A644" t="s">
        <v>31</v>
      </c>
      <c r="B644">
        <v>0.44</v>
      </c>
      <c r="C644" t="s">
        <v>33</v>
      </c>
      <c r="D644">
        <v>15.69</v>
      </c>
      <c r="E644" t="s">
        <v>33</v>
      </c>
    </row>
    <row r="645" spans="1:5" x14ac:dyDescent="0.25">
      <c r="A645" t="s">
        <v>31</v>
      </c>
      <c r="B645">
        <v>0.13181818181818181</v>
      </c>
      <c r="C645" t="s">
        <v>33</v>
      </c>
      <c r="D645">
        <v>19.57</v>
      </c>
      <c r="E645" t="s">
        <v>33</v>
      </c>
    </row>
    <row r="646" spans="1:5" x14ac:dyDescent="0.25">
      <c r="A646" t="s">
        <v>31</v>
      </c>
      <c r="B646">
        <v>0.24</v>
      </c>
      <c r="C646" t="s">
        <v>33</v>
      </c>
      <c r="D646">
        <v>9.52</v>
      </c>
      <c r="E646" t="s">
        <v>33</v>
      </c>
    </row>
    <row r="647" spans="1:5" x14ac:dyDescent="0.25">
      <c r="A647" t="s">
        <v>31</v>
      </c>
      <c r="B647">
        <v>1.3149999999999999</v>
      </c>
      <c r="C647" t="s">
        <v>33</v>
      </c>
      <c r="D647">
        <v>12.11</v>
      </c>
      <c r="E647" t="s">
        <v>33</v>
      </c>
    </row>
    <row r="648" spans="1:5" x14ac:dyDescent="0.25">
      <c r="A648" t="s">
        <v>31</v>
      </c>
      <c r="B648">
        <v>0.20600000000000002</v>
      </c>
      <c r="C648" t="s">
        <v>33</v>
      </c>
      <c r="D648">
        <v>13.09</v>
      </c>
      <c r="E648" t="s">
        <v>33</v>
      </c>
    </row>
    <row r="649" spans="1:5" x14ac:dyDescent="0.25">
      <c r="A649" t="s">
        <v>31</v>
      </c>
      <c r="B649">
        <v>9.3636363636363643E-2</v>
      </c>
      <c r="C649" t="s">
        <v>32</v>
      </c>
      <c r="D649">
        <v>11.795</v>
      </c>
      <c r="E649" t="s">
        <v>33</v>
      </c>
    </row>
    <row r="650" spans="1:5" x14ac:dyDescent="0.25">
      <c r="A650" t="s">
        <v>31</v>
      </c>
      <c r="B650">
        <v>3.5750000000000002</v>
      </c>
      <c r="C650" t="s">
        <v>33</v>
      </c>
      <c r="D650">
        <v>31.37</v>
      </c>
      <c r="E650" t="s">
        <v>32</v>
      </c>
    </row>
    <row r="651" spans="1:5" x14ac:dyDescent="0.25">
      <c r="A651" t="s">
        <v>31</v>
      </c>
      <c r="B651">
        <v>2.44</v>
      </c>
      <c r="C651" t="s">
        <v>33</v>
      </c>
      <c r="D651">
        <v>46.47</v>
      </c>
      <c r="E651" t="s">
        <v>32</v>
      </c>
    </row>
    <row r="652" spans="1:5" x14ac:dyDescent="0.25">
      <c r="A652" t="s">
        <v>31</v>
      </c>
      <c r="B652">
        <v>0.42409090909090907</v>
      </c>
      <c r="C652" t="s">
        <v>33</v>
      </c>
      <c r="D652">
        <v>13.625</v>
      </c>
      <c r="E652" t="s">
        <v>33</v>
      </c>
    </row>
    <row r="653" spans="1:5" x14ac:dyDescent="0.25">
      <c r="A653" t="s">
        <v>31</v>
      </c>
      <c r="B653">
        <v>6.2500000000000001E-4</v>
      </c>
      <c r="C653" t="s">
        <v>33</v>
      </c>
      <c r="D653">
        <v>9.1649999999999991</v>
      </c>
      <c r="E653" t="s">
        <v>33</v>
      </c>
    </row>
    <row r="654" spans="1:5" x14ac:dyDescent="0.25">
      <c r="A654" t="s">
        <v>31</v>
      </c>
      <c r="B654">
        <v>0.31055555555555553</v>
      </c>
      <c r="C654" t="s">
        <v>32</v>
      </c>
      <c r="D654">
        <v>22.324999999999999</v>
      </c>
      <c r="E654" t="s">
        <v>33</v>
      </c>
    </row>
    <row r="655" spans="1:5" x14ac:dyDescent="0.25">
      <c r="A655" t="s">
        <v>31</v>
      </c>
      <c r="B655">
        <v>0.23650000000000002</v>
      </c>
      <c r="C655" t="s">
        <v>33</v>
      </c>
      <c r="D655">
        <v>38.635000000000005</v>
      </c>
      <c r="E655" t="s">
        <v>32</v>
      </c>
    </row>
    <row r="656" spans="1:5" x14ac:dyDescent="0.25">
      <c r="A656" t="s">
        <v>31</v>
      </c>
      <c r="B656">
        <v>0.69333333333333336</v>
      </c>
      <c r="C656" t="s">
        <v>33</v>
      </c>
      <c r="D656">
        <v>19.27</v>
      </c>
      <c r="E656" t="s">
        <v>33</v>
      </c>
    </row>
    <row r="657" spans="1:5" x14ac:dyDescent="0.25">
      <c r="A657" t="s">
        <v>31</v>
      </c>
      <c r="B657">
        <v>0.50090909090909086</v>
      </c>
      <c r="C657" t="s">
        <v>33</v>
      </c>
      <c r="D657">
        <v>42.71</v>
      </c>
      <c r="E657" t="s">
        <v>32</v>
      </c>
    </row>
    <row r="658" spans="1:5" x14ac:dyDescent="0.25">
      <c r="A658" t="s">
        <v>31</v>
      </c>
      <c r="B658">
        <v>0.25666666666666665</v>
      </c>
      <c r="C658" t="s">
        <v>33</v>
      </c>
      <c r="D658">
        <v>33.1</v>
      </c>
      <c r="E658" t="s">
        <v>32</v>
      </c>
    </row>
    <row r="659" spans="1:5" x14ac:dyDescent="0.25">
      <c r="A659" t="s">
        <v>31</v>
      </c>
      <c r="B659">
        <v>5.2000000000000005E-2</v>
      </c>
      <c r="C659" t="s">
        <v>33</v>
      </c>
      <c r="D659">
        <v>6.1049999999999995</v>
      </c>
      <c r="E659" t="s">
        <v>33</v>
      </c>
    </row>
    <row r="660" spans="1:5" x14ac:dyDescent="0.25">
      <c r="A660" t="s">
        <v>31</v>
      </c>
      <c r="B660">
        <v>0.15583333333333335</v>
      </c>
      <c r="C660" t="s">
        <v>33</v>
      </c>
      <c r="D660">
        <v>15.52</v>
      </c>
      <c r="E660" t="s">
        <v>33</v>
      </c>
    </row>
    <row r="661" spans="1:5" x14ac:dyDescent="0.25">
      <c r="A661" t="s">
        <v>31</v>
      </c>
      <c r="B661">
        <v>0.16250000000000001</v>
      </c>
      <c r="C661" t="s">
        <v>32</v>
      </c>
      <c r="D661">
        <v>3.29</v>
      </c>
      <c r="E661" t="s">
        <v>33</v>
      </c>
    </row>
    <row r="662" spans="1:5" x14ac:dyDescent="0.25">
      <c r="A662" t="s">
        <v>31</v>
      </c>
      <c r="B662">
        <v>0.49450000000000005</v>
      </c>
      <c r="C662" t="s">
        <v>32</v>
      </c>
      <c r="D662">
        <v>33.085000000000001</v>
      </c>
      <c r="E662" t="s">
        <v>32</v>
      </c>
    </row>
    <row r="663" spans="1:5" x14ac:dyDescent="0.25">
      <c r="A663" t="s">
        <v>31</v>
      </c>
      <c r="B663">
        <v>3.3333333333333333E-2</v>
      </c>
      <c r="C663" t="s">
        <v>32</v>
      </c>
      <c r="D663">
        <v>12.42</v>
      </c>
      <c r="E663" t="s">
        <v>33</v>
      </c>
    </row>
    <row r="664" spans="1:5" x14ac:dyDescent="0.25">
      <c r="A664" t="s">
        <v>31</v>
      </c>
      <c r="B664">
        <v>0.10368421052631578</v>
      </c>
      <c r="C664" t="s">
        <v>33</v>
      </c>
      <c r="D664">
        <v>18.705000000000002</v>
      </c>
      <c r="E664" t="s">
        <v>33</v>
      </c>
    </row>
    <row r="665" spans="1:5" x14ac:dyDescent="0.25">
      <c r="A665" t="s">
        <v>31</v>
      </c>
      <c r="B665">
        <v>1.7000000000000001E-2</v>
      </c>
      <c r="C665" t="s">
        <v>33</v>
      </c>
      <c r="D665">
        <v>9.33</v>
      </c>
      <c r="E665" t="s">
        <v>33</v>
      </c>
    </row>
    <row r="666" spans="1:5" x14ac:dyDescent="0.25">
      <c r="A666" t="s">
        <v>31</v>
      </c>
      <c r="B666">
        <v>1.92</v>
      </c>
      <c r="C666" t="s">
        <v>32</v>
      </c>
      <c r="D666">
        <v>38.904999999999994</v>
      </c>
      <c r="E666" t="s">
        <v>32</v>
      </c>
    </row>
    <row r="667" spans="1:5" x14ac:dyDescent="0.25">
      <c r="A667" t="s">
        <v>31</v>
      </c>
      <c r="B667">
        <v>0.40749999999999997</v>
      </c>
      <c r="C667" t="s">
        <v>33</v>
      </c>
      <c r="D667">
        <v>5.0049999999999999</v>
      </c>
      <c r="E667" t="s">
        <v>33</v>
      </c>
    </row>
    <row r="668" spans="1:5" x14ac:dyDescent="0.25">
      <c r="A668" t="s">
        <v>31</v>
      </c>
      <c r="B668">
        <v>0.30333333333333334</v>
      </c>
      <c r="C668" t="s">
        <v>32</v>
      </c>
      <c r="D668">
        <v>4.83</v>
      </c>
      <c r="E668" t="s">
        <v>33</v>
      </c>
    </row>
    <row r="669" spans="1:5" x14ac:dyDescent="0.25">
      <c r="A669" t="s">
        <v>31</v>
      </c>
      <c r="B669">
        <v>0.01</v>
      </c>
      <c r="C669" t="s">
        <v>33</v>
      </c>
      <c r="D669">
        <v>7.11</v>
      </c>
      <c r="E669" t="s">
        <v>33</v>
      </c>
    </row>
    <row r="670" spans="1:5" x14ac:dyDescent="0.25">
      <c r="A670" t="s">
        <v>31</v>
      </c>
      <c r="B670">
        <v>0.4272727272727273</v>
      </c>
      <c r="C670" t="s">
        <v>32</v>
      </c>
      <c r="D670">
        <v>17.875</v>
      </c>
      <c r="E670" t="s">
        <v>33</v>
      </c>
    </row>
    <row r="671" spans="1:5" x14ac:dyDescent="0.25">
      <c r="A671" t="s">
        <v>31</v>
      </c>
      <c r="B671">
        <v>0.1925</v>
      </c>
      <c r="C671" t="s">
        <v>32</v>
      </c>
      <c r="D671">
        <v>14.905000000000001</v>
      </c>
      <c r="E671" t="s">
        <v>33</v>
      </c>
    </row>
    <row r="672" spans="1:5" x14ac:dyDescent="0.25">
      <c r="A672" t="s">
        <v>31</v>
      </c>
      <c r="B672">
        <v>0.23210526315789473</v>
      </c>
      <c r="C672" t="s">
        <v>33</v>
      </c>
      <c r="D672">
        <v>27.18</v>
      </c>
      <c r="E672" t="s">
        <v>33</v>
      </c>
    </row>
    <row r="673" spans="1:5" x14ac:dyDescent="0.25">
      <c r="A673" t="s">
        <v>31</v>
      </c>
      <c r="B673">
        <v>5.0000000000000001E-3</v>
      </c>
      <c r="C673" t="s">
        <v>32</v>
      </c>
      <c r="D673">
        <v>6.09</v>
      </c>
      <c r="E673" t="s">
        <v>33</v>
      </c>
    </row>
    <row r="674" spans="1:5" x14ac:dyDescent="0.25">
      <c r="A674" t="s">
        <v>31</v>
      </c>
      <c r="B674">
        <v>0.1711111111111111</v>
      </c>
      <c r="C674" t="s">
        <v>33</v>
      </c>
      <c r="D674">
        <v>13.524999999999999</v>
      </c>
      <c r="E674" t="s">
        <v>33</v>
      </c>
    </row>
    <row r="675" spans="1:5" x14ac:dyDescent="0.25">
      <c r="A675" t="s">
        <v>31</v>
      </c>
      <c r="B675">
        <v>0.218</v>
      </c>
      <c r="C675" t="s">
        <v>33</v>
      </c>
      <c r="D675">
        <v>25.134999999999998</v>
      </c>
      <c r="E675" t="s">
        <v>33</v>
      </c>
    </row>
    <row r="676" spans="1:5" x14ac:dyDescent="0.25">
      <c r="A676" t="s">
        <v>31</v>
      </c>
      <c r="B676">
        <v>0.11100000000000002</v>
      </c>
      <c r="C676" t="s">
        <v>33</v>
      </c>
      <c r="D676">
        <v>14.65</v>
      </c>
      <c r="E676" t="s">
        <v>33</v>
      </c>
    </row>
    <row r="677" spans="1:5" x14ac:dyDescent="0.25">
      <c r="A677" t="s">
        <v>31</v>
      </c>
      <c r="B677">
        <v>0.19666666666666666</v>
      </c>
      <c r="C677" t="s">
        <v>32</v>
      </c>
      <c r="D677">
        <v>36.540000000000006</v>
      </c>
      <c r="E677" t="s">
        <v>32</v>
      </c>
    </row>
    <row r="678" spans="1:5" x14ac:dyDescent="0.25">
      <c r="A678" t="s">
        <v>31</v>
      </c>
      <c r="B678">
        <v>0.154</v>
      </c>
      <c r="C678" t="s">
        <v>33</v>
      </c>
      <c r="D678">
        <v>11.309999999999999</v>
      </c>
      <c r="E678" t="s">
        <v>33</v>
      </c>
    </row>
    <row r="679" spans="1:5" x14ac:dyDescent="0.25">
      <c r="A679" t="s">
        <v>31</v>
      </c>
      <c r="B679">
        <v>1.1366666666666667</v>
      </c>
      <c r="C679" t="s">
        <v>32</v>
      </c>
      <c r="D679">
        <v>11.86</v>
      </c>
      <c r="E679" t="s">
        <v>33</v>
      </c>
    </row>
    <row r="680" spans="1:5" x14ac:dyDescent="0.25">
      <c r="A680" t="s">
        <v>31</v>
      </c>
      <c r="B680">
        <v>0.49533333333333329</v>
      </c>
      <c r="C680" t="s">
        <v>33</v>
      </c>
      <c r="D680">
        <v>19.265000000000001</v>
      </c>
      <c r="E680" t="s">
        <v>33</v>
      </c>
    </row>
    <row r="681" spans="1:5" x14ac:dyDescent="0.25">
      <c r="A681" t="s">
        <v>31</v>
      </c>
      <c r="B681">
        <v>0.46636363636363637</v>
      </c>
      <c r="C681" t="s">
        <v>32</v>
      </c>
      <c r="D681">
        <v>13.9</v>
      </c>
      <c r="E681" t="s">
        <v>33</v>
      </c>
    </row>
    <row r="682" spans="1:5" x14ac:dyDescent="0.25">
      <c r="A682" t="s">
        <v>31</v>
      </c>
      <c r="B682">
        <v>0.54642857142857149</v>
      </c>
      <c r="C682" t="s">
        <v>32</v>
      </c>
      <c r="D682">
        <v>21.605</v>
      </c>
      <c r="E682" t="s">
        <v>33</v>
      </c>
    </row>
    <row r="683" spans="1:5" x14ac:dyDescent="0.25">
      <c r="A683" t="s">
        <v>31</v>
      </c>
      <c r="B683">
        <v>0.16619047619047619</v>
      </c>
      <c r="C683" t="s">
        <v>32</v>
      </c>
      <c r="D683">
        <v>24.354999999999997</v>
      </c>
      <c r="E683" t="s">
        <v>33</v>
      </c>
    </row>
    <row r="684" spans="1:5" x14ac:dyDescent="0.25">
      <c r="A684" t="s">
        <v>31</v>
      </c>
      <c r="B684">
        <v>0.18571428571428572</v>
      </c>
      <c r="C684" t="s">
        <v>33</v>
      </c>
      <c r="D684">
        <v>15.940000000000001</v>
      </c>
      <c r="E684" t="s">
        <v>33</v>
      </c>
    </row>
    <row r="685" spans="1:5" x14ac:dyDescent="0.25">
      <c r="A685" t="s">
        <v>31</v>
      </c>
      <c r="B685">
        <v>1.0625</v>
      </c>
      <c r="C685" t="s">
        <v>32</v>
      </c>
      <c r="D685">
        <v>12.645000000000001</v>
      </c>
      <c r="E685" t="s">
        <v>33</v>
      </c>
    </row>
    <row r="686" spans="1:5" x14ac:dyDescent="0.25">
      <c r="A686" t="s">
        <v>31</v>
      </c>
      <c r="B686">
        <v>0.69357142857142862</v>
      </c>
      <c r="C686" t="s">
        <v>33</v>
      </c>
      <c r="D686">
        <v>17.690000000000001</v>
      </c>
      <c r="E686" t="s">
        <v>33</v>
      </c>
    </row>
    <row r="687" spans="1:5" x14ac:dyDescent="0.25">
      <c r="A687" t="s">
        <v>31</v>
      </c>
      <c r="B687">
        <v>0.43818181818181823</v>
      </c>
      <c r="C687" t="s">
        <v>32</v>
      </c>
      <c r="D687">
        <v>21.155000000000001</v>
      </c>
      <c r="E687" t="s">
        <v>33</v>
      </c>
    </row>
    <row r="688" spans="1:5" x14ac:dyDescent="0.25">
      <c r="A688" t="s">
        <v>31</v>
      </c>
      <c r="B688">
        <v>0.23090909090909092</v>
      </c>
      <c r="C688" t="s">
        <v>33</v>
      </c>
      <c r="D688">
        <v>19.899999999999999</v>
      </c>
      <c r="E688" t="s">
        <v>33</v>
      </c>
    </row>
    <row r="689" spans="1:5" x14ac:dyDescent="0.25">
      <c r="A689" t="s">
        <v>31</v>
      </c>
      <c r="B689">
        <v>0.9900000000000001</v>
      </c>
      <c r="C689" t="s">
        <v>33</v>
      </c>
      <c r="D689">
        <v>28.045000000000002</v>
      </c>
      <c r="E689" t="s">
        <v>33</v>
      </c>
    </row>
    <row r="690" spans="1:5" x14ac:dyDescent="0.25">
      <c r="A690" t="s">
        <v>31</v>
      </c>
      <c r="B690">
        <v>0.37769230769230772</v>
      </c>
      <c r="C690" t="s">
        <v>32</v>
      </c>
      <c r="D690">
        <v>37.89</v>
      </c>
      <c r="E690" t="s">
        <v>32</v>
      </c>
    </row>
    <row r="691" spans="1:5" x14ac:dyDescent="0.25">
      <c r="A691" t="s">
        <v>31</v>
      </c>
      <c r="B691">
        <v>8.1764705882352934E-2</v>
      </c>
      <c r="C691" t="s">
        <v>32</v>
      </c>
      <c r="D691">
        <v>16.87</v>
      </c>
      <c r="E691" t="s">
        <v>33</v>
      </c>
    </row>
    <row r="692" spans="1:5" x14ac:dyDescent="0.25">
      <c r="A692" t="s">
        <v>31</v>
      </c>
      <c r="B692">
        <v>0.14333333333333334</v>
      </c>
      <c r="C692" t="s">
        <v>33</v>
      </c>
      <c r="D692">
        <v>11.045</v>
      </c>
      <c r="E692" t="s">
        <v>33</v>
      </c>
    </row>
    <row r="693" spans="1:5" x14ac:dyDescent="0.25">
      <c r="A693" t="s">
        <v>31</v>
      </c>
      <c r="B693">
        <v>0.24500000000000002</v>
      </c>
      <c r="C693" t="s">
        <v>33</v>
      </c>
      <c r="D693">
        <v>30.984999999999999</v>
      </c>
      <c r="E693" t="s">
        <v>32</v>
      </c>
    </row>
    <row r="694" spans="1:5" x14ac:dyDescent="0.25">
      <c r="A694" t="s">
        <v>31</v>
      </c>
      <c r="B694">
        <v>0.3705263157894737</v>
      </c>
      <c r="C694" t="s">
        <v>32</v>
      </c>
      <c r="D694">
        <v>15.505000000000001</v>
      </c>
      <c r="E694" t="s">
        <v>33</v>
      </c>
    </row>
    <row r="695" spans="1:5" x14ac:dyDescent="0.25">
      <c r="A695" t="s">
        <v>31</v>
      </c>
      <c r="B695">
        <v>0.32571428571428568</v>
      </c>
      <c r="C695" t="s">
        <v>33</v>
      </c>
      <c r="D695">
        <v>36.260000000000005</v>
      </c>
      <c r="E695" t="s">
        <v>32</v>
      </c>
    </row>
    <row r="696" spans="1:5" x14ac:dyDescent="0.25">
      <c r="A696" t="s">
        <v>31</v>
      </c>
      <c r="B696">
        <v>1.1071428571428572</v>
      </c>
      <c r="C696" t="s">
        <v>33</v>
      </c>
      <c r="D696">
        <v>35.130000000000003</v>
      </c>
      <c r="E696" t="s">
        <v>32</v>
      </c>
    </row>
    <row r="697" spans="1:5" x14ac:dyDescent="0.25">
      <c r="A697" t="s">
        <v>31</v>
      </c>
      <c r="B697">
        <v>8.8800000000000004E-2</v>
      </c>
      <c r="C697" t="s">
        <v>32</v>
      </c>
      <c r="D697">
        <v>19.21</v>
      </c>
      <c r="E697" t="s">
        <v>33</v>
      </c>
    </row>
    <row r="698" spans="1:5" x14ac:dyDescent="0.25">
      <c r="A698" t="s">
        <v>31</v>
      </c>
      <c r="B698">
        <v>0.54117647058823526</v>
      </c>
      <c r="C698" t="s">
        <v>33</v>
      </c>
      <c r="D698">
        <v>39.274999999999999</v>
      </c>
      <c r="E698" t="s">
        <v>32</v>
      </c>
    </row>
    <row r="699" spans="1:5" x14ac:dyDescent="0.25">
      <c r="A699" t="s">
        <v>31</v>
      </c>
      <c r="B699">
        <v>1.06</v>
      </c>
      <c r="C699" t="s">
        <v>33</v>
      </c>
      <c r="D699">
        <v>4</v>
      </c>
      <c r="E699" t="s">
        <v>33</v>
      </c>
    </row>
    <row r="700" spans="1:5" x14ac:dyDescent="0.25">
      <c r="A700" t="s">
        <v>31</v>
      </c>
      <c r="B700">
        <v>0.60285714285714287</v>
      </c>
      <c r="C700" t="s">
        <v>33</v>
      </c>
      <c r="D700">
        <v>36.99</v>
      </c>
      <c r="E700" t="s">
        <v>32</v>
      </c>
    </row>
    <row r="701" spans="1:5" x14ac:dyDescent="0.25">
      <c r="A701" t="s">
        <v>31</v>
      </c>
      <c r="B701">
        <v>0.21956521739130433</v>
      </c>
      <c r="C701" t="s">
        <v>33</v>
      </c>
      <c r="D701">
        <v>27.145000000000003</v>
      </c>
      <c r="E701" t="s">
        <v>33</v>
      </c>
    </row>
    <row r="702" spans="1:5" x14ac:dyDescent="0.25">
      <c r="A702" t="s">
        <v>31</v>
      </c>
      <c r="B702">
        <v>0.2535</v>
      </c>
      <c r="C702" t="s">
        <v>33</v>
      </c>
      <c r="D702">
        <v>17.335000000000001</v>
      </c>
      <c r="E702" t="s">
        <v>33</v>
      </c>
    </row>
    <row r="703" spans="1:5" x14ac:dyDescent="0.25">
      <c r="A703" t="s">
        <v>31</v>
      </c>
      <c r="B703">
        <v>8.8499999999999995E-2</v>
      </c>
      <c r="C703" t="s">
        <v>33</v>
      </c>
      <c r="D703">
        <v>10.154999999999999</v>
      </c>
      <c r="E703" t="s">
        <v>33</v>
      </c>
    </row>
    <row r="704" spans="1:5" x14ac:dyDescent="0.25">
      <c r="A704" t="s">
        <v>31</v>
      </c>
      <c r="B704">
        <v>9.0500000000000007</v>
      </c>
      <c r="C704" t="s">
        <v>32</v>
      </c>
      <c r="D704">
        <v>44.924999999999997</v>
      </c>
      <c r="E704" t="s">
        <v>32</v>
      </c>
    </row>
    <row r="705" spans="1:5" x14ac:dyDescent="0.25">
      <c r="A705" t="s">
        <v>31</v>
      </c>
      <c r="B705">
        <v>0.27999999999999997</v>
      </c>
      <c r="C705" t="s">
        <v>33</v>
      </c>
      <c r="D705">
        <v>16.41</v>
      </c>
      <c r="E705" t="s">
        <v>33</v>
      </c>
    </row>
    <row r="706" spans="1:5" x14ac:dyDescent="0.25">
      <c r="A706" t="s">
        <v>31</v>
      </c>
      <c r="B706">
        <v>3.888888888888889E-2</v>
      </c>
      <c r="C706" t="s">
        <v>32</v>
      </c>
      <c r="D706">
        <v>7.7050000000000001</v>
      </c>
      <c r="E706" t="s">
        <v>33</v>
      </c>
    </row>
    <row r="707" spans="1:5" x14ac:dyDescent="0.25">
      <c r="A707" t="s">
        <v>31</v>
      </c>
      <c r="B707">
        <v>0.96</v>
      </c>
      <c r="C707" t="s">
        <v>32</v>
      </c>
      <c r="D707">
        <v>30.619999999999997</v>
      </c>
      <c r="E707" t="s">
        <v>32</v>
      </c>
    </row>
    <row r="708" spans="1:5" x14ac:dyDescent="0.25">
      <c r="A708" t="s">
        <v>31</v>
      </c>
      <c r="B708">
        <v>1.2524999999999999</v>
      </c>
      <c r="C708" t="s">
        <v>32</v>
      </c>
      <c r="D708">
        <v>8.9649999999999999</v>
      </c>
      <c r="E708" t="s">
        <v>33</v>
      </c>
    </row>
    <row r="709" spans="1:5" x14ac:dyDescent="0.25">
      <c r="A709" t="s">
        <v>31</v>
      </c>
      <c r="B709">
        <v>0.26750000000000002</v>
      </c>
      <c r="C709" t="s">
        <v>33</v>
      </c>
      <c r="D709">
        <v>13.324999999999999</v>
      </c>
      <c r="E709" t="s">
        <v>33</v>
      </c>
    </row>
    <row r="710" spans="1:5" x14ac:dyDescent="0.25">
      <c r="A710" t="s">
        <v>31</v>
      </c>
      <c r="B710">
        <v>0.54100000000000004</v>
      </c>
      <c r="C710" t="s">
        <v>32</v>
      </c>
      <c r="D710">
        <v>13.649999999999999</v>
      </c>
      <c r="E710" t="s">
        <v>33</v>
      </c>
    </row>
    <row r="711" spans="1:5" x14ac:dyDescent="0.25">
      <c r="A711" t="s">
        <v>31</v>
      </c>
      <c r="B711">
        <v>0.21823529411764706</v>
      </c>
      <c r="C711" t="s">
        <v>32</v>
      </c>
      <c r="D711">
        <v>40.085000000000001</v>
      </c>
      <c r="E711" t="s">
        <v>32</v>
      </c>
    </row>
    <row r="712" spans="1:5" x14ac:dyDescent="0.25">
      <c r="A712" t="s">
        <v>31</v>
      </c>
      <c r="B712">
        <v>0.2475</v>
      </c>
      <c r="C712" t="s">
        <v>33</v>
      </c>
      <c r="D712">
        <v>11.99</v>
      </c>
      <c r="E712" t="s">
        <v>33</v>
      </c>
    </row>
    <row r="713" spans="1:5" x14ac:dyDescent="0.25">
      <c r="A713" t="s">
        <v>31</v>
      </c>
      <c r="B713">
        <v>0.38583333333333331</v>
      </c>
      <c r="C713" t="s">
        <v>32</v>
      </c>
      <c r="D713">
        <v>19.98</v>
      </c>
      <c r="E713" t="s">
        <v>33</v>
      </c>
    </row>
    <row r="714" spans="1:5" x14ac:dyDescent="0.25">
      <c r="A714" t="s">
        <v>31</v>
      </c>
      <c r="B714">
        <v>0.32047619047619047</v>
      </c>
      <c r="C714" t="s">
        <v>32</v>
      </c>
      <c r="D714">
        <v>20.265000000000001</v>
      </c>
      <c r="E714" t="s">
        <v>33</v>
      </c>
    </row>
    <row r="715" spans="1:5" x14ac:dyDescent="0.25">
      <c r="A715" t="s">
        <v>31</v>
      </c>
      <c r="B715">
        <v>0.87</v>
      </c>
      <c r="C715" t="s">
        <v>33</v>
      </c>
      <c r="D715">
        <v>35.74</v>
      </c>
      <c r="E715" t="s">
        <v>32</v>
      </c>
    </row>
    <row r="716" spans="1:5" x14ac:dyDescent="0.25">
      <c r="A716" t="s">
        <v>31</v>
      </c>
      <c r="B716">
        <v>9.3333333333333324E-2</v>
      </c>
      <c r="C716" t="s">
        <v>33</v>
      </c>
      <c r="D716">
        <v>17.085000000000001</v>
      </c>
      <c r="E716" t="s">
        <v>33</v>
      </c>
    </row>
    <row r="717" spans="1:5" x14ac:dyDescent="0.25">
      <c r="A717" t="s">
        <v>31</v>
      </c>
      <c r="B717">
        <v>1.8049999999999999</v>
      </c>
      <c r="C717" t="s">
        <v>33</v>
      </c>
      <c r="D717">
        <v>25.42</v>
      </c>
      <c r="E717" t="s">
        <v>33</v>
      </c>
    </row>
    <row r="718" spans="1:5" x14ac:dyDescent="0.25">
      <c r="A718" t="s">
        <v>31</v>
      </c>
      <c r="B718">
        <v>0.38636363636363635</v>
      </c>
      <c r="C718" t="s">
        <v>32</v>
      </c>
      <c r="D718">
        <v>30.39</v>
      </c>
      <c r="E718" t="s">
        <v>32</v>
      </c>
    </row>
    <row r="719" spans="1:5" x14ac:dyDescent="0.25">
      <c r="A719" t="s">
        <v>31</v>
      </c>
      <c r="B719">
        <v>1.5740000000000001</v>
      </c>
      <c r="C719" t="s">
        <v>32</v>
      </c>
      <c r="D719">
        <v>11.33</v>
      </c>
      <c r="E719" t="s">
        <v>33</v>
      </c>
    </row>
    <row r="720" spans="1:5" x14ac:dyDescent="0.25">
      <c r="A720" t="s">
        <v>31</v>
      </c>
      <c r="B720">
        <v>0.40823529411764709</v>
      </c>
      <c r="C720" t="s">
        <v>32</v>
      </c>
      <c r="D720">
        <v>39.185000000000002</v>
      </c>
      <c r="E720" t="s">
        <v>32</v>
      </c>
    </row>
    <row r="721" spans="1:5" x14ac:dyDescent="0.25">
      <c r="A721" t="s">
        <v>31</v>
      </c>
      <c r="B721">
        <v>1.0175000000000001</v>
      </c>
      <c r="C721" t="s">
        <v>33</v>
      </c>
      <c r="D721">
        <v>14.375</v>
      </c>
      <c r="E721" t="s">
        <v>33</v>
      </c>
    </row>
    <row r="722" spans="1:5" x14ac:dyDescent="0.25">
      <c r="A722" t="s">
        <v>31</v>
      </c>
      <c r="B722">
        <v>0.37624999999999997</v>
      </c>
      <c r="C722" t="s">
        <v>33</v>
      </c>
      <c r="D722">
        <v>29.65</v>
      </c>
      <c r="E722" t="s">
        <v>33</v>
      </c>
    </row>
    <row r="723" spans="1:5" x14ac:dyDescent="0.25">
      <c r="A723" t="s">
        <v>31</v>
      </c>
      <c r="B723">
        <v>0.48550000000000004</v>
      </c>
      <c r="C723" t="s">
        <v>33</v>
      </c>
      <c r="D723">
        <v>50.05</v>
      </c>
      <c r="E723" t="s">
        <v>32</v>
      </c>
    </row>
    <row r="724" spans="1:5" x14ac:dyDescent="0.25">
      <c r="A724" t="s">
        <v>31</v>
      </c>
      <c r="B724">
        <v>2.1250000000000002E-2</v>
      </c>
      <c r="C724" t="s">
        <v>33</v>
      </c>
      <c r="D724">
        <v>7.3250000000000002</v>
      </c>
      <c r="E724" t="s">
        <v>33</v>
      </c>
    </row>
    <row r="725" spans="1:5" x14ac:dyDescent="0.25">
      <c r="A725" t="s">
        <v>31</v>
      </c>
      <c r="B725">
        <v>0.1459090909090909</v>
      </c>
      <c r="C725" t="s">
        <v>32</v>
      </c>
      <c r="D725">
        <v>12.715</v>
      </c>
      <c r="E725" t="s">
        <v>33</v>
      </c>
    </row>
    <row r="726" spans="1:5" x14ac:dyDescent="0.25">
      <c r="A726" t="s">
        <v>31</v>
      </c>
      <c r="B726">
        <v>8.44</v>
      </c>
      <c r="C726" t="s">
        <v>33</v>
      </c>
      <c r="D726">
        <v>46.85</v>
      </c>
      <c r="E726" t="s">
        <v>32</v>
      </c>
    </row>
    <row r="727" spans="1:5" x14ac:dyDescent="0.25">
      <c r="A727" t="s">
        <v>31</v>
      </c>
      <c r="B727">
        <v>3.7619047619047621E-2</v>
      </c>
      <c r="C727" t="s">
        <v>33</v>
      </c>
      <c r="D727">
        <v>10.84</v>
      </c>
      <c r="E727" t="s">
        <v>33</v>
      </c>
    </row>
    <row r="728" spans="1:5" x14ac:dyDescent="0.25">
      <c r="A728" t="s">
        <v>31</v>
      </c>
      <c r="B728">
        <v>2.27</v>
      </c>
      <c r="C728" t="s">
        <v>33</v>
      </c>
      <c r="D728">
        <v>10.475</v>
      </c>
      <c r="E728" t="s">
        <v>33</v>
      </c>
    </row>
    <row r="729" spans="1:5" x14ac:dyDescent="0.25">
      <c r="A729" t="s">
        <v>31</v>
      </c>
      <c r="B729">
        <v>0.28384615384615386</v>
      </c>
      <c r="C729" t="s">
        <v>33</v>
      </c>
      <c r="D729">
        <v>15.44</v>
      </c>
      <c r="E729" t="s">
        <v>33</v>
      </c>
    </row>
    <row r="730" spans="1:5" x14ac:dyDescent="0.25">
      <c r="A730" t="s">
        <v>31</v>
      </c>
      <c r="B730">
        <v>0.4105882352941177</v>
      </c>
      <c r="C730" t="s">
        <v>32</v>
      </c>
      <c r="D730">
        <v>22.73</v>
      </c>
      <c r="E730" t="s">
        <v>33</v>
      </c>
    </row>
    <row r="731" spans="1:5" x14ac:dyDescent="0.25">
      <c r="A731" t="s">
        <v>31</v>
      </c>
      <c r="B731">
        <v>0.1605</v>
      </c>
      <c r="C731" t="s">
        <v>33</v>
      </c>
      <c r="D731">
        <v>19.914999999999999</v>
      </c>
      <c r="E731" t="s">
        <v>33</v>
      </c>
    </row>
    <row r="732" spans="1:5" x14ac:dyDescent="0.25">
      <c r="A732" t="s">
        <v>31</v>
      </c>
      <c r="B732">
        <v>0.4238095238095238</v>
      </c>
      <c r="C732" t="s">
        <v>32</v>
      </c>
      <c r="D732">
        <v>20.490000000000002</v>
      </c>
      <c r="E732" t="s">
        <v>33</v>
      </c>
    </row>
    <row r="733" spans="1:5" x14ac:dyDescent="0.25">
      <c r="A733" t="s">
        <v>31</v>
      </c>
      <c r="B733">
        <v>0.39937499999999998</v>
      </c>
      <c r="C733" t="s">
        <v>33</v>
      </c>
      <c r="D733">
        <v>50.63</v>
      </c>
      <c r="E733" t="s">
        <v>32</v>
      </c>
    </row>
    <row r="734" spans="1:5" x14ac:dyDescent="0.25">
      <c r="A734" t="s">
        <v>31</v>
      </c>
      <c r="B734">
        <v>0.23399999999999999</v>
      </c>
      <c r="C734" t="s">
        <v>33</v>
      </c>
      <c r="D734">
        <v>24.490000000000002</v>
      </c>
      <c r="E734" t="s">
        <v>33</v>
      </c>
    </row>
    <row r="735" spans="1:5" x14ac:dyDescent="0.25">
      <c r="A735" t="s">
        <v>31</v>
      </c>
      <c r="B735">
        <v>0.33250000000000002</v>
      </c>
      <c r="C735" t="s">
        <v>32</v>
      </c>
      <c r="D735">
        <v>44.785000000000004</v>
      </c>
      <c r="E735" t="s">
        <v>32</v>
      </c>
    </row>
    <row r="736" spans="1:5" x14ac:dyDescent="0.25">
      <c r="A736" t="s">
        <v>31</v>
      </c>
      <c r="B736">
        <v>1.4800000000000002</v>
      </c>
      <c r="C736" t="s">
        <v>33</v>
      </c>
      <c r="D736">
        <v>15.154999999999999</v>
      </c>
      <c r="E736" t="s">
        <v>33</v>
      </c>
    </row>
    <row r="737" spans="1:5" x14ac:dyDescent="0.25">
      <c r="A737" t="s">
        <v>31</v>
      </c>
      <c r="B737">
        <v>1.4</v>
      </c>
      <c r="C737" t="s">
        <v>33</v>
      </c>
      <c r="D737">
        <v>8.7449999999999992</v>
      </c>
      <c r="E737" t="s">
        <v>33</v>
      </c>
    </row>
    <row r="738" spans="1:5" x14ac:dyDescent="0.25">
      <c r="A738" t="s">
        <v>31</v>
      </c>
      <c r="B738">
        <v>0.27687499999999998</v>
      </c>
      <c r="C738" t="s">
        <v>33</v>
      </c>
      <c r="D738">
        <v>45.195</v>
      </c>
      <c r="E738" t="s">
        <v>32</v>
      </c>
    </row>
    <row r="739" spans="1:5" x14ac:dyDescent="0.25">
      <c r="A739" t="s">
        <v>31</v>
      </c>
      <c r="B739">
        <v>7.9473684210526321E-2</v>
      </c>
      <c r="C739" t="s">
        <v>33</v>
      </c>
      <c r="D739">
        <v>5.5299999999999994</v>
      </c>
      <c r="E739" t="s">
        <v>33</v>
      </c>
    </row>
    <row r="740" spans="1:5" x14ac:dyDescent="0.25">
      <c r="A740" t="s">
        <v>31</v>
      </c>
      <c r="B740">
        <v>0.43230769230769234</v>
      </c>
      <c r="C740" t="s">
        <v>33</v>
      </c>
      <c r="D740">
        <v>21.03</v>
      </c>
      <c r="E740" t="s">
        <v>33</v>
      </c>
    </row>
    <row r="741" spans="1:5" x14ac:dyDescent="0.25">
      <c r="A741" t="s">
        <v>31</v>
      </c>
      <c r="B741">
        <v>0.24249999999999999</v>
      </c>
      <c r="C741" t="s">
        <v>33</v>
      </c>
      <c r="D741">
        <v>20.239999999999998</v>
      </c>
      <c r="E741" t="s">
        <v>33</v>
      </c>
    </row>
    <row r="742" spans="1:5" x14ac:dyDescent="0.25">
      <c r="A742" t="s">
        <v>31</v>
      </c>
      <c r="B742">
        <v>0.186</v>
      </c>
      <c r="C742" t="s">
        <v>33</v>
      </c>
      <c r="D742">
        <v>12.565</v>
      </c>
      <c r="E742" t="s">
        <v>33</v>
      </c>
    </row>
    <row r="743" spans="1:5" x14ac:dyDescent="0.25">
      <c r="A743" t="s">
        <v>31</v>
      </c>
      <c r="B743">
        <v>0.29375000000000001</v>
      </c>
      <c r="C743" t="s">
        <v>32</v>
      </c>
      <c r="D743">
        <v>27.18</v>
      </c>
      <c r="E743" t="s">
        <v>33</v>
      </c>
    </row>
    <row r="744" spans="1:5" x14ac:dyDescent="0.25">
      <c r="A744" t="s">
        <v>31</v>
      </c>
      <c r="B744">
        <v>0.3005263157894737</v>
      </c>
      <c r="C744" t="s">
        <v>33</v>
      </c>
      <c r="D744">
        <v>12.950000000000001</v>
      </c>
      <c r="E744" t="s">
        <v>33</v>
      </c>
    </row>
    <row r="745" spans="1:5" x14ac:dyDescent="0.25">
      <c r="A745" t="s">
        <v>31</v>
      </c>
      <c r="B745">
        <v>0.19642857142857142</v>
      </c>
      <c r="C745" t="s">
        <v>33</v>
      </c>
      <c r="D745">
        <v>31.505000000000003</v>
      </c>
      <c r="E745" t="s">
        <v>32</v>
      </c>
    </row>
    <row r="746" spans="1:5" x14ac:dyDescent="0.25">
      <c r="A746" t="s">
        <v>31</v>
      </c>
      <c r="B746">
        <v>4.4285714285714282E-2</v>
      </c>
      <c r="C746" t="s">
        <v>33</v>
      </c>
      <c r="D746">
        <v>7.9050000000000002</v>
      </c>
      <c r="E746" t="s">
        <v>33</v>
      </c>
    </row>
    <row r="747" spans="1:5" x14ac:dyDescent="0.25">
      <c r="A747" t="s">
        <v>31</v>
      </c>
      <c r="B747">
        <v>0.42352941176470588</v>
      </c>
      <c r="C747" t="s">
        <v>33</v>
      </c>
      <c r="D747">
        <v>24.11</v>
      </c>
      <c r="E747" t="s">
        <v>33</v>
      </c>
    </row>
    <row r="748" spans="1:5" x14ac:dyDescent="0.25">
      <c r="A748" t="s">
        <v>31</v>
      </c>
      <c r="B748">
        <v>2.7566666666666664</v>
      </c>
      <c r="C748" t="s">
        <v>33</v>
      </c>
      <c r="D748">
        <v>26.975000000000001</v>
      </c>
      <c r="E748" t="s">
        <v>33</v>
      </c>
    </row>
    <row r="749" spans="1:5" x14ac:dyDescent="0.25">
      <c r="A749" t="s">
        <v>31</v>
      </c>
      <c r="B749">
        <v>0.50800000000000001</v>
      </c>
      <c r="C749" t="s">
        <v>32</v>
      </c>
      <c r="D749">
        <v>19.125</v>
      </c>
      <c r="E749" t="s">
        <v>33</v>
      </c>
    </row>
    <row r="750" spans="1:5" x14ac:dyDescent="0.25">
      <c r="A750" t="s">
        <v>31</v>
      </c>
      <c r="B750">
        <v>3.89</v>
      </c>
      <c r="C750" t="s">
        <v>33</v>
      </c>
      <c r="D750">
        <v>37.994999999999997</v>
      </c>
      <c r="E750" t="s">
        <v>32</v>
      </c>
    </row>
    <row r="751" spans="1:5" x14ac:dyDescent="0.25">
      <c r="A751" t="s">
        <v>31</v>
      </c>
      <c r="B751">
        <v>0.18043478260869567</v>
      </c>
      <c r="C751" t="s">
        <v>32</v>
      </c>
      <c r="D751">
        <v>14.21</v>
      </c>
      <c r="E751" t="s">
        <v>33</v>
      </c>
    </row>
    <row r="752" spans="1:5" x14ac:dyDescent="0.25">
      <c r="A752" t="s">
        <v>31</v>
      </c>
      <c r="B752">
        <v>0.27142857142857141</v>
      </c>
      <c r="C752" t="s">
        <v>32</v>
      </c>
      <c r="D752">
        <v>8.75</v>
      </c>
      <c r="E752" t="s">
        <v>33</v>
      </c>
    </row>
    <row r="753" spans="1:5" x14ac:dyDescent="0.25">
      <c r="A753" t="s">
        <v>31</v>
      </c>
      <c r="B753">
        <v>2.2400000000000002</v>
      </c>
      <c r="C753" t="s">
        <v>33</v>
      </c>
      <c r="D753">
        <v>36.44</v>
      </c>
      <c r="E753" t="s">
        <v>32</v>
      </c>
    </row>
    <row r="754" spans="1:5" x14ac:dyDescent="0.25">
      <c r="A754" t="s">
        <v>31</v>
      </c>
      <c r="B754">
        <v>2.1633333333333336</v>
      </c>
      <c r="C754" t="s">
        <v>33</v>
      </c>
      <c r="D754">
        <v>37.17</v>
      </c>
      <c r="E754" t="s">
        <v>32</v>
      </c>
    </row>
    <row r="755" spans="1:5" x14ac:dyDescent="0.25">
      <c r="A755" t="s">
        <v>31</v>
      </c>
      <c r="B755">
        <v>2.44</v>
      </c>
      <c r="C755" t="s">
        <v>32</v>
      </c>
      <c r="D755">
        <v>8.27</v>
      </c>
      <c r="E755" t="s">
        <v>33</v>
      </c>
    </row>
    <row r="756" spans="1:5" x14ac:dyDescent="0.25">
      <c r="A756" t="s">
        <v>31</v>
      </c>
      <c r="B756">
        <v>0.18062500000000001</v>
      </c>
      <c r="C756" t="s">
        <v>33</v>
      </c>
      <c r="D756">
        <v>31.29</v>
      </c>
      <c r="E756" t="s">
        <v>32</v>
      </c>
    </row>
    <row r="757" spans="1:5" x14ac:dyDescent="0.25">
      <c r="A757" t="s">
        <v>31</v>
      </c>
      <c r="B757">
        <v>4.0588235294117647E-2</v>
      </c>
      <c r="C757" t="s">
        <v>33</v>
      </c>
      <c r="D757">
        <v>6.43</v>
      </c>
      <c r="E757" t="s">
        <v>33</v>
      </c>
    </row>
    <row r="758" spans="1:5" x14ac:dyDescent="0.25">
      <c r="A758" t="s">
        <v>31</v>
      </c>
      <c r="B758">
        <v>0.151</v>
      </c>
      <c r="C758" t="s">
        <v>33</v>
      </c>
      <c r="D758">
        <v>14.385</v>
      </c>
      <c r="E758" t="s">
        <v>33</v>
      </c>
    </row>
    <row r="759" spans="1:5" x14ac:dyDescent="0.25">
      <c r="A759" t="s">
        <v>31</v>
      </c>
      <c r="B759">
        <v>4.8000000000000001E-2</v>
      </c>
      <c r="C759" t="s">
        <v>32</v>
      </c>
      <c r="D759">
        <v>16.91</v>
      </c>
      <c r="E759" t="s">
        <v>33</v>
      </c>
    </row>
    <row r="760" spans="1:5" x14ac:dyDescent="0.25">
      <c r="A760" t="s">
        <v>31</v>
      </c>
      <c r="B760">
        <v>9.2142857142857151E-2</v>
      </c>
      <c r="C760" t="s">
        <v>32</v>
      </c>
      <c r="D760">
        <v>3.7450000000000001</v>
      </c>
      <c r="E760" t="s">
        <v>33</v>
      </c>
    </row>
    <row r="761" spans="1:5" x14ac:dyDescent="0.25">
      <c r="A761" t="s">
        <v>31</v>
      </c>
      <c r="B761">
        <v>0.38550000000000001</v>
      </c>
      <c r="C761" t="s">
        <v>33</v>
      </c>
      <c r="D761">
        <v>17.774999999999999</v>
      </c>
      <c r="E761" t="s">
        <v>33</v>
      </c>
    </row>
    <row r="762" spans="1:5" x14ac:dyDescent="0.25">
      <c r="A762" t="s">
        <v>31</v>
      </c>
      <c r="B762">
        <v>2.7272727272727271E-2</v>
      </c>
      <c r="C762" t="s">
        <v>32</v>
      </c>
      <c r="D762">
        <v>8.7650000000000006</v>
      </c>
      <c r="E762" t="s">
        <v>33</v>
      </c>
    </row>
    <row r="763" spans="1:5" x14ac:dyDescent="0.25">
      <c r="A763" t="s">
        <v>31</v>
      </c>
      <c r="B763">
        <v>0.73</v>
      </c>
      <c r="C763" t="s">
        <v>33</v>
      </c>
      <c r="D763">
        <v>14.469999999999999</v>
      </c>
      <c r="E763" t="s">
        <v>33</v>
      </c>
    </row>
    <row r="764" spans="1:5" x14ac:dyDescent="0.25">
      <c r="A764" t="s">
        <v>31</v>
      </c>
      <c r="B764">
        <v>0.77166666666666661</v>
      </c>
      <c r="C764" t="s">
        <v>32</v>
      </c>
      <c r="D764">
        <v>25.305</v>
      </c>
      <c r="E764" t="s">
        <v>33</v>
      </c>
    </row>
    <row r="765" spans="1:5" x14ac:dyDescent="0.25">
      <c r="A765" t="s">
        <v>31</v>
      </c>
      <c r="B765">
        <v>0.26874999999999999</v>
      </c>
      <c r="C765" t="s">
        <v>33</v>
      </c>
      <c r="D765">
        <v>10.175000000000001</v>
      </c>
      <c r="E765" t="s">
        <v>33</v>
      </c>
    </row>
    <row r="766" spans="1:5" x14ac:dyDescent="0.25">
      <c r="A766" t="s">
        <v>31</v>
      </c>
      <c r="B766">
        <v>0.4405</v>
      </c>
      <c r="C766" t="s">
        <v>32</v>
      </c>
      <c r="D766">
        <v>16.850000000000001</v>
      </c>
      <c r="E766" t="s">
        <v>33</v>
      </c>
    </row>
    <row r="767" spans="1:5" x14ac:dyDescent="0.25">
      <c r="A767" t="s">
        <v>31</v>
      </c>
      <c r="B767">
        <v>6.3333333333333339E-2</v>
      </c>
      <c r="C767" t="s">
        <v>32</v>
      </c>
      <c r="D767">
        <v>6.1950000000000003</v>
      </c>
      <c r="E767" t="s">
        <v>33</v>
      </c>
    </row>
    <row r="768" spans="1:5" x14ac:dyDescent="0.25">
      <c r="A768" t="s">
        <v>31</v>
      </c>
      <c r="B768">
        <v>2.5000000000000001E-2</v>
      </c>
      <c r="C768" t="s">
        <v>33</v>
      </c>
      <c r="D768">
        <v>6.74</v>
      </c>
      <c r="E768" t="s">
        <v>33</v>
      </c>
    </row>
    <row r="769" spans="1:5" x14ac:dyDescent="0.25">
      <c r="A769" t="s">
        <v>31</v>
      </c>
      <c r="B769">
        <v>6.6000000000000003E-2</v>
      </c>
      <c r="C769" t="s">
        <v>33</v>
      </c>
      <c r="D769">
        <v>4.91</v>
      </c>
      <c r="E769" t="s">
        <v>33</v>
      </c>
    </row>
    <row r="770" spans="1:5" x14ac:dyDescent="0.25">
      <c r="A770" t="s">
        <v>31</v>
      </c>
      <c r="B770">
        <v>5.89</v>
      </c>
      <c r="C770" t="s">
        <v>33</v>
      </c>
      <c r="D770">
        <v>26.81</v>
      </c>
      <c r="E770" t="s">
        <v>33</v>
      </c>
    </row>
    <row r="771" spans="1:5" x14ac:dyDescent="0.25">
      <c r="A771" t="s">
        <v>31</v>
      </c>
      <c r="B771">
        <v>0.33799999999999997</v>
      </c>
      <c r="C771" t="s">
        <v>32</v>
      </c>
      <c r="D771">
        <v>28.13</v>
      </c>
      <c r="E771" t="s">
        <v>33</v>
      </c>
    </row>
    <row r="772" spans="1:5" x14ac:dyDescent="0.25">
      <c r="A772" t="s">
        <v>31</v>
      </c>
      <c r="B772">
        <v>6.5000000000000002E-2</v>
      </c>
      <c r="C772" t="s">
        <v>33</v>
      </c>
      <c r="D772">
        <v>7.125</v>
      </c>
      <c r="E772" t="s">
        <v>33</v>
      </c>
    </row>
    <row r="773" spans="1:5" x14ac:dyDescent="0.25">
      <c r="A773" t="s">
        <v>31</v>
      </c>
      <c r="B773">
        <v>0.37307692307692303</v>
      </c>
      <c r="C773" t="s">
        <v>32</v>
      </c>
      <c r="D773">
        <v>31.589999999999996</v>
      </c>
      <c r="E773" t="s">
        <v>32</v>
      </c>
    </row>
    <row r="774" spans="1:5" x14ac:dyDescent="0.25">
      <c r="A774" t="s">
        <v>31</v>
      </c>
      <c r="B774">
        <v>0.38200000000000001</v>
      </c>
      <c r="C774" t="s">
        <v>33</v>
      </c>
      <c r="D774">
        <v>23.115000000000002</v>
      </c>
      <c r="E774" t="s">
        <v>33</v>
      </c>
    </row>
    <row r="775" spans="1:5" x14ac:dyDescent="0.25">
      <c r="A775" t="s">
        <v>31</v>
      </c>
      <c r="B775">
        <v>0.37384615384615388</v>
      </c>
      <c r="C775" t="s">
        <v>32</v>
      </c>
      <c r="D775">
        <v>40.24</v>
      </c>
      <c r="E775" t="s">
        <v>32</v>
      </c>
    </row>
    <row r="776" spans="1:5" x14ac:dyDescent="0.25">
      <c r="A776" t="s">
        <v>31</v>
      </c>
      <c r="B776">
        <v>0.20499999999999999</v>
      </c>
      <c r="C776" t="s">
        <v>32</v>
      </c>
      <c r="D776">
        <v>47.555</v>
      </c>
      <c r="E776" t="s">
        <v>32</v>
      </c>
    </row>
    <row r="777" spans="1:5" x14ac:dyDescent="0.25">
      <c r="A777" t="s">
        <v>31</v>
      </c>
      <c r="B777">
        <v>0.3725</v>
      </c>
      <c r="C777" t="s">
        <v>33</v>
      </c>
      <c r="D777">
        <v>9.370000000000001</v>
      </c>
      <c r="E777" t="s">
        <v>33</v>
      </c>
    </row>
    <row r="778" spans="1:5" x14ac:dyDescent="0.25">
      <c r="A778" t="s">
        <v>31</v>
      </c>
      <c r="B778">
        <v>0.18444444444444444</v>
      </c>
      <c r="C778" t="s">
        <v>33</v>
      </c>
      <c r="D778">
        <v>12.7</v>
      </c>
      <c r="E778" t="s">
        <v>33</v>
      </c>
    </row>
    <row r="779" spans="1:5" x14ac:dyDescent="0.25">
      <c r="A779" t="s">
        <v>31</v>
      </c>
      <c r="B779">
        <v>0.36458333333333331</v>
      </c>
      <c r="C779" t="s">
        <v>33</v>
      </c>
      <c r="D779">
        <v>32.325000000000003</v>
      </c>
      <c r="E779" t="s">
        <v>32</v>
      </c>
    </row>
    <row r="780" spans="1:5" x14ac:dyDescent="0.25">
      <c r="A780" t="s">
        <v>31</v>
      </c>
      <c r="B780">
        <v>0.43352941176470589</v>
      </c>
      <c r="C780" t="s">
        <v>33</v>
      </c>
      <c r="D780">
        <v>18.3</v>
      </c>
      <c r="E780" t="s">
        <v>33</v>
      </c>
    </row>
    <row r="781" spans="1:5" x14ac:dyDescent="0.25">
      <c r="A781" t="s">
        <v>31</v>
      </c>
      <c r="B781">
        <v>1.266</v>
      </c>
      <c r="C781" t="s">
        <v>32</v>
      </c>
      <c r="D781">
        <v>11.625</v>
      </c>
      <c r="E781" t="s">
        <v>33</v>
      </c>
    </row>
    <row r="782" spans="1:5" x14ac:dyDescent="0.25">
      <c r="A782" t="s">
        <v>31</v>
      </c>
      <c r="B782">
        <v>1.0325</v>
      </c>
      <c r="C782" t="s">
        <v>32</v>
      </c>
      <c r="D782">
        <v>28.439999999999998</v>
      </c>
      <c r="E782" t="s">
        <v>33</v>
      </c>
    </row>
    <row r="783" spans="1:5" x14ac:dyDescent="0.25">
      <c r="A783" t="s">
        <v>31</v>
      </c>
      <c r="B783">
        <v>7.9565217391304358E-2</v>
      </c>
      <c r="C783" t="s">
        <v>33</v>
      </c>
      <c r="D783">
        <v>17.215</v>
      </c>
      <c r="E783" t="s">
        <v>33</v>
      </c>
    </row>
    <row r="784" spans="1:5" x14ac:dyDescent="0.25">
      <c r="A784" t="s">
        <v>31</v>
      </c>
      <c r="B784">
        <v>0.46733333333333332</v>
      </c>
      <c r="C784" t="s">
        <v>32</v>
      </c>
      <c r="D784">
        <v>28.955000000000002</v>
      </c>
      <c r="E784" t="s">
        <v>33</v>
      </c>
    </row>
    <row r="785" spans="1:5" x14ac:dyDescent="0.25">
      <c r="A785" t="s">
        <v>31</v>
      </c>
      <c r="B785">
        <v>1.1359999999999999</v>
      </c>
      <c r="C785" t="s">
        <v>33</v>
      </c>
      <c r="D785">
        <v>16.884999999999998</v>
      </c>
      <c r="E785" t="s">
        <v>33</v>
      </c>
    </row>
    <row r="786" spans="1:5" x14ac:dyDescent="0.25">
      <c r="A786" t="s">
        <v>31</v>
      </c>
      <c r="B786">
        <v>0.30071428571428571</v>
      </c>
      <c r="C786" t="s">
        <v>32</v>
      </c>
      <c r="D786">
        <v>27.18</v>
      </c>
      <c r="E786" t="s">
        <v>33</v>
      </c>
    </row>
    <row r="787" spans="1:5" x14ac:dyDescent="0.25">
      <c r="A787" t="s">
        <v>31</v>
      </c>
      <c r="B787">
        <v>0.29399999999999998</v>
      </c>
      <c r="C787" t="s">
        <v>33</v>
      </c>
      <c r="D787">
        <v>6.04</v>
      </c>
      <c r="E787" t="s">
        <v>33</v>
      </c>
    </row>
    <row r="788" spans="1:5" x14ac:dyDescent="0.25">
      <c r="A788" t="s">
        <v>31</v>
      </c>
      <c r="B788">
        <v>0.39391304347826089</v>
      </c>
      <c r="C788" t="s">
        <v>32</v>
      </c>
      <c r="D788">
        <v>29.83</v>
      </c>
      <c r="E788" t="s">
        <v>33</v>
      </c>
    </row>
    <row r="789" spans="1:5" x14ac:dyDescent="0.25">
      <c r="A789" t="s">
        <v>31</v>
      </c>
      <c r="B789">
        <v>0.15043478260869564</v>
      </c>
      <c r="C789" t="s">
        <v>33</v>
      </c>
      <c r="D789">
        <v>9.875</v>
      </c>
      <c r="E789" t="s">
        <v>33</v>
      </c>
    </row>
    <row r="790" spans="1:5" x14ac:dyDescent="0.25">
      <c r="A790" t="s">
        <v>31</v>
      </c>
      <c r="B790">
        <v>9.6086956521739125E-2</v>
      </c>
      <c r="C790" t="s">
        <v>33</v>
      </c>
      <c r="D790">
        <v>15.61</v>
      </c>
      <c r="E790" t="s">
        <v>33</v>
      </c>
    </row>
    <row r="791" spans="1:5" x14ac:dyDescent="0.25">
      <c r="A791" t="s">
        <v>31</v>
      </c>
      <c r="B791">
        <v>0.22523809523809527</v>
      </c>
      <c r="C791" t="s">
        <v>33</v>
      </c>
      <c r="D791">
        <v>20.8</v>
      </c>
      <c r="E791" t="s">
        <v>33</v>
      </c>
    </row>
    <row r="792" spans="1:5" x14ac:dyDescent="0.25">
      <c r="A792" t="s">
        <v>31</v>
      </c>
      <c r="B792">
        <v>1.2116666666666667</v>
      </c>
      <c r="C792" t="s">
        <v>33</v>
      </c>
      <c r="D792">
        <v>51.370000000000005</v>
      </c>
      <c r="E792" t="s">
        <v>32</v>
      </c>
    </row>
    <row r="793" spans="1:5" x14ac:dyDescent="0.25">
      <c r="A793" t="s">
        <v>31</v>
      </c>
      <c r="B793">
        <v>6.3636363636363638E-3</v>
      </c>
      <c r="C793" t="s">
        <v>33</v>
      </c>
      <c r="D793">
        <v>6.5350000000000001</v>
      </c>
      <c r="E793" t="s">
        <v>33</v>
      </c>
    </row>
    <row r="794" spans="1:5" x14ac:dyDescent="0.25">
      <c r="A794" t="s">
        <v>31</v>
      </c>
      <c r="B794">
        <v>0.17200000000000001</v>
      </c>
      <c r="C794" t="s">
        <v>32</v>
      </c>
      <c r="D794">
        <v>35.445</v>
      </c>
      <c r="E794" t="s">
        <v>32</v>
      </c>
    </row>
    <row r="795" spans="1:5" x14ac:dyDescent="0.25">
      <c r="A795" t="s">
        <v>31</v>
      </c>
      <c r="B795">
        <v>7.6E-3</v>
      </c>
      <c r="C795" t="s">
        <v>32</v>
      </c>
      <c r="D795">
        <v>7.42</v>
      </c>
      <c r="E795" t="s">
        <v>33</v>
      </c>
    </row>
    <row r="796" spans="1:5" x14ac:dyDescent="0.25">
      <c r="A796" t="s">
        <v>31</v>
      </c>
      <c r="B796">
        <v>0.14266666666666666</v>
      </c>
      <c r="C796" t="s">
        <v>32</v>
      </c>
      <c r="D796">
        <v>24.49</v>
      </c>
      <c r="E796" t="s">
        <v>33</v>
      </c>
    </row>
    <row r="797" spans="1:5" x14ac:dyDescent="0.25">
      <c r="A797" t="s">
        <v>31</v>
      </c>
      <c r="B797">
        <v>0.54</v>
      </c>
      <c r="C797" t="s">
        <v>32</v>
      </c>
      <c r="D797">
        <v>14.924999999999999</v>
      </c>
      <c r="E797" t="s">
        <v>33</v>
      </c>
    </row>
    <row r="798" spans="1:5" x14ac:dyDescent="0.25">
      <c r="A798" t="s">
        <v>31</v>
      </c>
      <c r="B798">
        <v>0.87375000000000003</v>
      </c>
      <c r="C798" t="s">
        <v>33</v>
      </c>
      <c r="D798">
        <v>28.725000000000001</v>
      </c>
      <c r="E798" t="s">
        <v>33</v>
      </c>
    </row>
    <row r="799" spans="1:5" x14ac:dyDescent="0.25">
      <c r="A799" t="s">
        <v>31</v>
      </c>
      <c r="B799">
        <v>2.98</v>
      </c>
      <c r="C799" t="s">
        <v>32</v>
      </c>
      <c r="D799">
        <v>36.585000000000001</v>
      </c>
      <c r="E799" t="s">
        <v>32</v>
      </c>
    </row>
    <row r="800" spans="1:5" x14ac:dyDescent="0.25">
      <c r="A800" t="s">
        <v>31</v>
      </c>
      <c r="B800">
        <v>6.7500000000000004E-2</v>
      </c>
      <c r="C800" t="s">
        <v>33</v>
      </c>
      <c r="D800">
        <v>2.7949999999999999</v>
      </c>
      <c r="E800" t="s">
        <v>33</v>
      </c>
    </row>
    <row r="801" spans="1:5" x14ac:dyDescent="0.25">
      <c r="A801" t="s">
        <v>31</v>
      </c>
      <c r="B801">
        <v>0.44230769230769229</v>
      </c>
      <c r="C801" t="s">
        <v>32</v>
      </c>
      <c r="D801">
        <v>12.364999999999998</v>
      </c>
      <c r="E801" t="s">
        <v>33</v>
      </c>
    </row>
    <row r="802" spans="1:5" x14ac:dyDescent="0.25">
      <c r="A802" t="s">
        <v>31</v>
      </c>
      <c r="B802">
        <v>0.49421052631578949</v>
      </c>
      <c r="C802" t="s">
        <v>32</v>
      </c>
      <c r="D802">
        <v>35.31</v>
      </c>
      <c r="E802" t="s">
        <v>32</v>
      </c>
    </row>
    <row r="803" spans="1:5" x14ac:dyDescent="0.25">
      <c r="A803" t="s">
        <v>31</v>
      </c>
      <c r="B803">
        <v>2.8749999999999998E-2</v>
      </c>
      <c r="C803" t="s">
        <v>32</v>
      </c>
      <c r="D803">
        <v>14.135</v>
      </c>
      <c r="E803" t="s">
        <v>33</v>
      </c>
    </row>
    <row r="804" spans="1:5" x14ac:dyDescent="0.25">
      <c r="A804" t="s">
        <v>31</v>
      </c>
      <c r="B804">
        <v>0.49000000000000005</v>
      </c>
      <c r="C804" t="s">
        <v>33</v>
      </c>
      <c r="D804">
        <v>34.01</v>
      </c>
      <c r="E804" t="s">
        <v>32</v>
      </c>
    </row>
    <row r="805" spans="1:5" x14ac:dyDescent="0.25">
      <c r="A805" t="s">
        <v>31</v>
      </c>
      <c r="B805">
        <v>3.81</v>
      </c>
      <c r="C805" t="s">
        <v>33</v>
      </c>
      <c r="D805">
        <v>25.830000000000002</v>
      </c>
      <c r="E805" t="s">
        <v>33</v>
      </c>
    </row>
    <row r="806" spans="1:5" x14ac:dyDescent="0.25">
      <c r="A806" t="s">
        <v>31</v>
      </c>
      <c r="B806">
        <v>9.35</v>
      </c>
      <c r="C806" t="s">
        <v>33</v>
      </c>
      <c r="D806">
        <v>29.61</v>
      </c>
      <c r="E806" t="s">
        <v>33</v>
      </c>
    </row>
    <row r="807" spans="1:5" x14ac:dyDescent="0.25">
      <c r="A807" t="s">
        <v>31</v>
      </c>
      <c r="B807">
        <v>0.2364705882352941</v>
      </c>
      <c r="C807" t="s">
        <v>32</v>
      </c>
      <c r="D807">
        <v>28.724999999999998</v>
      </c>
      <c r="E807" t="s">
        <v>33</v>
      </c>
    </row>
    <row r="808" spans="1:5" x14ac:dyDescent="0.25">
      <c r="A808" t="s">
        <v>31</v>
      </c>
      <c r="B808">
        <v>0.47666666666666663</v>
      </c>
      <c r="C808" t="s">
        <v>33</v>
      </c>
      <c r="D808">
        <v>29.37</v>
      </c>
      <c r="E808" t="s">
        <v>33</v>
      </c>
    </row>
    <row r="809" spans="1:5" x14ac:dyDescent="0.25">
      <c r="A809" t="s">
        <v>31</v>
      </c>
      <c r="B809">
        <v>1.4816666666666667</v>
      </c>
      <c r="C809" t="s">
        <v>33</v>
      </c>
      <c r="D809">
        <v>27.81</v>
      </c>
      <c r="E809" t="s">
        <v>33</v>
      </c>
    </row>
    <row r="810" spans="1:5" x14ac:dyDescent="0.25">
      <c r="A810" t="s">
        <v>31</v>
      </c>
      <c r="B810">
        <v>0.98399999999999999</v>
      </c>
      <c r="C810" t="s">
        <v>33</v>
      </c>
      <c r="D810">
        <v>35.089999999999996</v>
      </c>
      <c r="E810" t="s">
        <v>32</v>
      </c>
    </row>
    <row r="811" spans="1:5" x14ac:dyDescent="0.25">
      <c r="A811" t="s">
        <v>31</v>
      </c>
      <c r="B811">
        <v>0.16214285714285714</v>
      </c>
      <c r="C811" t="s">
        <v>33</v>
      </c>
      <c r="D811">
        <v>7.5449999999999999</v>
      </c>
      <c r="E811" t="s">
        <v>33</v>
      </c>
    </row>
    <row r="812" spans="1:5" x14ac:dyDescent="0.25">
      <c r="A812" t="s">
        <v>31</v>
      </c>
      <c r="B812">
        <v>9.9523809523809514E-2</v>
      </c>
      <c r="C812" t="s">
        <v>32</v>
      </c>
      <c r="D812">
        <v>5.15</v>
      </c>
      <c r="E812" t="s">
        <v>33</v>
      </c>
    </row>
    <row r="813" spans="1:5" x14ac:dyDescent="0.25">
      <c r="A813" t="s">
        <v>31</v>
      </c>
      <c r="B813">
        <v>0.46312500000000001</v>
      </c>
      <c r="C813" t="s">
        <v>32</v>
      </c>
      <c r="D813">
        <v>48.064999999999998</v>
      </c>
      <c r="E813" t="s">
        <v>32</v>
      </c>
    </row>
    <row r="814" spans="1:5" x14ac:dyDescent="0.25">
      <c r="A814" t="s">
        <v>31</v>
      </c>
      <c r="B814">
        <v>5.2916666666666667E-2</v>
      </c>
      <c r="C814" t="s">
        <v>32</v>
      </c>
      <c r="D814">
        <v>11.54</v>
      </c>
      <c r="E814" t="s">
        <v>33</v>
      </c>
    </row>
    <row r="815" spans="1:5" x14ac:dyDescent="0.25">
      <c r="A815" t="s">
        <v>31</v>
      </c>
      <c r="B815">
        <v>4.34</v>
      </c>
      <c r="C815" t="s">
        <v>33</v>
      </c>
      <c r="D815">
        <v>28.18</v>
      </c>
      <c r="E815" t="s">
        <v>33</v>
      </c>
    </row>
    <row r="816" spans="1:5" x14ac:dyDescent="0.25">
      <c r="A816" t="s">
        <v>31</v>
      </c>
      <c r="B816">
        <v>0.43772727272727274</v>
      </c>
      <c r="C816" t="s">
        <v>32</v>
      </c>
      <c r="D816">
        <v>29.020000000000003</v>
      </c>
      <c r="E816" t="s">
        <v>33</v>
      </c>
    </row>
    <row r="817" spans="1:5" x14ac:dyDescent="0.25">
      <c r="A817" t="s">
        <v>31</v>
      </c>
      <c r="B817">
        <v>1.77</v>
      </c>
      <c r="C817" t="s">
        <v>33</v>
      </c>
      <c r="D817">
        <v>13.575000000000001</v>
      </c>
      <c r="E817" t="s">
        <v>33</v>
      </c>
    </row>
    <row r="818" spans="1:5" x14ac:dyDescent="0.25">
      <c r="A818" t="s">
        <v>31</v>
      </c>
      <c r="B818">
        <v>0.21705882352941175</v>
      </c>
      <c r="C818" t="s">
        <v>33</v>
      </c>
      <c r="D818">
        <v>52.004999999999995</v>
      </c>
      <c r="E818" t="s">
        <v>32</v>
      </c>
    </row>
    <row r="819" spans="1:5" x14ac:dyDescent="0.25">
      <c r="A819" t="s">
        <v>31</v>
      </c>
      <c r="B819">
        <v>2.0033333333333334</v>
      </c>
      <c r="C819" t="s">
        <v>33</v>
      </c>
      <c r="D819">
        <v>20.285</v>
      </c>
      <c r="E819" t="s">
        <v>33</v>
      </c>
    </row>
    <row r="820" spans="1:5" x14ac:dyDescent="0.25">
      <c r="A820" t="s">
        <v>31</v>
      </c>
      <c r="B820">
        <v>0.105</v>
      </c>
      <c r="C820" t="s">
        <v>33</v>
      </c>
      <c r="D820">
        <v>5.13</v>
      </c>
      <c r="E820" t="s">
        <v>33</v>
      </c>
    </row>
    <row r="821" spans="1:5" x14ac:dyDescent="0.25">
      <c r="A821" t="s">
        <v>31</v>
      </c>
      <c r="B821">
        <v>0.31142857142857144</v>
      </c>
      <c r="C821" t="s">
        <v>33</v>
      </c>
      <c r="D821">
        <v>26.074999999999999</v>
      </c>
      <c r="E821" t="s">
        <v>33</v>
      </c>
    </row>
    <row r="822" spans="1:5" x14ac:dyDescent="0.25">
      <c r="A822" t="s">
        <v>31</v>
      </c>
      <c r="B822">
        <v>0.248</v>
      </c>
      <c r="C822" t="s">
        <v>33</v>
      </c>
      <c r="D822">
        <v>18.170000000000002</v>
      </c>
      <c r="E822" t="s">
        <v>33</v>
      </c>
    </row>
    <row r="823" spans="1:5" x14ac:dyDescent="0.25">
      <c r="A823" t="s">
        <v>31</v>
      </c>
      <c r="B823">
        <v>4.1100000000000003</v>
      </c>
      <c r="C823" t="s">
        <v>33</v>
      </c>
      <c r="D823">
        <v>23.945</v>
      </c>
      <c r="E823" t="s">
        <v>33</v>
      </c>
    </row>
    <row r="824" spans="1:5" x14ac:dyDescent="0.25">
      <c r="A824" t="s">
        <v>31</v>
      </c>
      <c r="B824">
        <v>0.23749999999999999</v>
      </c>
      <c r="C824" t="s">
        <v>33</v>
      </c>
      <c r="D824">
        <v>24.17</v>
      </c>
      <c r="E824" t="s">
        <v>33</v>
      </c>
    </row>
    <row r="825" spans="1:5" x14ac:dyDescent="0.25">
      <c r="A825" t="s">
        <v>31</v>
      </c>
      <c r="B825">
        <v>0.24529411764705883</v>
      </c>
      <c r="C825" t="s">
        <v>33</v>
      </c>
      <c r="D825">
        <v>55.765000000000001</v>
      </c>
      <c r="E825" t="s">
        <v>32</v>
      </c>
    </row>
    <row r="826" spans="1:5" x14ac:dyDescent="0.25">
      <c r="A826" t="s">
        <v>31</v>
      </c>
      <c r="B826">
        <v>0.13916666666666666</v>
      </c>
      <c r="C826" t="s">
        <v>33</v>
      </c>
      <c r="D826">
        <v>14.64</v>
      </c>
      <c r="E826" t="s">
        <v>33</v>
      </c>
    </row>
    <row r="827" spans="1:5" x14ac:dyDescent="0.25">
      <c r="A827" t="s">
        <v>31</v>
      </c>
      <c r="B827">
        <v>0.57000000000000006</v>
      </c>
      <c r="C827" t="s">
        <v>33</v>
      </c>
      <c r="D827">
        <v>28.585000000000001</v>
      </c>
      <c r="E827" t="s">
        <v>33</v>
      </c>
    </row>
    <row r="828" spans="1:5" x14ac:dyDescent="0.25">
      <c r="A828" t="s">
        <v>31</v>
      </c>
      <c r="B828">
        <v>1.82</v>
      </c>
      <c r="C828" t="s">
        <v>33</v>
      </c>
      <c r="D828">
        <v>6.7050000000000001</v>
      </c>
      <c r="E828" t="s">
        <v>33</v>
      </c>
    </row>
    <row r="829" spans="1:5" x14ac:dyDescent="0.25">
      <c r="A829" t="s">
        <v>31</v>
      </c>
      <c r="B829">
        <v>0.42608695652173917</v>
      </c>
      <c r="C829" t="s">
        <v>32</v>
      </c>
      <c r="D829">
        <v>11.79</v>
      </c>
      <c r="E829" t="s">
        <v>33</v>
      </c>
    </row>
    <row r="830" spans="1:5" x14ac:dyDescent="0.25">
      <c r="A830" t="s">
        <v>31</v>
      </c>
      <c r="B830">
        <v>0.44</v>
      </c>
      <c r="C830" t="s">
        <v>32</v>
      </c>
      <c r="D830">
        <v>16.114999999999998</v>
      </c>
      <c r="E830" t="s">
        <v>33</v>
      </c>
    </row>
    <row r="831" spans="1:5" x14ac:dyDescent="0.25">
      <c r="A831" t="s">
        <v>31</v>
      </c>
      <c r="B831">
        <v>0.09</v>
      </c>
      <c r="C831" t="s">
        <v>33</v>
      </c>
      <c r="D831">
        <v>6.585</v>
      </c>
      <c r="E831" t="s">
        <v>33</v>
      </c>
    </row>
    <row r="832" spans="1:5" x14ac:dyDescent="0.25">
      <c r="A832" t="s">
        <v>31</v>
      </c>
      <c r="B832">
        <v>0.61928571428571433</v>
      </c>
      <c r="C832" t="s">
        <v>33</v>
      </c>
      <c r="D832">
        <v>45.93</v>
      </c>
      <c r="E832" t="s">
        <v>32</v>
      </c>
    </row>
    <row r="833" spans="1:5" x14ac:dyDescent="0.25">
      <c r="A833" t="s">
        <v>31</v>
      </c>
      <c r="B833">
        <v>0.51647058823529413</v>
      </c>
      <c r="C833" t="s">
        <v>32</v>
      </c>
      <c r="D833">
        <v>39.83</v>
      </c>
      <c r="E833" t="s">
        <v>32</v>
      </c>
    </row>
    <row r="834" spans="1:5" x14ac:dyDescent="0.25">
      <c r="A834" t="s">
        <v>31</v>
      </c>
      <c r="B834">
        <v>0.17333333333333334</v>
      </c>
      <c r="C834" t="s">
        <v>32</v>
      </c>
      <c r="D834">
        <v>23.490000000000002</v>
      </c>
      <c r="E834" t="s">
        <v>33</v>
      </c>
    </row>
    <row r="835" spans="1:5" x14ac:dyDescent="0.25">
      <c r="A835" t="s">
        <v>31</v>
      </c>
      <c r="B835">
        <v>0.43928571428571433</v>
      </c>
      <c r="C835" t="s">
        <v>33</v>
      </c>
      <c r="D835">
        <v>31.995000000000001</v>
      </c>
      <c r="E835" t="s">
        <v>32</v>
      </c>
    </row>
    <row r="836" spans="1:5" x14ac:dyDescent="0.25">
      <c r="A836" t="s">
        <v>31</v>
      </c>
      <c r="B836">
        <v>0.56416666666666659</v>
      </c>
      <c r="C836" t="s">
        <v>33</v>
      </c>
      <c r="D836">
        <v>32.19</v>
      </c>
      <c r="E836" t="s">
        <v>32</v>
      </c>
    </row>
    <row r="837" spans="1:5" x14ac:dyDescent="0.25">
      <c r="A837" t="s">
        <v>31</v>
      </c>
      <c r="B837">
        <v>2.1974999999999998</v>
      </c>
      <c r="C837" t="s">
        <v>33</v>
      </c>
      <c r="D837">
        <v>17.504999999999999</v>
      </c>
      <c r="E837" t="s">
        <v>33</v>
      </c>
    </row>
    <row r="838" spans="1:5" x14ac:dyDescent="0.25">
      <c r="A838" t="s">
        <v>31</v>
      </c>
      <c r="B838">
        <v>0.4729411764705882</v>
      </c>
      <c r="C838" t="s">
        <v>33</v>
      </c>
      <c r="D838">
        <v>50.33</v>
      </c>
      <c r="E838" t="s">
        <v>32</v>
      </c>
    </row>
    <row r="839" spans="1:5" x14ac:dyDescent="0.25">
      <c r="A839" t="s">
        <v>31</v>
      </c>
      <c r="B839">
        <v>0.87333333333333341</v>
      </c>
      <c r="C839" t="s">
        <v>32</v>
      </c>
      <c r="D839">
        <v>8.125</v>
      </c>
      <c r="E839" t="s">
        <v>33</v>
      </c>
    </row>
    <row r="840" spans="1:5" x14ac:dyDescent="0.25">
      <c r="A840" t="s">
        <v>31</v>
      </c>
      <c r="B840">
        <v>1.1428571428571429E-2</v>
      </c>
      <c r="C840" t="s">
        <v>33</v>
      </c>
      <c r="D840">
        <v>7.1149999999999993</v>
      </c>
      <c r="E840" t="s">
        <v>33</v>
      </c>
    </row>
    <row r="841" spans="1:5" x14ac:dyDescent="0.25">
      <c r="A841" t="s">
        <v>31</v>
      </c>
      <c r="B841">
        <v>1.91</v>
      </c>
      <c r="C841" t="s">
        <v>33</v>
      </c>
      <c r="D841">
        <v>47.35</v>
      </c>
      <c r="E841" t="s">
        <v>32</v>
      </c>
    </row>
    <row r="842" spans="1:5" x14ac:dyDescent="0.25">
      <c r="A842" t="s">
        <v>31</v>
      </c>
      <c r="B842">
        <v>0.56000000000000005</v>
      </c>
      <c r="C842" t="s">
        <v>33</v>
      </c>
      <c r="D842">
        <v>51.805</v>
      </c>
      <c r="E842" t="s">
        <v>32</v>
      </c>
    </row>
    <row r="843" spans="1:5" x14ac:dyDescent="0.25">
      <c r="A843" t="s">
        <v>31</v>
      </c>
      <c r="B843">
        <v>9.4782608695652179E-2</v>
      </c>
      <c r="C843" t="s">
        <v>32</v>
      </c>
      <c r="D843">
        <v>7.1099999999999994</v>
      </c>
      <c r="E843" t="s">
        <v>33</v>
      </c>
    </row>
    <row r="844" spans="1:5" x14ac:dyDescent="0.25">
      <c r="A844" t="s">
        <v>31</v>
      </c>
      <c r="B844">
        <v>0.58733333333333337</v>
      </c>
      <c r="C844" t="s">
        <v>32</v>
      </c>
      <c r="D844">
        <v>24.84</v>
      </c>
      <c r="E844" t="s">
        <v>33</v>
      </c>
    </row>
    <row r="845" spans="1:5" x14ac:dyDescent="0.25">
      <c r="A845" t="s">
        <v>31</v>
      </c>
      <c r="B845">
        <v>0.13222222222222221</v>
      </c>
      <c r="C845" t="s">
        <v>33</v>
      </c>
      <c r="D845">
        <v>10.295</v>
      </c>
      <c r="E845" t="s">
        <v>33</v>
      </c>
    </row>
    <row r="846" spans="1:5" x14ac:dyDescent="0.25">
      <c r="A846" t="s">
        <v>31</v>
      </c>
      <c r="B846">
        <v>0.10857142857142857</v>
      </c>
      <c r="C846" t="s">
        <v>33</v>
      </c>
      <c r="D846">
        <v>8.85</v>
      </c>
      <c r="E846" t="s">
        <v>33</v>
      </c>
    </row>
    <row r="847" spans="1:5" x14ac:dyDescent="0.25">
      <c r="A847" t="s">
        <v>31</v>
      </c>
      <c r="B847">
        <v>0.8933333333333332</v>
      </c>
      <c r="C847" t="s">
        <v>33</v>
      </c>
      <c r="D847">
        <v>20.625</v>
      </c>
      <c r="E847" t="s">
        <v>33</v>
      </c>
    </row>
    <row r="848" spans="1:5" x14ac:dyDescent="0.25">
      <c r="A848" t="s">
        <v>31</v>
      </c>
      <c r="B848">
        <v>0.61555555555555552</v>
      </c>
      <c r="C848" t="s">
        <v>33</v>
      </c>
      <c r="D848">
        <v>21.9</v>
      </c>
      <c r="E848" t="s">
        <v>33</v>
      </c>
    </row>
    <row r="849" spans="1:5" x14ac:dyDescent="0.25">
      <c r="A849" t="s">
        <v>31</v>
      </c>
      <c r="B849">
        <v>0.14956521739130435</v>
      </c>
      <c r="C849" t="s">
        <v>33</v>
      </c>
      <c r="D849">
        <v>10.18</v>
      </c>
      <c r="E849" t="s">
        <v>33</v>
      </c>
    </row>
    <row r="850" spans="1:5" x14ac:dyDescent="0.25">
      <c r="A850" t="s">
        <v>31</v>
      </c>
      <c r="B850">
        <v>0.44294117647058823</v>
      </c>
      <c r="C850" t="s">
        <v>32</v>
      </c>
      <c r="D850">
        <v>8.6850000000000005</v>
      </c>
      <c r="E850" t="s">
        <v>33</v>
      </c>
    </row>
    <row r="851" spans="1:5" x14ac:dyDescent="0.25">
      <c r="A851" t="s">
        <v>31</v>
      </c>
      <c r="B851">
        <v>1.89</v>
      </c>
      <c r="C851" t="s">
        <v>33</v>
      </c>
      <c r="D851">
        <v>17.175000000000001</v>
      </c>
      <c r="E851" t="s">
        <v>33</v>
      </c>
    </row>
    <row r="852" spans="1:5" x14ac:dyDescent="0.25">
      <c r="A852" t="s">
        <v>31</v>
      </c>
      <c r="B852">
        <v>0.23454545454545456</v>
      </c>
      <c r="C852" t="s">
        <v>33</v>
      </c>
      <c r="D852">
        <v>37.615000000000002</v>
      </c>
      <c r="E852" t="s">
        <v>32</v>
      </c>
    </row>
    <row r="853" spans="1:5" x14ac:dyDescent="0.25">
      <c r="A853" t="s">
        <v>31</v>
      </c>
      <c r="B853">
        <v>0.90363636363636357</v>
      </c>
      <c r="C853" t="s">
        <v>33</v>
      </c>
      <c r="D853">
        <v>19.57</v>
      </c>
      <c r="E853" t="s">
        <v>33</v>
      </c>
    </row>
    <row r="854" spans="1:5" x14ac:dyDescent="0.25">
      <c r="A854" t="s">
        <v>31</v>
      </c>
      <c r="B854">
        <v>0.47333333333333333</v>
      </c>
      <c r="C854" t="s">
        <v>32</v>
      </c>
      <c r="D854">
        <v>26.635000000000002</v>
      </c>
      <c r="E854" t="s">
        <v>33</v>
      </c>
    </row>
    <row r="855" spans="1:5" x14ac:dyDescent="0.25">
      <c r="A855" t="s">
        <v>31</v>
      </c>
      <c r="B855">
        <v>6.4</v>
      </c>
      <c r="C855" t="s">
        <v>33</v>
      </c>
      <c r="D855">
        <v>20.615000000000002</v>
      </c>
      <c r="E855" t="s">
        <v>33</v>
      </c>
    </row>
    <row r="856" spans="1:5" x14ac:dyDescent="0.25">
      <c r="A856" t="s">
        <v>31</v>
      </c>
      <c r="B856">
        <v>9.9166666666666667E-2</v>
      </c>
      <c r="C856" t="s">
        <v>33</v>
      </c>
      <c r="D856">
        <v>8.5399999999999991</v>
      </c>
      <c r="E856" t="s">
        <v>33</v>
      </c>
    </row>
    <row r="857" spans="1:5" x14ac:dyDescent="0.25">
      <c r="A857" t="s">
        <v>31</v>
      </c>
      <c r="B857">
        <v>0.41500000000000004</v>
      </c>
      <c r="C857" t="s">
        <v>32</v>
      </c>
      <c r="D857">
        <v>25.82</v>
      </c>
      <c r="E857" t="s">
        <v>33</v>
      </c>
    </row>
    <row r="858" spans="1:5" x14ac:dyDescent="0.25">
      <c r="A858" t="s">
        <v>31</v>
      </c>
      <c r="B858">
        <v>4.5263157894736838E-2</v>
      </c>
      <c r="C858" t="s">
        <v>32</v>
      </c>
      <c r="D858">
        <v>12.504999999999999</v>
      </c>
      <c r="E858" t="s">
        <v>33</v>
      </c>
    </row>
    <row r="859" spans="1:5" x14ac:dyDescent="0.25">
      <c r="A859" t="s">
        <v>31</v>
      </c>
      <c r="B859">
        <v>0.200625</v>
      </c>
      <c r="C859" t="s">
        <v>32</v>
      </c>
      <c r="D859">
        <v>25.164999999999999</v>
      </c>
      <c r="E859" t="s">
        <v>33</v>
      </c>
    </row>
    <row r="860" spans="1:5" x14ac:dyDescent="0.25">
      <c r="A860" t="s">
        <v>31</v>
      </c>
      <c r="B860">
        <v>0.30599999999999999</v>
      </c>
      <c r="C860" t="s">
        <v>32</v>
      </c>
      <c r="D860">
        <v>26.185000000000002</v>
      </c>
      <c r="E860" t="s">
        <v>33</v>
      </c>
    </row>
    <row r="861" spans="1:5" x14ac:dyDescent="0.25">
      <c r="A861" t="s">
        <v>31</v>
      </c>
      <c r="B861">
        <v>7.1304347826086953E-2</v>
      </c>
      <c r="C861" t="s">
        <v>33</v>
      </c>
      <c r="D861">
        <v>5.54</v>
      </c>
      <c r="E861" t="s">
        <v>33</v>
      </c>
    </row>
    <row r="862" spans="1:5" x14ac:dyDescent="0.25">
      <c r="A862" t="s">
        <v>31</v>
      </c>
      <c r="B862">
        <v>0.16499999999999998</v>
      </c>
      <c r="C862" t="s">
        <v>33</v>
      </c>
      <c r="D862">
        <v>12.315</v>
      </c>
      <c r="E862" t="s">
        <v>33</v>
      </c>
    </row>
    <row r="863" spans="1:5" x14ac:dyDescent="0.25">
      <c r="A863" t="s">
        <v>31</v>
      </c>
      <c r="B863">
        <v>0.375</v>
      </c>
      <c r="C863" t="s">
        <v>32</v>
      </c>
      <c r="D863">
        <v>11.984999999999999</v>
      </c>
      <c r="E863" t="s">
        <v>33</v>
      </c>
    </row>
    <row r="864" spans="1:5" x14ac:dyDescent="0.25">
      <c r="A864" t="s">
        <v>31</v>
      </c>
      <c r="B864">
        <v>1.0680000000000001</v>
      </c>
      <c r="C864" t="s">
        <v>33</v>
      </c>
      <c r="D864">
        <v>6.57</v>
      </c>
      <c r="E864" t="s">
        <v>33</v>
      </c>
    </row>
    <row r="865" spans="1:5" x14ac:dyDescent="0.25">
      <c r="A865" t="s">
        <v>31</v>
      </c>
      <c r="B865">
        <v>0.22519999999999998</v>
      </c>
      <c r="C865" t="s">
        <v>33</v>
      </c>
      <c r="D865">
        <v>12.125</v>
      </c>
      <c r="E865" t="s">
        <v>33</v>
      </c>
    </row>
    <row r="866" spans="1:5" x14ac:dyDescent="0.25">
      <c r="A866" t="s">
        <v>31</v>
      </c>
      <c r="B866">
        <v>0.52800000000000002</v>
      </c>
      <c r="C866" t="s">
        <v>33</v>
      </c>
      <c r="D866">
        <v>12.594999999999999</v>
      </c>
      <c r="E866" t="s">
        <v>33</v>
      </c>
    </row>
    <row r="867" spans="1:5" x14ac:dyDescent="0.25">
      <c r="A867" t="s">
        <v>31</v>
      </c>
      <c r="B867">
        <v>0.16954545454545455</v>
      </c>
      <c r="C867" t="s">
        <v>33</v>
      </c>
      <c r="D867">
        <v>13.780000000000001</v>
      </c>
      <c r="E867" t="s">
        <v>33</v>
      </c>
    </row>
    <row r="868" spans="1:5" x14ac:dyDescent="0.25">
      <c r="A868" t="s">
        <v>31</v>
      </c>
      <c r="B868">
        <v>1.2</v>
      </c>
      <c r="C868" t="s">
        <v>33</v>
      </c>
      <c r="D868">
        <v>50.3</v>
      </c>
      <c r="E868" t="s">
        <v>32</v>
      </c>
    </row>
    <row r="869" spans="1:5" x14ac:dyDescent="0.25">
      <c r="A869" t="s">
        <v>31</v>
      </c>
      <c r="B869">
        <v>0.38571428571428573</v>
      </c>
      <c r="C869" t="s">
        <v>33</v>
      </c>
      <c r="D869">
        <v>22.73</v>
      </c>
      <c r="E869" t="s">
        <v>33</v>
      </c>
    </row>
    <row r="870" spans="1:5" x14ac:dyDescent="0.25">
      <c r="A870" t="s">
        <v>31</v>
      </c>
      <c r="B870">
        <v>1.22</v>
      </c>
      <c r="C870" t="s">
        <v>33</v>
      </c>
      <c r="D870">
        <v>17.105</v>
      </c>
      <c r="E870" t="s">
        <v>33</v>
      </c>
    </row>
    <row r="871" spans="1:5" x14ac:dyDescent="0.25">
      <c r="A871" t="s">
        <v>31</v>
      </c>
      <c r="B871">
        <v>2.83</v>
      </c>
      <c r="C871" t="s">
        <v>33</v>
      </c>
      <c r="D871">
        <v>43.935000000000002</v>
      </c>
      <c r="E871" t="s">
        <v>32</v>
      </c>
    </row>
    <row r="872" spans="1:5" x14ac:dyDescent="0.25">
      <c r="A872" t="s">
        <v>31</v>
      </c>
      <c r="B872">
        <v>0.11799999999999999</v>
      </c>
      <c r="C872" t="s">
        <v>33</v>
      </c>
      <c r="D872">
        <v>15.6</v>
      </c>
      <c r="E872" t="s">
        <v>33</v>
      </c>
    </row>
    <row r="873" spans="1:5" x14ac:dyDescent="0.25">
      <c r="A873" t="s">
        <v>31</v>
      </c>
      <c r="B873">
        <v>0.49500000000000005</v>
      </c>
      <c r="C873" t="s">
        <v>33</v>
      </c>
      <c r="D873">
        <v>39.11</v>
      </c>
      <c r="E873" t="s">
        <v>32</v>
      </c>
    </row>
    <row r="874" spans="1:5" x14ac:dyDescent="0.25">
      <c r="A874" t="s">
        <v>31</v>
      </c>
      <c r="B874">
        <v>0.99600000000000011</v>
      </c>
      <c r="C874" t="s">
        <v>33</v>
      </c>
      <c r="D874">
        <v>27.614999999999998</v>
      </c>
      <c r="E874" t="s">
        <v>33</v>
      </c>
    </row>
    <row r="875" spans="1:5" x14ac:dyDescent="0.25">
      <c r="A875" t="s">
        <v>31</v>
      </c>
      <c r="B875">
        <v>6.5000000000000002E-2</v>
      </c>
      <c r="C875" t="s">
        <v>32</v>
      </c>
      <c r="D875">
        <v>9.8999999999999986</v>
      </c>
      <c r="E875" t="s">
        <v>33</v>
      </c>
    </row>
    <row r="876" spans="1:5" x14ac:dyDescent="0.25">
      <c r="A876" t="s">
        <v>31</v>
      </c>
      <c r="B876">
        <v>6.0714285714285714E-2</v>
      </c>
      <c r="C876" t="s">
        <v>33</v>
      </c>
      <c r="D876">
        <v>5.04</v>
      </c>
      <c r="E876" t="s">
        <v>33</v>
      </c>
    </row>
    <row r="877" spans="1:5" x14ac:dyDescent="0.25">
      <c r="A877" t="s">
        <v>31</v>
      </c>
      <c r="B877">
        <v>0.23125000000000001</v>
      </c>
      <c r="C877" t="s">
        <v>32</v>
      </c>
      <c r="D877">
        <v>11.535</v>
      </c>
      <c r="E877" t="s">
        <v>33</v>
      </c>
    </row>
    <row r="878" spans="1:5" x14ac:dyDescent="0.25">
      <c r="A878" t="s">
        <v>31</v>
      </c>
      <c r="B878">
        <v>0.66533333333333333</v>
      </c>
      <c r="C878" t="s">
        <v>33</v>
      </c>
      <c r="D878">
        <v>16.899999999999999</v>
      </c>
      <c r="E878" t="s">
        <v>33</v>
      </c>
    </row>
    <row r="879" spans="1:5" x14ac:dyDescent="0.25">
      <c r="A879" t="s">
        <v>31</v>
      </c>
      <c r="B879">
        <v>4.6521739130434787E-2</v>
      </c>
      <c r="C879" t="s">
        <v>33</v>
      </c>
      <c r="D879">
        <v>7.5399999999999991</v>
      </c>
      <c r="E879" t="s">
        <v>33</v>
      </c>
    </row>
    <row r="880" spans="1:5" x14ac:dyDescent="0.25">
      <c r="A880" t="s">
        <v>31</v>
      </c>
      <c r="B880">
        <v>0.41466666666666663</v>
      </c>
      <c r="C880" t="s">
        <v>33</v>
      </c>
      <c r="D880">
        <v>53.89</v>
      </c>
      <c r="E880" t="s">
        <v>32</v>
      </c>
    </row>
    <row r="881" spans="1:5" x14ac:dyDescent="0.25">
      <c r="A881" t="s">
        <v>31</v>
      </c>
      <c r="B881">
        <v>0.44916666666666666</v>
      </c>
      <c r="C881" t="s">
        <v>33</v>
      </c>
      <c r="D881">
        <v>21.205000000000002</v>
      </c>
      <c r="E881" t="s">
        <v>33</v>
      </c>
    </row>
    <row r="882" spans="1:5" x14ac:dyDescent="0.25">
      <c r="A882" t="s">
        <v>31</v>
      </c>
      <c r="B882">
        <v>0.43099999999999994</v>
      </c>
      <c r="C882" t="s">
        <v>33</v>
      </c>
      <c r="D882">
        <v>22.62</v>
      </c>
      <c r="E882" t="s">
        <v>33</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F6CD-B300-48E8-A5CB-DCFAB20DDEE6}">
  <dimension ref="A2:B6"/>
  <sheetViews>
    <sheetView workbookViewId="0">
      <selection activeCell="B4" sqref="B4"/>
    </sheetView>
  </sheetViews>
  <sheetFormatPr defaultRowHeight="15" x14ac:dyDescent="0.25"/>
  <cols>
    <col min="1" max="1" width="13.140625" bestFit="1" customWidth="1"/>
    <col min="2" max="2" width="17.28515625" bestFit="1" customWidth="1"/>
  </cols>
  <sheetData>
    <row r="2" spans="1:2" x14ac:dyDescent="0.25">
      <c r="A2" s="1" t="s">
        <v>40</v>
      </c>
      <c r="B2" t="s">
        <v>42</v>
      </c>
    </row>
    <row r="3" spans="1:2" x14ac:dyDescent="0.25">
      <c r="A3" s="2" t="s">
        <v>16</v>
      </c>
      <c r="B3" s="4">
        <v>487</v>
      </c>
    </row>
    <row r="4" spans="1:2" x14ac:dyDescent="0.25">
      <c r="A4" s="2" t="s">
        <v>13</v>
      </c>
      <c r="B4" s="4">
        <v>299</v>
      </c>
    </row>
    <row r="5" spans="1:2" x14ac:dyDescent="0.25">
      <c r="A5" s="2" t="s">
        <v>23</v>
      </c>
      <c r="B5" s="4">
        <v>214</v>
      </c>
    </row>
    <row r="6" spans="1:2" x14ac:dyDescent="0.25">
      <c r="A6" s="2" t="s">
        <v>41</v>
      </c>
      <c r="B6" s="4">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CEE4A-2C6E-4A92-8957-F256F17E68E3}">
  <dimension ref="A1:B7"/>
  <sheetViews>
    <sheetView workbookViewId="0">
      <selection activeCell="I7" sqref="I7"/>
    </sheetView>
  </sheetViews>
  <sheetFormatPr defaultRowHeight="15" x14ac:dyDescent="0.25"/>
  <cols>
    <col min="1" max="1" width="14" bestFit="1" customWidth="1"/>
    <col min="2" max="2" width="29.28515625" bestFit="1" customWidth="1"/>
  </cols>
  <sheetData>
    <row r="1" spans="1:2" x14ac:dyDescent="0.25">
      <c r="A1" s="1" t="s">
        <v>40</v>
      </c>
      <c r="B1" t="s">
        <v>43</v>
      </c>
    </row>
    <row r="2" spans="1:2" x14ac:dyDescent="0.25">
      <c r="A2" s="2" t="s">
        <v>14</v>
      </c>
      <c r="B2" s="4">
        <v>5.2742473118279571</v>
      </c>
    </row>
    <row r="3" spans="1:2" x14ac:dyDescent="0.25">
      <c r="A3" s="2" t="s">
        <v>21</v>
      </c>
      <c r="B3" s="4">
        <v>4.9007305936073067</v>
      </c>
    </row>
    <row r="4" spans="1:2" x14ac:dyDescent="0.25">
      <c r="A4" s="2" t="s">
        <v>22</v>
      </c>
      <c r="B4" s="4">
        <v>4.8451243781094524</v>
      </c>
    </row>
    <row r="5" spans="1:2" x14ac:dyDescent="0.25">
      <c r="A5" s="2" t="s">
        <v>19</v>
      </c>
      <c r="B5" s="4">
        <v>4.8439130434782616</v>
      </c>
    </row>
    <row r="6" spans="1:2" x14ac:dyDescent="0.25">
      <c r="A6" s="2" t="s">
        <v>11</v>
      </c>
      <c r="B6" s="4">
        <v>4.6041904761904764</v>
      </c>
    </row>
    <row r="7" spans="1:2" x14ac:dyDescent="0.25">
      <c r="A7" s="2" t="s">
        <v>41</v>
      </c>
      <c r="B7" s="4">
        <v>4.8862999999999959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EC12-804B-4244-BAF7-D3FC09D1FFCF}">
  <dimension ref="A1:B7"/>
  <sheetViews>
    <sheetView workbookViewId="0">
      <selection activeCell="I7" sqref="I7"/>
    </sheetView>
  </sheetViews>
  <sheetFormatPr defaultRowHeight="15" x14ac:dyDescent="0.25"/>
  <cols>
    <col min="1" max="1" width="14" bestFit="1" customWidth="1"/>
    <col min="2" max="2" width="43" bestFit="1" customWidth="1"/>
    <col min="3" max="3" width="6" bestFit="1" customWidth="1"/>
    <col min="4" max="8" width="12" bestFit="1" customWidth="1"/>
    <col min="9" max="10" width="5" bestFit="1" customWidth="1"/>
    <col min="11" max="11" width="7" bestFit="1" customWidth="1"/>
    <col min="12" max="12" width="12" bestFit="1" customWidth="1"/>
    <col min="13" max="13" width="6" bestFit="1" customWidth="1"/>
    <col min="14" max="16" width="12" bestFit="1" customWidth="1"/>
    <col min="17" max="17" width="5" bestFit="1" customWidth="1"/>
    <col min="18" max="18" width="12" bestFit="1" customWidth="1"/>
    <col min="19" max="19" width="6" bestFit="1" customWidth="1"/>
    <col min="20" max="21" width="5" bestFit="1" customWidth="1"/>
    <col min="22" max="24" width="12" bestFit="1" customWidth="1"/>
    <col min="25" max="25" width="7" bestFit="1" customWidth="1"/>
    <col min="26" max="26" width="5" bestFit="1" customWidth="1"/>
    <col min="27" max="27" width="6" bestFit="1" customWidth="1"/>
    <col min="28" max="31" width="12" bestFit="1" customWidth="1"/>
    <col min="32" max="32" width="5" bestFit="1" customWidth="1"/>
    <col min="33" max="33" width="12" bestFit="1" customWidth="1"/>
    <col min="34" max="34" width="5" bestFit="1" customWidth="1"/>
    <col min="35" max="35" width="12" bestFit="1" customWidth="1"/>
    <col min="36" max="37" width="5" bestFit="1" customWidth="1"/>
    <col min="38" max="38" width="12" bestFit="1" customWidth="1"/>
    <col min="39" max="39" width="5" bestFit="1" customWidth="1"/>
    <col min="40" max="40" width="6" bestFit="1" customWidth="1"/>
    <col min="41" max="41" width="5" bestFit="1" customWidth="1"/>
    <col min="42" max="42" width="8" bestFit="1" customWidth="1"/>
    <col min="43" max="44" width="12" bestFit="1" customWidth="1"/>
    <col min="45" max="45" width="7" bestFit="1" customWidth="1"/>
    <col min="46" max="46" width="8" bestFit="1" customWidth="1"/>
    <col min="47" max="47" width="12" bestFit="1" customWidth="1"/>
    <col min="48" max="48" width="5" bestFit="1" customWidth="1"/>
    <col min="49" max="50" width="12" bestFit="1" customWidth="1"/>
    <col min="51" max="51" width="7" bestFit="1" customWidth="1"/>
    <col min="52" max="52" width="5" bestFit="1" customWidth="1"/>
    <col min="53" max="53" width="7" bestFit="1" customWidth="1"/>
    <col min="54" max="54" width="6" bestFit="1" customWidth="1"/>
    <col min="55" max="55" width="5" bestFit="1" customWidth="1"/>
    <col min="56" max="57" width="12" bestFit="1" customWidth="1"/>
    <col min="58" max="58" width="9" bestFit="1" customWidth="1"/>
    <col min="59" max="59" width="5" bestFit="1" customWidth="1"/>
    <col min="60" max="60" width="9" bestFit="1" customWidth="1"/>
    <col min="61" max="61" width="5" bestFit="1" customWidth="1"/>
    <col min="62" max="62" width="7" bestFit="1" customWidth="1"/>
    <col min="63" max="63" width="5" bestFit="1" customWidth="1"/>
    <col min="64" max="64" width="8" bestFit="1" customWidth="1"/>
    <col min="65" max="67" width="12" bestFit="1" customWidth="1"/>
    <col min="68" max="68" width="8" bestFit="1" customWidth="1"/>
    <col min="69" max="69" width="4" bestFit="1" customWidth="1"/>
    <col min="70" max="70" width="5" bestFit="1" customWidth="1"/>
    <col min="71" max="71" width="6" bestFit="1" customWidth="1"/>
    <col min="72" max="73" width="12" bestFit="1" customWidth="1"/>
    <col min="74" max="74" width="6" bestFit="1" customWidth="1"/>
    <col min="75" max="76" width="12" bestFit="1" customWidth="1"/>
    <col min="77" max="77" width="7" bestFit="1" customWidth="1"/>
    <col min="78" max="78" width="12" bestFit="1" customWidth="1"/>
    <col min="79" max="79" width="5" bestFit="1" customWidth="1"/>
    <col min="80" max="80" width="6" bestFit="1" customWidth="1"/>
    <col min="81" max="81" width="12" bestFit="1" customWidth="1"/>
    <col min="82" max="82" width="7" bestFit="1" customWidth="1"/>
    <col min="83" max="83" width="2" bestFit="1" customWidth="1"/>
    <col min="84" max="84" width="6" bestFit="1" customWidth="1"/>
    <col min="85" max="85" width="12" bestFit="1" customWidth="1"/>
    <col min="86" max="86" width="5" bestFit="1" customWidth="1"/>
    <col min="87" max="87" width="12" bestFit="1" customWidth="1"/>
    <col min="88" max="88" width="7" bestFit="1" customWidth="1"/>
    <col min="89" max="89" width="4" bestFit="1" customWidth="1"/>
    <col min="90" max="91" width="12" bestFit="1" customWidth="1"/>
    <col min="92" max="92" width="6" bestFit="1" customWidth="1"/>
    <col min="93" max="93" width="5" bestFit="1" customWidth="1"/>
    <col min="94" max="97" width="12" bestFit="1" customWidth="1"/>
    <col min="98" max="98" width="6" bestFit="1" customWidth="1"/>
    <col min="99" max="99" width="4" bestFit="1" customWidth="1"/>
    <col min="100" max="100" width="12" bestFit="1" customWidth="1"/>
    <col min="101" max="101" width="7" bestFit="1" customWidth="1"/>
    <col min="102" max="102" width="5" bestFit="1" customWidth="1"/>
    <col min="103" max="103" width="9" bestFit="1" customWidth="1"/>
    <col min="104" max="104" width="12" bestFit="1" customWidth="1"/>
    <col min="105" max="105" width="7" bestFit="1" customWidth="1"/>
    <col min="106" max="106" width="8" bestFit="1" customWidth="1"/>
    <col min="107" max="107" width="12" bestFit="1" customWidth="1"/>
    <col min="108" max="108" width="6" bestFit="1" customWidth="1"/>
    <col min="109" max="110" width="7" bestFit="1" customWidth="1"/>
    <col min="111" max="112" width="5" bestFit="1" customWidth="1"/>
    <col min="113" max="113" width="6" bestFit="1" customWidth="1"/>
    <col min="114" max="118" width="12" bestFit="1" customWidth="1"/>
    <col min="119" max="119" width="5" bestFit="1" customWidth="1"/>
    <col min="120" max="121" width="12" bestFit="1" customWidth="1"/>
    <col min="122" max="122" width="6" bestFit="1" customWidth="1"/>
    <col min="123" max="124" width="12" bestFit="1" customWidth="1"/>
    <col min="125" max="125" width="6" bestFit="1" customWidth="1"/>
    <col min="126" max="126" width="4" bestFit="1" customWidth="1"/>
    <col min="127" max="127" width="5" bestFit="1" customWidth="1"/>
    <col min="128" max="131" width="12" bestFit="1" customWidth="1"/>
    <col min="132" max="132" width="5" bestFit="1" customWidth="1"/>
    <col min="133" max="133" width="6" bestFit="1" customWidth="1"/>
    <col min="134" max="134" width="12" bestFit="1" customWidth="1"/>
    <col min="135" max="135" width="7" bestFit="1" customWidth="1"/>
    <col min="136" max="136" width="6" bestFit="1" customWidth="1"/>
    <col min="137" max="137" width="12" bestFit="1" customWidth="1"/>
    <col min="138" max="138" width="6" bestFit="1" customWidth="1"/>
    <col min="139" max="140" width="12" bestFit="1" customWidth="1"/>
    <col min="141" max="141" width="6" bestFit="1" customWidth="1"/>
    <col min="142" max="142" width="5" bestFit="1" customWidth="1"/>
    <col min="143" max="143" width="12" bestFit="1" customWidth="1"/>
    <col min="144" max="144" width="6" bestFit="1" customWidth="1"/>
    <col min="145" max="146" width="12" bestFit="1" customWidth="1"/>
    <col min="147" max="147" width="7" bestFit="1" customWidth="1"/>
    <col min="148" max="148" width="12" bestFit="1" customWidth="1"/>
    <col min="149" max="149" width="5" bestFit="1" customWidth="1"/>
    <col min="150" max="150" width="12" bestFit="1" customWidth="1"/>
    <col min="151" max="151" width="4" bestFit="1" customWidth="1"/>
    <col min="152" max="154" width="12" bestFit="1" customWidth="1"/>
    <col min="155" max="156" width="5" bestFit="1" customWidth="1"/>
    <col min="157" max="157" width="6" bestFit="1" customWidth="1"/>
    <col min="158" max="159" width="12" bestFit="1" customWidth="1"/>
    <col min="160" max="160" width="8" bestFit="1" customWidth="1"/>
    <col min="161" max="163" width="12" bestFit="1" customWidth="1"/>
    <col min="164" max="164" width="7" bestFit="1" customWidth="1"/>
    <col min="165" max="165" width="12" bestFit="1" customWidth="1"/>
    <col min="166" max="166" width="7" bestFit="1" customWidth="1"/>
    <col min="167" max="168" width="12" bestFit="1" customWidth="1"/>
    <col min="169" max="170" width="5" bestFit="1" customWidth="1"/>
    <col min="171" max="171" width="8" bestFit="1" customWidth="1"/>
    <col min="172" max="172" width="10" bestFit="1" customWidth="1"/>
    <col min="173" max="173" width="8" bestFit="1" customWidth="1"/>
    <col min="174" max="177" width="12" bestFit="1" customWidth="1"/>
    <col min="178" max="178" width="6" bestFit="1" customWidth="1"/>
    <col min="179" max="179" width="5" bestFit="1" customWidth="1"/>
    <col min="180" max="180" width="12" bestFit="1" customWidth="1"/>
    <col min="181" max="181" width="5" bestFit="1" customWidth="1"/>
    <col min="182" max="182" width="7" bestFit="1" customWidth="1"/>
    <col min="183" max="184" width="5" bestFit="1" customWidth="1"/>
    <col min="185" max="192" width="12" bestFit="1" customWidth="1"/>
    <col min="193" max="193" width="11" bestFit="1" customWidth="1"/>
    <col min="194" max="195" width="12" bestFit="1" customWidth="1"/>
    <col min="196" max="196" width="6" bestFit="1" customWidth="1"/>
    <col min="197" max="198" width="12" bestFit="1" customWidth="1"/>
    <col min="199" max="199" width="6" bestFit="1" customWidth="1"/>
    <col min="200" max="201" width="12" bestFit="1" customWidth="1"/>
    <col min="202" max="202" width="5" bestFit="1" customWidth="1"/>
    <col min="203" max="204" width="12" bestFit="1" customWidth="1"/>
    <col min="205" max="205" width="7" bestFit="1" customWidth="1"/>
    <col min="206" max="207" width="12" bestFit="1" customWidth="1"/>
    <col min="208" max="208" width="6" bestFit="1" customWidth="1"/>
    <col min="209" max="211" width="12" bestFit="1" customWidth="1"/>
    <col min="212" max="212" width="6" bestFit="1" customWidth="1"/>
    <col min="213" max="213" width="12" bestFit="1" customWidth="1"/>
    <col min="214" max="214" width="7" bestFit="1" customWidth="1"/>
    <col min="215" max="215" width="5" bestFit="1" customWidth="1"/>
    <col min="216" max="219" width="12" bestFit="1" customWidth="1"/>
    <col min="220" max="220" width="6" bestFit="1" customWidth="1"/>
    <col min="221" max="221" width="12" bestFit="1" customWidth="1"/>
    <col min="222" max="222" width="9" bestFit="1" customWidth="1"/>
    <col min="223" max="225" width="12" bestFit="1" customWidth="1"/>
    <col min="226" max="226" width="8" bestFit="1" customWidth="1"/>
    <col min="227" max="228" width="5" bestFit="1" customWidth="1"/>
    <col min="229" max="229" width="12" bestFit="1" customWidth="1"/>
    <col min="230" max="230" width="5" bestFit="1" customWidth="1"/>
    <col min="231" max="233" width="12" bestFit="1" customWidth="1"/>
    <col min="234" max="235" width="5" bestFit="1" customWidth="1"/>
    <col min="236" max="236" width="7" bestFit="1" customWidth="1"/>
    <col min="237" max="238" width="12" bestFit="1" customWidth="1"/>
    <col min="239" max="239" width="5" bestFit="1" customWidth="1"/>
    <col min="240" max="242" width="12" bestFit="1" customWidth="1"/>
    <col min="243" max="247" width="5" bestFit="1" customWidth="1"/>
    <col min="248" max="248" width="12" bestFit="1" customWidth="1"/>
    <col min="249" max="249" width="6" bestFit="1" customWidth="1"/>
    <col min="250" max="250" width="12" bestFit="1" customWidth="1"/>
    <col min="251" max="251" width="5" bestFit="1" customWidth="1"/>
    <col min="252" max="252" width="7" bestFit="1" customWidth="1"/>
    <col min="253" max="253" width="12" bestFit="1" customWidth="1"/>
    <col min="254" max="254" width="7" bestFit="1" customWidth="1"/>
    <col min="255" max="255" width="12" bestFit="1" customWidth="1"/>
    <col min="256" max="256" width="5" bestFit="1" customWidth="1"/>
    <col min="257" max="258" width="6" bestFit="1" customWidth="1"/>
    <col min="259" max="259" width="8" bestFit="1" customWidth="1"/>
    <col min="260" max="261" width="5" bestFit="1" customWidth="1"/>
    <col min="262" max="272" width="12" bestFit="1" customWidth="1"/>
    <col min="273" max="273" width="6" bestFit="1" customWidth="1"/>
    <col min="274" max="274" width="5" bestFit="1" customWidth="1"/>
    <col min="275" max="275" width="12" bestFit="1" customWidth="1"/>
    <col min="276" max="276" width="5" bestFit="1" customWidth="1"/>
    <col min="277" max="277" width="7" bestFit="1" customWidth="1"/>
    <col min="278" max="278" width="12" bestFit="1" customWidth="1"/>
    <col min="279" max="281" width="6" bestFit="1" customWidth="1"/>
    <col min="282" max="284" width="12" bestFit="1" customWidth="1"/>
    <col min="285" max="285" width="5" bestFit="1" customWidth="1"/>
    <col min="286" max="289" width="12" bestFit="1" customWidth="1"/>
    <col min="290" max="290" width="5" bestFit="1" customWidth="1"/>
    <col min="291" max="291" width="6" bestFit="1" customWidth="1"/>
    <col min="292" max="293" width="12" bestFit="1" customWidth="1"/>
    <col min="294" max="294" width="5" bestFit="1" customWidth="1"/>
    <col min="295" max="295" width="12" bestFit="1" customWidth="1"/>
    <col min="296" max="296" width="6" bestFit="1" customWidth="1"/>
    <col min="297" max="297" width="8" bestFit="1" customWidth="1"/>
    <col min="298" max="298" width="12" bestFit="1" customWidth="1"/>
    <col min="299" max="300" width="5" bestFit="1" customWidth="1"/>
    <col min="301" max="302" width="12" bestFit="1" customWidth="1"/>
    <col min="303" max="303" width="6" bestFit="1" customWidth="1"/>
    <col min="304" max="305" width="12" bestFit="1" customWidth="1"/>
    <col min="306" max="306" width="6" bestFit="1" customWidth="1"/>
    <col min="307" max="309" width="12" bestFit="1" customWidth="1"/>
    <col min="310" max="310" width="6" bestFit="1" customWidth="1"/>
    <col min="311" max="317" width="12" bestFit="1" customWidth="1"/>
    <col min="318" max="319" width="5" bestFit="1" customWidth="1"/>
    <col min="320" max="321" width="12" bestFit="1" customWidth="1"/>
    <col min="322" max="322" width="11" bestFit="1" customWidth="1"/>
    <col min="323" max="325" width="12" bestFit="1" customWidth="1"/>
    <col min="326" max="326" width="5" bestFit="1" customWidth="1"/>
    <col min="327" max="327" width="7" bestFit="1" customWidth="1"/>
    <col min="328" max="331" width="12" bestFit="1" customWidth="1"/>
    <col min="332" max="332" width="6" bestFit="1" customWidth="1"/>
    <col min="333" max="333" width="12" bestFit="1" customWidth="1"/>
    <col min="334" max="335" width="6" bestFit="1" customWidth="1"/>
    <col min="336" max="336" width="12" bestFit="1" customWidth="1"/>
    <col min="337" max="337" width="6" bestFit="1" customWidth="1"/>
    <col min="338" max="341" width="12" bestFit="1" customWidth="1"/>
    <col min="342" max="342" width="9" bestFit="1" customWidth="1"/>
    <col min="343" max="343" width="7" bestFit="1" customWidth="1"/>
    <col min="344" max="344" width="9" bestFit="1" customWidth="1"/>
    <col min="345" max="347" width="12" bestFit="1" customWidth="1"/>
    <col min="348" max="348" width="6" bestFit="1" customWidth="1"/>
    <col min="349" max="349" width="8" bestFit="1" customWidth="1"/>
    <col min="350" max="351" width="12" bestFit="1" customWidth="1"/>
    <col min="352" max="353" width="5" bestFit="1" customWidth="1"/>
    <col min="354" max="354" width="12" bestFit="1" customWidth="1"/>
    <col min="355" max="355" width="6" bestFit="1" customWidth="1"/>
    <col min="356" max="356" width="5" bestFit="1" customWidth="1"/>
    <col min="357" max="358" width="12" bestFit="1" customWidth="1"/>
    <col min="359" max="359" width="7" bestFit="1" customWidth="1"/>
    <col min="360" max="363" width="12" bestFit="1" customWidth="1"/>
    <col min="364" max="364" width="6" bestFit="1" customWidth="1"/>
    <col min="365" max="366" width="12" bestFit="1" customWidth="1"/>
    <col min="367" max="367" width="5" bestFit="1" customWidth="1"/>
    <col min="368" max="368" width="7" bestFit="1" customWidth="1"/>
    <col min="369" max="370" width="5" bestFit="1" customWidth="1"/>
    <col min="371" max="371" width="12" bestFit="1" customWidth="1"/>
    <col min="372" max="372" width="6" bestFit="1" customWidth="1"/>
    <col min="373" max="374" width="12" bestFit="1" customWidth="1"/>
    <col min="375" max="375" width="6" bestFit="1" customWidth="1"/>
    <col min="376" max="376" width="12" bestFit="1" customWidth="1"/>
    <col min="377" max="377" width="8" bestFit="1" customWidth="1"/>
    <col min="378" max="385" width="12" bestFit="1" customWidth="1"/>
    <col min="386" max="387" width="5" bestFit="1" customWidth="1"/>
    <col min="388" max="388" width="12" bestFit="1" customWidth="1"/>
    <col min="389" max="389" width="7" bestFit="1" customWidth="1"/>
    <col min="390" max="391" width="12" bestFit="1" customWidth="1"/>
    <col min="392" max="392" width="5" bestFit="1" customWidth="1"/>
    <col min="393" max="396" width="12" bestFit="1" customWidth="1"/>
    <col min="397" max="397" width="5" bestFit="1" customWidth="1"/>
    <col min="398" max="398" width="12" bestFit="1" customWidth="1"/>
    <col min="399" max="399" width="7" bestFit="1" customWidth="1"/>
    <col min="400" max="401" width="6" bestFit="1" customWidth="1"/>
    <col min="402" max="403" width="12" bestFit="1" customWidth="1"/>
    <col min="404" max="404" width="6" bestFit="1" customWidth="1"/>
    <col min="405" max="405" width="12" bestFit="1" customWidth="1"/>
    <col min="406" max="406" width="7" bestFit="1" customWidth="1"/>
    <col min="407" max="407" width="12" bestFit="1" customWidth="1"/>
    <col min="408" max="408" width="6" bestFit="1" customWidth="1"/>
    <col min="409" max="411" width="12" bestFit="1" customWidth="1"/>
    <col min="412" max="412" width="7" bestFit="1" customWidth="1"/>
    <col min="413" max="415" width="12" bestFit="1" customWidth="1"/>
    <col min="416" max="416" width="7" bestFit="1" customWidth="1"/>
    <col min="417" max="417" width="12" bestFit="1" customWidth="1"/>
    <col min="418" max="419" width="6" bestFit="1" customWidth="1"/>
    <col min="420" max="420" width="12" bestFit="1" customWidth="1"/>
    <col min="421" max="421" width="8" bestFit="1" customWidth="1"/>
    <col min="422" max="422" width="5" bestFit="1" customWidth="1"/>
    <col min="423" max="423" width="6" bestFit="1" customWidth="1"/>
    <col min="424" max="428" width="12" bestFit="1" customWidth="1"/>
    <col min="429" max="429" width="6" bestFit="1" customWidth="1"/>
    <col min="430" max="433" width="12" bestFit="1" customWidth="1"/>
    <col min="434" max="434" width="7" bestFit="1" customWidth="1"/>
    <col min="435" max="437" width="12" bestFit="1" customWidth="1"/>
    <col min="438" max="438" width="6" bestFit="1" customWidth="1"/>
    <col min="439" max="440" width="12" bestFit="1" customWidth="1"/>
    <col min="441" max="441" width="8" bestFit="1" customWidth="1"/>
    <col min="442" max="442" width="6" bestFit="1" customWidth="1"/>
    <col min="443" max="443" width="12" bestFit="1" customWidth="1"/>
    <col min="444" max="444" width="6" bestFit="1" customWidth="1"/>
    <col min="445" max="445" width="12" bestFit="1" customWidth="1"/>
    <col min="446" max="447" width="6" bestFit="1" customWidth="1"/>
    <col min="448" max="451" width="12" bestFit="1" customWidth="1"/>
    <col min="452" max="452" width="7" bestFit="1" customWidth="1"/>
    <col min="453" max="453" width="12" bestFit="1" customWidth="1"/>
    <col min="454" max="456" width="6" bestFit="1" customWidth="1"/>
    <col min="457" max="457" width="12" bestFit="1" customWidth="1"/>
    <col min="458" max="458" width="8" bestFit="1" customWidth="1"/>
    <col min="459" max="463" width="6" bestFit="1" customWidth="1"/>
    <col min="464" max="465" width="12" bestFit="1" customWidth="1"/>
    <col min="466" max="467" width="6" bestFit="1" customWidth="1"/>
    <col min="468" max="470" width="12" bestFit="1" customWidth="1"/>
    <col min="471" max="472" width="8" bestFit="1" customWidth="1"/>
    <col min="473" max="475" width="6" bestFit="1" customWidth="1"/>
    <col min="476" max="476" width="8" bestFit="1" customWidth="1"/>
    <col min="477" max="477" width="5" bestFit="1" customWidth="1"/>
    <col min="478" max="478" width="7" bestFit="1" customWidth="1"/>
    <col min="479" max="479" width="12" bestFit="1" customWidth="1"/>
    <col min="480" max="482" width="6" bestFit="1" customWidth="1"/>
    <col min="483" max="483" width="12" bestFit="1" customWidth="1"/>
    <col min="484" max="484" width="6" bestFit="1" customWidth="1"/>
    <col min="485" max="485" width="10" bestFit="1" customWidth="1"/>
    <col min="486" max="487" width="12" bestFit="1" customWidth="1"/>
    <col min="488" max="489" width="6" bestFit="1" customWidth="1"/>
    <col min="490" max="490" width="7" bestFit="1" customWidth="1"/>
    <col min="491" max="491" width="8" bestFit="1" customWidth="1"/>
    <col min="492" max="492" width="6" bestFit="1" customWidth="1"/>
    <col min="493" max="493" width="12" bestFit="1" customWidth="1"/>
    <col min="494" max="494" width="6" bestFit="1" customWidth="1"/>
    <col min="495" max="495" width="12" bestFit="1" customWidth="1"/>
    <col min="496" max="496" width="8" bestFit="1" customWidth="1"/>
    <col min="497" max="499" width="12" bestFit="1" customWidth="1"/>
    <col min="500" max="500" width="9" bestFit="1" customWidth="1"/>
    <col min="501" max="501" width="12" bestFit="1" customWidth="1"/>
    <col min="502" max="502" width="6" bestFit="1" customWidth="1"/>
    <col min="503" max="503" width="12" bestFit="1" customWidth="1"/>
    <col min="504" max="504" width="6" bestFit="1" customWidth="1"/>
    <col min="505" max="507" width="12" bestFit="1" customWidth="1"/>
    <col min="508" max="508" width="9" bestFit="1" customWidth="1"/>
    <col min="509" max="509" width="7" bestFit="1" customWidth="1"/>
    <col min="510" max="513" width="12" bestFit="1" customWidth="1"/>
    <col min="514" max="515" width="6" bestFit="1" customWidth="1"/>
    <col min="516" max="516" width="8" bestFit="1" customWidth="1"/>
    <col min="517" max="522" width="12" bestFit="1" customWidth="1"/>
    <col min="523" max="523" width="6" bestFit="1" customWidth="1"/>
    <col min="524" max="524" width="7" bestFit="1" customWidth="1"/>
    <col min="525" max="526" width="12" bestFit="1" customWidth="1"/>
    <col min="527" max="527" width="6" bestFit="1" customWidth="1"/>
    <col min="528" max="528" width="12" bestFit="1" customWidth="1"/>
    <col min="529" max="529" width="7" bestFit="1" customWidth="1"/>
    <col min="530" max="530" width="6" bestFit="1" customWidth="1"/>
    <col min="531" max="531" width="12" bestFit="1" customWidth="1"/>
    <col min="532" max="532" width="7" bestFit="1" customWidth="1"/>
    <col min="533" max="534" width="12" bestFit="1" customWidth="1"/>
    <col min="535" max="536" width="6" bestFit="1" customWidth="1"/>
    <col min="537" max="538" width="12" bestFit="1" customWidth="1"/>
    <col min="539" max="539" width="6" bestFit="1" customWidth="1"/>
    <col min="540" max="540" width="12" bestFit="1" customWidth="1"/>
    <col min="541" max="541" width="6" bestFit="1" customWidth="1"/>
    <col min="542" max="544" width="12" bestFit="1" customWidth="1"/>
    <col min="545" max="545" width="6" bestFit="1" customWidth="1"/>
    <col min="546" max="546" width="12" bestFit="1" customWidth="1"/>
    <col min="547" max="547" width="9" bestFit="1" customWidth="1"/>
    <col min="548" max="548" width="12" bestFit="1" customWidth="1"/>
    <col min="549" max="549" width="8" bestFit="1" customWidth="1"/>
    <col min="550" max="551" width="12" bestFit="1" customWidth="1"/>
    <col min="552" max="554" width="6" bestFit="1" customWidth="1"/>
    <col min="555" max="557" width="12" bestFit="1" customWidth="1"/>
    <col min="558" max="558" width="7" bestFit="1" customWidth="1"/>
    <col min="559" max="560" width="6" bestFit="1" customWidth="1"/>
    <col min="561" max="563" width="12" bestFit="1" customWidth="1"/>
    <col min="564" max="564" width="6" bestFit="1" customWidth="1"/>
    <col min="565" max="566" width="12" bestFit="1" customWidth="1"/>
    <col min="567" max="567" width="6" bestFit="1" customWidth="1"/>
    <col min="568" max="568" width="12" bestFit="1" customWidth="1"/>
    <col min="569" max="570" width="6" bestFit="1" customWidth="1"/>
    <col min="571" max="571" width="12" bestFit="1" customWidth="1"/>
    <col min="572" max="572" width="11" bestFit="1" customWidth="1"/>
    <col min="573" max="573" width="6" bestFit="1" customWidth="1"/>
    <col min="574" max="574" width="7" bestFit="1" customWidth="1"/>
    <col min="575" max="576" width="12" bestFit="1" customWidth="1"/>
    <col min="577" max="577" width="7" bestFit="1" customWidth="1"/>
    <col min="578" max="580" width="12" bestFit="1" customWidth="1"/>
    <col min="581" max="582" width="6" bestFit="1" customWidth="1"/>
    <col min="583" max="588" width="12" bestFit="1" customWidth="1"/>
    <col min="589" max="589" width="6" bestFit="1" customWidth="1"/>
    <col min="590" max="590" width="12" bestFit="1" customWidth="1"/>
    <col min="591" max="591" width="6" bestFit="1" customWidth="1"/>
    <col min="592" max="592" width="12" bestFit="1" customWidth="1"/>
    <col min="593" max="593" width="6" bestFit="1" customWidth="1"/>
    <col min="594" max="594" width="12" bestFit="1" customWidth="1"/>
    <col min="595" max="595" width="7" bestFit="1" customWidth="1"/>
    <col min="596" max="596" width="8" bestFit="1" customWidth="1"/>
    <col min="597" max="600" width="12" bestFit="1" customWidth="1"/>
    <col min="601" max="601" width="8" bestFit="1" customWidth="1"/>
    <col min="602" max="605" width="12" bestFit="1" customWidth="1"/>
    <col min="606" max="606" width="8" bestFit="1" customWidth="1"/>
    <col min="607" max="609" width="12" bestFit="1" customWidth="1"/>
    <col min="610" max="610" width="8" bestFit="1" customWidth="1"/>
    <col min="611" max="611" width="7" bestFit="1" customWidth="1"/>
    <col min="612" max="613" width="12" bestFit="1" customWidth="1"/>
    <col min="614" max="614" width="6" bestFit="1" customWidth="1"/>
    <col min="615" max="615" width="7" bestFit="1" customWidth="1"/>
    <col min="616" max="616" width="6" bestFit="1" customWidth="1"/>
    <col min="617" max="620" width="12" bestFit="1" customWidth="1"/>
    <col min="621" max="621" width="6" bestFit="1" customWidth="1"/>
    <col min="622" max="622" width="12" bestFit="1" customWidth="1"/>
    <col min="623" max="623" width="7" bestFit="1" customWidth="1"/>
    <col min="624" max="625" width="12" bestFit="1" customWidth="1"/>
    <col min="626" max="628" width="6" bestFit="1" customWidth="1"/>
    <col min="629" max="629" width="12" bestFit="1" customWidth="1"/>
    <col min="630" max="630" width="6" bestFit="1" customWidth="1"/>
    <col min="631" max="631" width="10" bestFit="1" customWidth="1"/>
    <col min="632" max="633" width="12" bestFit="1" customWidth="1"/>
    <col min="634" max="634" width="6" bestFit="1" customWidth="1"/>
    <col min="635" max="635" width="12" bestFit="1" customWidth="1"/>
    <col min="636" max="636" width="8" bestFit="1" customWidth="1"/>
    <col min="637" max="637" width="12" bestFit="1" customWidth="1"/>
    <col min="638" max="638" width="11" bestFit="1" customWidth="1"/>
    <col min="639" max="639" width="6" bestFit="1" customWidth="1"/>
    <col min="640" max="642" width="12" bestFit="1" customWidth="1"/>
    <col min="643" max="643" width="6" bestFit="1" customWidth="1"/>
    <col min="644" max="645" width="12" bestFit="1" customWidth="1"/>
    <col min="646" max="646" width="7" bestFit="1" customWidth="1"/>
    <col min="647" max="647" width="6" bestFit="1" customWidth="1"/>
    <col min="648" max="650" width="12" bestFit="1" customWidth="1"/>
    <col min="651" max="651" width="7" bestFit="1" customWidth="1"/>
    <col min="652" max="653" width="6" bestFit="1" customWidth="1"/>
    <col min="654" max="654" width="12" bestFit="1" customWidth="1"/>
    <col min="655" max="655" width="6" bestFit="1" customWidth="1"/>
    <col min="656" max="657" width="12" bestFit="1" customWidth="1"/>
    <col min="658" max="658" width="6" bestFit="1" customWidth="1"/>
    <col min="659" max="659" width="8" bestFit="1" customWidth="1"/>
    <col min="660" max="662" width="6" bestFit="1" customWidth="1"/>
    <col min="663" max="663" width="5" bestFit="1" customWidth="1"/>
    <col min="664" max="667" width="12" bestFit="1" customWidth="1"/>
    <col min="668" max="668" width="5" bestFit="1" customWidth="1"/>
    <col min="669" max="669" width="12" bestFit="1" customWidth="1"/>
    <col min="670" max="671" width="6" bestFit="1" customWidth="1"/>
    <col min="672" max="672" width="12" bestFit="1" customWidth="1"/>
    <col min="673" max="674" width="7" bestFit="1" customWidth="1"/>
    <col min="675" max="675" width="12" bestFit="1" customWidth="1"/>
    <col min="676" max="679" width="6" bestFit="1" customWidth="1"/>
    <col min="680" max="682" width="12" bestFit="1" customWidth="1"/>
    <col min="683" max="685" width="6" bestFit="1" customWidth="1"/>
    <col min="686" max="687" width="7" bestFit="1" customWidth="1"/>
    <col min="688" max="688" width="12" bestFit="1" customWidth="1"/>
    <col min="689" max="690" width="6" bestFit="1" customWidth="1"/>
    <col min="691" max="691" width="7" bestFit="1" customWidth="1"/>
    <col min="692" max="692" width="12" bestFit="1" customWidth="1"/>
    <col min="693" max="696" width="6" bestFit="1" customWidth="1"/>
    <col min="697" max="697" width="12" bestFit="1" customWidth="1"/>
    <col min="698" max="699" width="6" bestFit="1" customWidth="1"/>
    <col min="700" max="701" width="12" bestFit="1" customWidth="1"/>
    <col min="702" max="702" width="8" bestFit="1" customWidth="1"/>
    <col min="703" max="705" width="6" bestFit="1" customWidth="1"/>
    <col min="706" max="708" width="12" bestFit="1" customWidth="1"/>
    <col min="709" max="709" width="5" bestFit="1" customWidth="1"/>
    <col min="710" max="710" width="6" bestFit="1" customWidth="1"/>
    <col min="711" max="712" width="9" bestFit="1" customWidth="1"/>
    <col min="713" max="713" width="7" bestFit="1" customWidth="1"/>
    <col min="714" max="714" width="10" bestFit="1" customWidth="1"/>
    <col min="715" max="716" width="12" bestFit="1" customWidth="1"/>
    <col min="717" max="717" width="6" bestFit="1" customWidth="1"/>
    <col min="718" max="718" width="12" bestFit="1" customWidth="1"/>
    <col min="719" max="721" width="6" bestFit="1" customWidth="1"/>
    <col min="722" max="723" width="12" bestFit="1" customWidth="1"/>
    <col min="724" max="724" width="6" bestFit="1" customWidth="1"/>
    <col min="725" max="725" width="12" bestFit="1" customWidth="1"/>
    <col min="726" max="726" width="6" bestFit="1" customWidth="1"/>
    <col min="727" max="727" width="12" bestFit="1" customWidth="1"/>
    <col min="728" max="729" width="7" bestFit="1" customWidth="1"/>
    <col min="730" max="730" width="6" bestFit="1" customWidth="1"/>
    <col min="731" max="732" width="12" bestFit="1" customWidth="1"/>
    <col min="733" max="735" width="6" bestFit="1" customWidth="1"/>
    <col min="736" max="736" width="12" bestFit="1" customWidth="1"/>
    <col min="737" max="737" width="8" bestFit="1" customWidth="1"/>
    <col min="738" max="739" width="12" bestFit="1" customWidth="1"/>
    <col min="740" max="741" width="6" bestFit="1" customWidth="1"/>
    <col min="742" max="744" width="12" bestFit="1" customWidth="1"/>
    <col min="745" max="746" width="6" bestFit="1" customWidth="1"/>
    <col min="747" max="747" width="9" bestFit="1" customWidth="1"/>
    <col min="748" max="749" width="6" bestFit="1" customWidth="1"/>
    <col min="750" max="758" width="12" bestFit="1" customWidth="1"/>
    <col min="759" max="759" width="7" bestFit="1" customWidth="1"/>
    <col min="760" max="760" width="6" bestFit="1" customWidth="1"/>
    <col min="761" max="761" width="12" bestFit="1" customWidth="1"/>
    <col min="762" max="762" width="6" bestFit="1" customWidth="1"/>
    <col min="763" max="763" width="5" bestFit="1" customWidth="1"/>
    <col min="764" max="764" width="7" bestFit="1" customWidth="1"/>
    <col min="765" max="766" width="12" bestFit="1" customWidth="1"/>
    <col min="767" max="767" width="6" bestFit="1" customWidth="1"/>
    <col min="768" max="768" width="12" bestFit="1" customWidth="1"/>
    <col min="769" max="769" width="6" bestFit="1" customWidth="1"/>
    <col min="770" max="772" width="12" bestFit="1" customWidth="1"/>
    <col min="773" max="773" width="6" bestFit="1" customWidth="1"/>
    <col min="774" max="776" width="12" bestFit="1" customWidth="1"/>
    <col min="777" max="777" width="5" bestFit="1" customWidth="1"/>
    <col min="778" max="778" width="12" bestFit="1" customWidth="1"/>
    <col min="779" max="779" width="7" bestFit="1" customWidth="1"/>
    <col min="780" max="780" width="6" bestFit="1" customWidth="1"/>
    <col min="781" max="784" width="12" bestFit="1" customWidth="1"/>
    <col min="785" max="786" width="6" bestFit="1" customWidth="1"/>
    <col min="787" max="787" width="8" bestFit="1" customWidth="1"/>
    <col min="788" max="788" width="12" bestFit="1" customWidth="1"/>
  </cols>
  <sheetData>
    <row r="1" spans="1:2" x14ac:dyDescent="0.25">
      <c r="A1" s="1" t="s">
        <v>40</v>
      </c>
      <c r="B1" t="s">
        <v>44</v>
      </c>
    </row>
    <row r="2" spans="1:2" x14ac:dyDescent="0.25">
      <c r="A2" s="2" t="s">
        <v>14</v>
      </c>
      <c r="B2" s="4">
        <v>0.80477795300531019</v>
      </c>
    </row>
    <row r="3" spans="1:2" x14ac:dyDescent="0.25">
      <c r="A3" s="2" t="s">
        <v>21</v>
      </c>
      <c r="B3" s="4">
        <v>0.77539909248841321</v>
      </c>
    </row>
    <row r="4" spans="1:2" x14ac:dyDescent="0.25">
      <c r="A4" s="2" t="s">
        <v>22</v>
      </c>
      <c r="B4" s="4">
        <v>0.7182327131295978</v>
      </c>
    </row>
    <row r="5" spans="1:2" x14ac:dyDescent="0.25">
      <c r="A5" s="2" t="s">
        <v>19</v>
      </c>
      <c r="B5" s="4">
        <v>0.66526784839076036</v>
      </c>
    </row>
    <row r="6" spans="1:2" x14ac:dyDescent="0.25">
      <c r="A6" s="2" t="s">
        <v>11</v>
      </c>
      <c r="B6" s="4">
        <v>0.59032333044462471</v>
      </c>
    </row>
    <row r="7" spans="1:2" x14ac:dyDescent="0.25">
      <c r="A7" s="2" t="s">
        <v>41</v>
      </c>
      <c r="B7" s="4">
        <v>0.711288967987878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44921-4118-4E24-941A-F2FC86025212}">
  <dimension ref="A1:B4"/>
  <sheetViews>
    <sheetView workbookViewId="0">
      <selection activeCell="D17" sqref="D17"/>
    </sheetView>
  </sheetViews>
  <sheetFormatPr defaultRowHeight="15" x14ac:dyDescent="0.25"/>
  <cols>
    <col min="1" max="1" width="13.140625" bestFit="1" customWidth="1"/>
    <col min="2" max="2" width="20.7109375" bestFit="1" customWidth="1"/>
  </cols>
  <sheetData>
    <row r="1" spans="1:2" x14ac:dyDescent="0.25">
      <c r="A1" s="1" t="s">
        <v>40</v>
      </c>
      <c r="B1" t="s">
        <v>45</v>
      </c>
    </row>
    <row r="2" spans="1:2" x14ac:dyDescent="0.25">
      <c r="A2" s="2" t="s">
        <v>33</v>
      </c>
      <c r="B2" s="4">
        <v>21.669554794520565</v>
      </c>
    </row>
    <row r="3" spans="1:2" x14ac:dyDescent="0.25">
      <c r="A3" s="2" t="s">
        <v>32</v>
      </c>
      <c r="B3" s="4">
        <v>20.714242424242414</v>
      </c>
    </row>
    <row r="4" spans="1:2" x14ac:dyDescent="0.25">
      <c r="A4" s="2" t="s">
        <v>41</v>
      </c>
      <c r="B4" s="4">
        <v>21.347502837684477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7E96-1D9A-4331-95A3-7BB969B3045D}">
  <sheetPr>
    <pageSetUpPr fitToPage="1"/>
  </sheetPr>
  <dimension ref="A1:H22"/>
  <sheetViews>
    <sheetView showGridLines="0" tabSelected="1" zoomScale="87" zoomScaleNormal="87" workbookViewId="0">
      <selection sqref="A1:H35"/>
    </sheetView>
  </sheetViews>
  <sheetFormatPr defaultRowHeight="15" x14ac:dyDescent="0.25"/>
  <cols>
    <col min="1" max="8" width="18.7109375" style="5" customWidth="1"/>
    <col min="9" max="16384" width="9.140625" style="5"/>
  </cols>
  <sheetData>
    <row r="1" spans="1:8" ht="30" customHeight="1" x14ac:dyDescent="0.35">
      <c r="A1" s="9" t="s">
        <v>47</v>
      </c>
      <c r="B1" s="9"/>
      <c r="C1" s="9"/>
      <c r="D1" s="9"/>
      <c r="E1" s="9"/>
      <c r="F1" s="9"/>
      <c r="G1" s="9"/>
      <c r="H1" s="9"/>
    </row>
    <row r="2" spans="1:8" ht="39" customHeight="1" x14ac:dyDescent="0.3">
      <c r="A2" s="18" t="s">
        <v>53</v>
      </c>
      <c r="B2" s="18"/>
      <c r="C2" s="18"/>
      <c r="D2" s="18"/>
      <c r="E2" s="18"/>
      <c r="F2" s="18"/>
      <c r="G2" s="18"/>
      <c r="H2" s="18"/>
    </row>
    <row r="3" spans="1:8" ht="39" customHeight="1" x14ac:dyDescent="0.25">
      <c r="A3" s="19"/>
      <c r="B3" s="19"/>
      <c r="C3" s="19"/>
      <c r="D3" s="19"/>
      <c r="E3" s="19"/>
      <c r="F3" s="19"/>
      <c r="G3" s="19"/>
      <c r="H3" s="19"/>
    </row>
    <row r="4" spans="1:8" ht="39" customHeight="1" thickBot="1" x14ac:dyDescent="0.3">
      <c r="A4" s="19"/>
      <c r="B4" s="19"/>
      <c r="C4" s="19"/>
      <c r="D4" s="19"/>
      <c r="E4" s="19"/>
      <c r="F4" s="19"/>
      <c r="G4" s="19"/>
      <c r="H4" s="19"/>
    </row>
    <row r="5" spans="1:8" ht="30" customHeight="1" thickBot="1" x14ac:dyDescent="0.3">
      <c r="A5" s="10" t="s">
        <v>52</v>
      </c>
      <c r="B5" s="11"/>
      <c r="C5" s="10" t="s">
        <v>48</v>
      </c>
      <c r="D5" s="11"/>
      <c r="E5" s="10" t="s">
        <v>49</v>
      </c>
      <c r="F5" s="11"/>
      <c r="G5" s="10" t="s">
        <v>46</v>
      </c>
      <c r="H5" s="11"/>
    </row>
    <row r="6" spans="1:8" ht="30" customHeight="1" thickBot="1" x14ac:dyDescent="0.4">
      <c r="A6" s="12">
        <v>0.49</v>
      </c>
      <c r="B6" s="13"/>
      <c r="C6" s="14" t="s">
        <v>51</v>
      </c>
      <c r="D6" s="15"/>
      <c r="E6" s="14" t="s">
        <v>50</v>
      </c>
      <c r="F6" s="15"/>
      <c r="G6" s="16" t="s">
        <v>14</v>
      </c>
      <c r="H6" s="17"/>
    </row>
    <row r="7" spans="1:8" ht="30" customHeight="1" x14ac:dyDescent="0.25">
      <c r="C7" s="7"/>
    </row>
    <row r="8" spans="1:8" ht="30" customHeight="1" x14ac:dyDescent="0.25">
      <c r="A8" s="6"/>
      <c r="B8" s="6"/>
    </row>
    <row r="9" spans="1:8" ht="30" customHeight="1" x14ac:dyDescent="0.35">
      <c r="A9" s="8"/>
      <c r="B9" s="8"/>
    </row>
    <row r="10" spans="1:8" ht="30" customHeight="1" x14ac:dyDescent="0.25"/>
    <row r="11" spans="1:8" ht="30" customHeight="1" x14ac:dyDescent="0.25"/>
    <row r="12" spans="1:8" ht="30" customHeight="1" x14ac:dyDescent="0.25"/>
    <row r="13" spans="1:8" ht="30" customHeight="1" x14ac:dyDescent="0.25"/>
    <row r="14" spans="1:8" ht="30" customHeight="1" x14ac:dyDescent="0.25"/>
    <row r="15" spans="1:8" ht="30" customHeight="1" x14ac:dyDescent="0.25"/>
    <row r="16" spans="1:8" ht="30" customHeight="1" x14ac:dyDescent="0.25"/>
    <row r="17" s="5" customFormat="1" ht="30" customHeight="1" x14ac:dyDescent="0.25"/>
    <row r="18" s="5" customFormat="1" ht="30" customHeight="1" x14ac:dyDescent="0.25"/>
    <row r="19" s="5" customFormat="1" ht="30" customHeight="1" x14ac:dyDescent="0.25"/>
    <row r="20" s="5" customFormat="1" ht="30" customHeight="1" x14ac:dyDescent="0.25"/>
    <row r="21" s="5" customFormat="1" ht="30" customHeight="1" x14ac:dyDescent="0.25"/>
    <row r="22" s="5" customFormat="1" ht="30" customHeight="1" x14ac:dyDescent="0.25"/>
  </sheetData>
  <sheetProtection algorithmName="SHA-512" hashValue="ltAw5V7Eftozr8Qm9uS9i9Shqc1duZZjTkQAt0UXLMql9oiwqpjp2uibXl+8nycs8B+TlBppQ/FTlX188zAE+A==" saltValue="pt0Vl1UU2USkLhbImYETCQ==" spinCount="100000" sheet="1" objects="1" scenarios="1"/>
  <mergeCells count="12">
    <mergeCell ref="A8:B8"/>
    <mergeCell ref="A9:B9"/>
    <mergeCell ref="G5:H5"/>
    <mergeCell ref="G6:H6"/>
    <mergeCell ref="A2:H2"/>
    <mergeCell ref="A1:H1"/>
    <mergeCell ref="E6:F6"/>
    <mergeCell ref="E5:F5"/>
    <mergeCell ref="A5:B5"/>
    <mergeCell ref="A6:B6"/>
    <mergeCell ref="C5:D5"/>
    <mergeCell ref="C6:D6"/>
  </mergeCells>
  <pageMargins left="0.25" right="0.25" top="0.75" bottom="0.75" header="0.3" footer="0.3"/>
  <pageSetup paperSize="9" scale="5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market_pipe_thickness_loss_data</vt:lpstr>
      <vt:lpstr>Cleaned_Data</vt:lpstr>
      <vt:lpstr>Derived  Data </vt:lpstr>
      <vt:lpstr>PT_Pipe_Condition_Overview</vt:lpstr>
      <vt:lpstr>PT_Thickness_by_material</vt:lpstr>
      <vt:lpstr>PT_LossRate_by_Material</vt:lpstr>
      <vt:lpstr>PT_Average_Risk_Score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dc:creator>
  <cp:lastModifiedBy>JESSE</cp:lastModifiedBy>
  <cp:lastPrinted>2026-01-29T19:13:47Z</cp:lastPrinted>
  <dcterms:created xsi:type="dcterms:W3CDTF">2026-01-29T10:36:06Z</dcterms:created>
  <dcterms:modified xsi:type="dcterms:W3CDTF">2026-01-29T19:20:35Z</dcterms:modified>
</cp:coreProperties>
</file>